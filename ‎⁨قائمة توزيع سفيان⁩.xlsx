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2" windowWidth="22068" windowHeight="9504" activeTab="1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BQ79" i="2"/>
  <c r="BQ80" s="1"/>
  <c r="BQ81" s="1"/>
  <c r="BQ82" s="1"/>
  <c r="BQ83" s="1"/>
  <c r="BQ84" s="1"/>
  <c r="BQ85" s="1"/>
  <c r="BQ86" s="1"/>
  <c r="BQ87" s="1"/>
  <c r="BQ88" s="1"/>
  <c r="BQ89" s="1"/>
  <c r="BQ90" s="1"/>
  <c r="BQ91" s="1"/>
  <c r="BQ92" s="1"/>
  <c r="BQ93" s="1"/>
  <c r="BQ94" s="1"/>
  <c r="BQ95" s="1"/>
  <c r="BQ96" s="1"/>
  <c r="BQ97" s="1"/>
  <c r="BQ98" s="1"/>
  <c r="BQ99" s="1"/>
  <c r="BQ100" s="1"/>
  <c r="BQ101" s="1"/>
  <c r="BQ102" s="1"/>
  <c r="BQ103" s="1"/>
  <c r="BQ104" s="1"/>
  <c r="BQ105" s="1"/>
  <c r="BQ106" s="1"/>
  <c r="BQ107" s="1"/>
  <c r="BQ108" s="1"/>
  <c r="BQ109" s="1"/>
  <c r="BQ110" s="1"/>
  <c r="BQ111" s="1"/>
  <c r="BQ112" s="1"/>
  <c r="BQ113" s="1"/>
  <c r="BQ114" s="1"/>
  <c r="BQ115" s="1"/>
  <c r="BQ116" s="1"/>
  <c r="BQ117" s="1"/>
  <c r="BQ118" s="1"/>
  <c r="BQ119" s="1"/>
  <c r="BQ120" s="1"/>
  <c r="BQ121" s="1"/>
  <c r="BQ122" s="1"/>
  <c r="BQ123" s="1"/>
  <c r="BQ124" s="1"/>
  <c r="BQ125" s="1"/>
  <c r="BQ126" s="1"/>
  <c r="BQ127" s="1"/>
  <c r="BQ128" s="1"/>
  <c r="BQ129" s="1"/>
  <c r="BQ130" s="1"/>
  <c r="BQ131" s="1"/>
  <c r="BQ132" s="1"/>
  <c r="BQ133" s="1"/>
  <c r="BQ134" s="1"/>
  <c r="BQ135" s="1"/>
  <c r="BQ136" s="1"/>
  <c r="BQ137" s="1"/>
  <c r="BQ138" s="1"/>
  <c r="BQ139" s="1"/>
  <c r="BQ140" s="1"/>
  <c r="BQ141" s="1"/>
  <c r="BQ142" s="1"/>
  <c r="BQ143" s="1"/>
  <c r="BQ144" s="1"/>
  <c r="BQ145" s="1"/>
  <c r="BQ146" s="1"/>
  <c r="BQ147" s="1"/>
  <c r="BQ148" s="1"/>
  <c r="BQ149" s="1"/>
  <c r="BQ150" s="1"/>
  <c r="BQ151" s="1"/>
  <c r="BQ152" s="1"/>
  <c r="BQ153" s="1"/>
  <c r="BQ154" s="1"/>
  <c r="BQ155" s="1"/>
  <c r="EP66" i="3"/>
  <c r="EO66"/>
  <c r="EN66"/>
  <c r="EM66"/>
  <c r="EL66"/>
  <c r="EK66"/>
  <c r="EJ66"/>
  <c r="EI66"/>
  <c r="EH66"/>
  <c r="EG66"/>
  <c r="EF66"/>
  <c r="EE66"/>
  <c r="ED66"/>
  <c r="EC66"/>
  <c r="EB66"/>
  <c r="EA66"/>
  <c r="DZ66"/>
  <c r="DY66"/>
  <c r="DX66"/>
  <c r="DW66"/>
  <c r="DV66"/>
  <c r="DU66"/>
  <c r="DT66"/>
  <c r="DS66"/>
  <c r="DR66"/>
  <c r="DQ66"/>
  <c r="DP66"/>
  <c r="DO66"/>
  <c r="DN66"/>
  <c r="DM66"/>
  <c r="DL66"/>
  <c r="DK66"/>
  <c r="DJ66"/>
  <c r="DI66"/>
  <c r="DH66"/>
  <c r="DG66"/>
  <c r="DF66"/>
  <c r="DE66"/>
  <c r="DD66"/>
  <c r="DC66"/>
  <c r="DB66"/>
  <c r="DA66"/>
  <c r="CZ66"/>
  <c r="CY66"/>
  <c r="CX66"/>
  <c r="CW66"/>
  <c r="CV66"/>
  <c r="CU66"/>
  <c r="CT66"/>
  <c r="CS66"/>
  <c r="CR66"/>
  <c r="CQ66"/>
  <c r="CP66"/>
  <c r="CO66"/>
  <c r="CN66"/>
  <c r="CM66"/>
  <c r="CL66"/>
  <c r="CK66"/>
  <c r="CJ66"/>
  <c r="CI66"/>
  <c r="CH66"/>
  <c r="CG66"/>
  <c r="CF66"/>
  <c r="CE66"/>
  <c r="CD66"/>
  <c r="CC66"/>
  <c r="CB66"/>
  <c r="CA66"/>
  <c r="BZ66"/>
  <c r="BY66"/>
  <c r="BX66"/>
  <c r="BW66"/>
  <c r="BV66"/>
  <c r="BU66"/>
  <c r="BT66"/>
  <c r="BS66"/>
  <c r="BR66"/>
  <c r="BQ66"/>
  <c r="BP66"/>
  <c r="BO66"/>
  <c r="BN66"/>
  <c r="BM66"/>
  <c r="BL66"/>
  <c r="BK66"/>
  <c r="BJ66"/>
  <c r="BI66"/>
  <c r="BH66"/>
  <c r="BG66"/>
  <c r="BF66"/>
  <c r="BE66"/>
  <c r="BD66"/>
  <c r="BC66"/>
  <c r="BB66"/>
  <c r="BA66"/>
  <c r="AZ66"/>
  <c r="AY66"/>
  <c r="AX66"/>
  <c r="AW66"/>
  <c r="AV66"/>
  <c r="AU66"/>
  <c r="AT66"/>
  <c r="AS66"/>
  <c r="AR66"/>
  <c r="AQ66"/>
  <c r="AP66"/>
  <c r="AO66"/>
  <c r="AN66"/>
  <c r="AM66"/>
  <c r="AL66"/>
  <c r="AK66"/>
  <c r="AJ66"/>
  <c r="AI66"/>
  <c r="AH66"/>
  <c r="AG66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105" i="1"/>
  <c r="D106"/>
  <c r="BN10" i="2"/>
  <c r="BP10" s="1"/>
  <c r="BL158"/>
  <c r="BK158"/>
  <c r="BJ158"/>
  <c r="BI158"/>
  <c r="BH158"/>
  <c r="BG158"/>
  <c r="BF158"/>
  <c r="BE158"/>
  <c r="BD158"/>
  <c r="BC158"/>
  <c r="BB158"/>
  <c r="BA158"/>
  <c r="AZ158"/>
  <c r="AY158"/>
  <c r="AX158"/>
  <c r="AW158"/>
  <c r="AV158"/>
  <c r="AU158"/>
  <c r="AT158"/>
  <c r="AS158"/>
  <c r="AR158"/>
  <c r="AQ158"/>
  <c r="AP158"/>
  <c r="AO158"/>
  <c r="AN158"/>
  <c r="AM158"/>
  <c r="AL158"/>
  <c r="AK158"/>
  <c r="AJ158"/>
  <c r="AI158"/>
  <c r="AH158"/>
  <c r="AG158"/>
  <c r="AF158"/>
  <c r="AE158"/>
  <c r="AD158"/>
  <c r="AC158"/>
  <c r="AB158"/>
  <c r="AA158"/>
  <c r="Z158"/>
  <c r="Y158"/>
  <c r="X158"/>
  <c r="W158"/>
  <c r="V158"/>
  <c r="U158"/>
  <c r="T158"/>
  <c r="S158"/>
  <c r="R158"/>
  <c r="Q158"/>
  <c r="P158"/>
  <c r="O158"/>
  <c r="N158"/>
  <c r="M158"/>
  <c r="L158"/>
  <c r="K158"/>
  <c r="J158"/>
  <c r="I158"/>
  <c r="H158"/>
  <c r="G158"/>
  <c r="F158"/>
  <c r="E158"/>
  <c r="D158"/>
  <c r="C158"/>
  <c r="B158"/>
  <c r="A158"/>
  <c r="BN155"/>
  <c r="BN154"/>
  <c r="BN153"/>
  <c r="BN152"/>
  <c r="BN151"/>
  <c r="BN150"/>
  <c r="BN149"/>
  <c r="BN148"/>
  <c r="BN147"/>
  <c r="BN146"/>
  <c r="BN145"/>
  <c r="BN144"/>
  <c r="BN143"/>
  <c r="BN142"/>
  <c r="BN141"/>
  <c r="BN140"/>
  <c r="BN139"/>
  <c r="BN138"/>
  <c r="BN137"/>
  <c r="BN136"/>
  <c r="BN135"/>
  <c r="BN134"/>
  <c r="BN133"/>
  <c r="BN132"/>
  <c r="BN131"/>
  <c r="BN130"/>
  <c r="BN129"/>
  <c r="BN128"/>
  <c r="BN127"/>
  <c r="BN126"/>
  <c r="BN125"/>
  <c r="BN124"/>
  <c r="BN123"/>
  <c r="BN122"/>
  <c r="BN121"/>
  <c r="BN120"/>
  <c r="BN119"/>
  <c r="BN118"/>
  <c r="BN117"/>
  <c r="BN116"/>
  <c r="BN115"/>
  <c r="BN114"/>
  <c r="BN113"/>
  <c r="BN112"/>
  <c r="BN111"/>
  <c r="BN110"/>
  <c r="BN109"/>
  <c r="BN108"/>
  <c r="BN107"/>
  <c r="BN106"/>
  <c r="BN105"/>
  <c r="BN104"/>
  <c r="BN103"/>
  <c r="BN102"/>
  <c r="BN101"/>
  <c r="BN100"/>
  <c r="BN99"/>
  <c r="BN98"/>
  <c r="BN97"/>
  <c r="BN96"/>
  <c r="BN95"/>
  <c r="BN94"/>
  <c r="BN91"/>
  <c r="BN90"/>
  <c r="BN89"/>
  <c r="BN88"/>
  <c r="BN87"/>
  <c r="BN86"/>
  <c r="BN85"/>
  <c r="BN84"/>
  <c r="BN83"/>
  <c r="BN82"/>
  <c r="BN81"/>
  <c r="BN80"/>
  <c r="BN79"/>
  <c r="BN93"/>
  <c r="BN92"/>
  <c r="BN78"/>
  <c r="BN77"/>
  <c r="BN76"/>
  <c r="BN75"/>
  <c r="BN74"/>
  <c r="BN73"/>
  <c r="BN72"/>
  <c r="BN71"/>
  <c r="BN70"/>
  <c r="BN69"/>
  <c r="BN68"/>
  <c r="BN67"/>
  <c r="BN66"/>
  <c r="BN65"/>
  <c r="BN64"/>
  <c r="BN63"/>
  <c r="BN62"/>
  <c r="BN61"/>
  <c r="BN60"/>
  <c r="BN59"/>
  <c r="BN58"/>
  <c r="BN57"/>
  <c r="BN56"/>
  <c r="BN55"/>
  <c r="BN54"/>
  <c r="BN53"/>
  <c r="BN52"/>
  <c r="BN51"/>
  <c r="BN50"/>
  <c r="BN49"/>
  <c r="BN48"/>
  <c r="BN47"/>
  <c r="BN46"/>
  <c r="BN45"/>
  <c r="BN44"/>
  <c r="BN43"/>
  <c r="BN42"/>
  <c r="BN41"/>
  <c r="BN40"/>
  <c r="BN39"/>
  <c r="BN38"/>
  <c r="BN37"/>
  <c r="BN36"/>
  <c r="BN35"/>
  <c r="BN34"/>
  <c r="BN33"/>
  <c r="BN32"/>
  <c r="BN31"/>
  <c r="BN30"/>
  <c r="BN29"/>
  <c r="BN28"/>
  <c r="BN27"/>
  <c r="BN26"/>
  <c r="BN25"/>
  <c r="BN24"/>
  <c r="BN23"/>
  <c r="BN22"/>
  <c r="BN21"/>
  <c r="BQ20"/>
  <c r="BQ21" s="1"/>
  <c r="BQ22" s="1"/>
  <c r="BQ23" s="1"/>
  <c r="BQ24" s="1"/>
  <c r="BQ25" s="1"/>
  <c r="BQ26" s="1"/>
  <c r="BQ27" s="1"/>
  <c r="BQ28" s="1"/>
  <c r="BQ29" s="1"/>
  <c r="BQ30" s="1"/>
  <c r="BQ31" s="1"/>
  <c r="BQ32" s="1"/>
  <c r="BQ33" s="1"/>
  <c r="BQ34" s="1"/>
  <c r="BQ35" s="1"/>
  <c r="BQ36" s="1"/>
  <c r="BQ37" s="1"/>
  <c r="BQ38" s="1"/>
  <c r="BQ39" s="1"/>
  <c r="BQ40" s="1"/>
  <c r="BQ41" s="1"/>
  <c r="BQ42" s="1"/>
  <c r="BQ43" s="1"/>
  <c r="BQ44" s="1"/>
  <c r="BQ45" s="1"/>
  <c r="BQ46" s="1"/>
  <c r="BQ47" s="1"/>
  <c r="BQ48" s="1"/>
  <c r="BQ49" s="1"/>
  <c r="BQ50" s="1"/>
  <c r="BQ51" s="1"/>
  <c r="BQ52" s="1"/>
  <c r="BQ53" s="1"/>
  <c r="BQ54" s="1"/>
  <c r="BQ55" s="1"/>
  <c r="BQ56" s="1"/>
  <c r="BQ57" s="1"/>
  <c r="BQ58" s="1"/>
  <c r="BQ59" s="1"/>
  <c r="BQ60" s="1"/>
  <c r="BQ61" s="1"/>
  <c r="BQ62" s="1"/>
  <c r="BQ63" s="1"/>
  <c r="BQ64" s="1"/>
  <c r="BQ65" s="1"/>
  <c r="BQ66" s="1"/>
  <c r="BQ67" s="1"/>
  <c r="BQ68" s="1"/>
  <c r="BQ69" s="1"/>
  <c r="BQ70" s="1"/>
  <c r="BQ71" s="1"/>
  <c r="BQ72" s="1"/>
  <c r="BQ73" s="1"/>
  <c r="BQ74" s="1"/>
  <c r="BQ75" s="1"/>
  <c r="BQ76" s="1"/>
  <c r="BQ77" s="1"/>
  <c r="BQ78" s="1"/>
  <c r="BN20"/>
  <c r="BN19"/>
  <c r="M105" i="1" s="1"/>
  <c r="BL18" i="2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N18"/>
  <c r="AM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18"/>
  <c r="BL17"/>
  <c r="BK17"/>
  <c r="BJ17"/>
  <c r="BI17"/>
  <c r="BH17"/>
  <c r="BG17"/>
  <c r="BF17"/>
  <c r="BE17"/>
  <c r="BD17"/>
  <c r="BC17"/>
  <c r="BB17"/>
  <c r="BA17"/>
  <c r="AZ17"/>
  <c r="AY17"/>
  <c r="AX17"/>
  <c r="AW17"/>
  <c r="AV17"/>
  <c r="AU17"/>
  <c r="AT17"/>
  <c r="AS17"/>
  <c r="AR17"/>
  <c r="AQ17"/>
  <c r="AP17"/>
  <c r="AO17"/>
  <c r="AN17"/>
  <c r="AM17"/>
  <c r="AL17"/>
  <c r="AK17"/>
  <c r="AJ17"/>
  <c r="AI17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17"/>
  <c r="BL16"/>
  <c r="BK16"/>
  <c r="BJ16"/>
  <c r="BI16"/>
  <c r="BH16"/>
  <c r="BG16"/>
  <c r="BF16"/>
  <c r="BE16"/>
  <c r="BD16"/>
  <c r="BC16"/>
  <c r="BB16"/>
  <c r="BA16"/>
  <c r="AZ16"/>
  <c r="AY16"/>
  <c r="AX16"/>
  <c r="AW16"/>
  <c r="AV16"/>
  <c r="AU16"/>
  <c r="AT16"/>
  <c r="AS16"/>
  <c r="AR16"/>
  <c r="AQ16"/>
  <c r="AP16"/>
  <c r="AO16"/>
  <c r="AN16"/>
  <c r="AM16"/>
  <c r="AL16"/>
  <c r="AK16"/>
  <c r="AJ16"/>
  <c r="AI16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16"/>
  <c r="BL15"/>
  <c r="BK15"/>
  <c r="BJ15"/>
  <c r="BI15"/>
  <c r="BI14" s="1"/>
  <c r="BH15"/>
  <c r="BG15"/>
  <c r="BF15"/>
  <c r="BE15"/>
  <c r="BE14" s="1"/>
  <c r="BD15"/>
  <c r="BC15"/>
  <c r="BB15"/>
  <c r="BB14" s="1"/>
  <c r="BA15"/>
  <c r="BA14" s="1"/>
  <c r="AZ15"/>
  <c r="AY15"/>
  <c r="AX15"/>
  <c r="AW15"/>
  <c r="AW14" s="1"/>
  <c r="AV15"/>
  <c r="AU15"/>
  <c r="AT15"/>
  <c r="AS15"/>
  <c r="AS14" s="1"/>
  <c r="AR15"/>
  <c r="AQ15"/>
  <c r="AP15"/>
  <c r="AO15"/>
  <c r="AO14" s="1"/>
  <c r="AN15"/>
  <c r="AM15"/>
  <c r="AL15"/>
  <c r="AK15"/>
  <c r="AK14" s="1"/>
  <c r="AJ15"/>
  <c r="AI15"/>
  <c r="AH15"/>
  <c r="AG15"/>
  <c r="AG14" s="1"/>
  <c r="AF15"/>
  <c r="AE15"/>
  <c r="AD15"/>
  <c r="AC15"/>
  <c r="AC14" s="1"/>
  <c r="AB15"/>
  <c r="AA15"/>
  <c r="Z15"/>
  <c r="Y15"/>
  <c r="Y14" s="1"/>
  <c r="X15"/>
  <c r="W15"/>
  <c r="V15"/>
  <c r="U15"/>
  <c r="U14" s="1"/>
  <c r="T15"/>
  <c r="S15"/>
  <c r="R15"/>
  <c r="Q15"/>
  <c r="Q14" s="1"/>
  <c r="P15"/>
  <c r="O15"/>
  <c r="N15"/>
  <c r="M15"/>
  <c r="M14" s="1"/>
  <c r="L15"/>
  <c r="K15"/>
  <c r="J15"/>
  <c r="I15"/>
  <c r="I14" s="1"/>
  <c r="H15"/>
  <c r="G15"/>
  <c r="F15"/>
  <c r="E15"/>
  <c r="E14" s="1"/>
  <c r="D15"/>
  <c r="C15"/>
  <c r="B15"/>
  <c r="A15"/>
  <c r="A14" s="1"/>
  <c r="F14"/>
  <c r="BL13"/>
  <c r="BK13"/>
  <c r="BJ13"/>
  <c r="BI13"/>
  <c r="BH13"/>
  <c r="BG13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N13"/>
  <c r="AM13"/>
  <c r="AL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13"/>
  <c r="BK1"/>
  <c r="BJ1" s="1"/>
  <c r="BI1" s="1"/>
  <c r="BH1" s="1"/>
  <c r="BG1" s="1"/>
  <c r="BF1" s="1"/>
  <c r="BE1" s="1"/>
  <c r="BD1" s="1"/>
  <c r="BC1" s="1"/>
  <c r="BB1" s="1"/>
  <c r="BA1" s="1"/>
  <c r="AZ1" s="1"/>
  <c r="AY1" s="1"/>
  <c r="AX1" s="1"/>
  <c r="AW1" s="1"/>
  <c r="AV1" s="1"/>
  <c r="AU1" s="1"/>
  <c r="AT1" s="1"/>
  <c r="AS1" s="1"/>
  <c r="AR1" s="1"/>
  <c r="AQ1" s="1"/>
  <c r="AP1" s="1"/>
  <c r="AO1" s="1"/>
  <c r="AN1" s="1"/>
  <c r="AM1" s="1"/>
  <c r="AL1" s="1"/>
  <c r="AK1" s="1"/>
  <c r="AJ1" s="1"/>
  <c r="AI1" s="1"/>
  <c r="AH1" s="1"/>
  <c r="AG1" s="1"/>
  <c r="AF1" s="1"/>
  <c r="AE1" s="1"/>
  <c r="AD1" s="1"/>
  <c r="AC1" s="1"/>
  <c r="AB1" s="1"/>
  <c r="AA1" s="1"/>
  <c r="Z1" s="1"/>
  <c r="Y1" s="1"/>
  <c r="X1" s="1"/>
  <c r="W1" s="1"/>
  <c r="V1" s="1"/>
  <c r="U1" s="1"/>
  <c r="T1" s="1"/>
  <c r="S1" s="1"/>
  <c r="R1" s="1"/>
  <c r="Q1" s="1"/>
  <c r="P1" s="1"/>
  <c r="O1" s="1"/>
  <c r="N1" s="1"/>
  <c r="M1" s="1"/>
  <c r="L1" s="1"/>
  <c r="K1" s="1"/>
  <c r="J1" s="1"/>
  <c r="I1" s="1"/>
  <c r="H1" s="1"/>
  <c r="G1" s="1"/>
  <c r="F1" s="1"/>
  <c r="E1" s="1"/>
  <c r="D1" s="1"/>
  <c r="C1" s="1"/>
  <c r="B1" s="1"/>
  <c r="A1" s="1"/>
  <c r="V14" l="1"/>
  <c r="V12" s="1"/>
  <c r="AL14"/>
  <c r="AL12" s="1"/>
  <c r="F12"/>
  <c r="BB12"/>
  <c r="B14"/>
  <c r="B12" s="1"/>
  <c r="J14"/>
  <c r="N14"/>
  <c r="R14"/>
  <c r="R12" s="1"/>
  <c r="Z14"/>
  <c r="AD14"/>
  <c r="AH14"/>
  <c r="AP14"/>
  <c r="AT14"/>
  <c r="AX14"/>
  <c r="BF14"/>
  <c r="BJ14"/>
  <c r="N12"/>
  <c r="AD12"/>
  <c r="AT12"/>
  <c r="D159"/>
  <c r="H159"/>
  <c r="L159"/>
  <c r="P159"/>
  <c r="T159"/>
  <c r="X159"/>
  <c r="AB159"/>
  <c r="AF159"/>
  <c r="AJ159"/>
  <c r="AN159"/>
  <c r="AR159"/>
  <c r="AV159"/>
  <c r="AZ159"/>
  <c r="BD159"/>
  <c r="BH159"/>
  <c r="BL159"/>
  <c r="J12"/>
  <c r="Z12"/>
  <c r="AP12"/>
  <c r="A159"/>
  <c r="E159"/>
  <c r="I159"/>
  <c r="M159"/>
  <c r="Q159"/>
  <c r="U159"/>
  <c r="Y159"/>
  <c r="AC159"/>
  <c r="AG159"/>
  <c r="AK159"/>
  <c r="AO159"/>
  <c r="AS159"/>
  <c r="AW159"/>
  <c r="BA159"/>
  <c r="BE159"/>
  <c r="BI159"/>
  <c r="AH12"/>
  <c r="AX12"/>
  <c r="BF12"/>
  <c r="BJ12"/>
  <c r="BN13"/>
  <c r="E12"/>
  <c r="I12"/>
  <c r="M12"/>
  <c r="Q12"/>
  <c r="U12"/>
  <c r="Y12"/>
  <c r="AC12"/>
  <c r="AG12"/>
  <c r="AK12"/>
  <c r="AO12"/>
  <c r="AS12"/>
  <c r="AW12"/>
  <c r="BA12"/>
  <c r="BE12"/>
  <c r="BI12"/>
  <c r="BN16"/>
  <c r="BN17"/>
  <c r="BN18"/>
  <c r="BN158"/>
  <c r="C159"/>
  <c r="G159"/>
  <c r="K159"/>
  <c r="O159"/>
  <c r="S159"/>
  <c r="W159"/>
  <c r="AA159"/>
  <c r="AE159"/>
  <c r="AI159"/>
  <c r="AM159"/>
  <c r="AQ159"/>
  <c r="AU159"/>
  <c r="AY159"/>
  <c r="BC159"/>
  <c r="BG159"/>
  <c r="BK159"/>
  <c r="D14"/>
  <c r="D12" s="1"/>
  <c r="H14"/>
  <c r="H12" s="1"/>
  <c r="L14"/>
  <c r="L12" s="1"/>
  <c r="P14"/>
  <c r="P12" s="1"/>
  <c r="T14"/>
  <c r="T12" s="1"/>
  <c r="X14"/>
  <c r="X12" s="1"/>
  <c r="AB14"/>
  <c r="AB12" s="1"/>
  <c r="AF14"/>
  <c r="AF12" s="1"/>
  <c r="AJ14"/>
  <c r="AJ12" s="1"/>
  <c r="AN14"/>
  <c r="AN12" s="1"/>
  <c r="AR14"/>
  <c r="AR12" s="1"/>
  <c r="AV14"/>
  <c r="AV12" s="1"/>
  <c r="AZ14"/>
  <c r="AZ12" s="1"/>
  <c r="BD14"/>
  <c r="BD12" s="1"/>
  <c r="BH14"/>
  <c r="BH12" s="1"/>
  <c r="BL14"/>
  <c r="BL12" s="1"/>
  <c r="B159"/>
  <c r="F159"/>
  <c r="J159"/>
  <c r="N159"/>
  <c r="R159"/>
  <c r="V159"/>
  <c r="Z159"/>
  <c r="AD159"/>
  <c r="AH159"/>
  <c r="AL159"/>
  <c r="AP159"/>
  <c r="AT159"/>
  <c r="AX159"/>
  <c r="BB159"/>
  <c r="BF159"/>
  <c r="BJ159"/>
  <c r="C14"/>
  <c r="C12" s="1"/>
  <c r="G14"/>
  <c r="G12" s="1"/>
  <c r="K14"/>
  <c r="K12" s="1"/>
  <c r="O14"/>
  <c r="O12" s="1"/>
  <c r="S14"/>
  <c r="S12" s="1"/>
  <c r="W14"/>
  <c r="W12" s="1"/>
  <c r="AA14"/>
  <c r="AA12" s="1"/>
  <c r="AE14"/>
  <c r="AE12" s="1"/>
  <c r="AI14"/>
  <c r="AI12" s="1"/>
  <c r="AM14"/>
  <c r="AM12" s="1"/>
  <c r="AQ14"/>
  <c r="AQ12" s="1"/>
  <c r="AU14"/>
  <c r="AU12" s="1"/>
  <c r="AY14"/>
  <c r="AY12" s="1"/>
  <c r="BC14"/>
  <c r="BC12" s="1"/>
  <c r="BG14"/>
  <c r="BG12" s="1"/>
  <c r="BK14"/>
  <c r="BK12" s="1"/>
  <c r="BN159"/>
  <c r="A12"/>
  <c r="BN15"/>
  <c r="BN14" l="1"/>
  <c r="BN12" s="1"/>
  <c r="M365" i="1"/>
  <c r="M319"/>
  <c r="M273"/>
  <c r="M227"/>
  <c r="M181"/>
  <c r="S22" l="1"/>
  <c r="S34" s="1"/>
  <c r="S41" s="1"/>
  <c r="S93" s="1"/>
  <c r="M99" s="1"/>
  <c r="S40" l="1"/>
  <c r="S92" s="1"/>
  <c r="M97" s="1"/>
  <c r="S39"/>
  <c r="S91" s="1"/>
  <c r="S38"/>
  <c r="S90" s="1"/>
  <c r="S37"/>
  <c r="M135" l="1"/>
  <c r="S94"/>
  <c r="M102"/>
  <c r="S42"/>
</calcChain>
</file>

<file path=xl/sharedStrings.xml><?xml version="1.0" encoding="utf-8"?>
<sst xmlns="http://schemas.openxmlformats.org/spreadsheetml/2006/main" count="11275" uniqueCount="457">
  <si>
    <t>الجمهورية التونسية</t>
  </si>
  <si>
    <t xml:space="preserve"> </t>
  </si>
  <si>
    <t>وزارة المالية</t>
  </si>
  <si>
    <t>قائمــــــة توزيــــــع منــــــابـــــات</t>
  </si>
  <si>
    <t>الإدارة العامة للديوانة</t>
  </si>
  <si>
    <t>( قرار وزير المالية المؤرخ في 25 نوفمبر 2019 المتعلق بضبط المناب الراجع للخزينة العامة من محصول</t>
  </si>
  <si>
    <t>الخطايا والمصادرات الناتج عن القضايا الواقع تتبعها من إدارة الديوانة وطرق توزيع ما زاد على ذلك)</t>
  </si>
  <si>
    <t xml:space="preserve">الجهوي بنزرت </t>
  </si>
  <si>
    <t>من المخالف المشار إليه أسفله</t>
  </si>
  <si>
    <t>بمقتضــــــــــى</t>
  </si>
  <si>
    <t>الوصولات وكشوفات مقابيض الميزانية الملحقة بهذا بعنوان خطية مالية أو خطية</t>
  </si>
  <si>
    <t>صلحيــــــــــــــــة أو محصــــــــــــــــول مصــــــادرة تبعا للمحضـــــــــر المحـــــــــرر مــن قبـــــــــــــــل</t>
  </si>
  <si>
    <t xml:space="preserve">المكتب الجهوي للديوانة بنزرت </t>
  </si>
  <si>
    <t>387</t>
  </si>
  <si>
    <t xml:space="preserve">بتاريـــــــــخ </t>
  </si>
  <si>
    <t>المبالغ الآتية:</t>
  </si>
  <si>
    <t>تفصيل المبالغ التي سيتم توزيعها</t>
  </si>
  <si>
    <t xml:space="preserve">الإدارة(1)المكتب الجهوي للديوانة  بنزرت </t>
  </si>
  <si>
    <t>المقابيض</t>
  </si>
  <si>
    <t>مبلغ المقابيض</t>
  </si>
  <si>
    <t>سبب المقابيض</t>
  </si>
  <si>
    <t xml:space="preserve">مكتب الديوانة </t>
  </si>
  <si>
    <t xml:space="preserve">الجهوي للديوانة بنزرت </t>
  </si>
  <si>
    <t>الرقم</t>
  </si>
  <si>
    <t>التاريخ</t>
  </si>
  <si>
    <t>رقم قائمة التوزيع (2)</t>
  </si>
  <si>
    <t>0</t>
  </si>
  <si>
    <t>خطية صلحية</t>
  </si>
  <si>
    <t>رقم التضميـن بدفتـر متابعــة قضــايـا</t>
  </si>
  <si>
    <t>12ـ21ـ01ـ07</t>
  </si>
  <si>
    <t>النزاعات</t>
  </si>
  <si>
    <t>السنة</t>
  </si>
  <si>
    <t>2023</t>
  </si>
  <si>
    <t>مجموع المقابيض :</t>
  </si>
  <si>
    <t>يخصم المبلغ</t>
  </si>
  <si>
    <t>إلى السيد (ة)</t>
  </si>
  <si>
    <t>اسم المخالف ولقبه</t>
  </si>
  <si>
    <t>اللازم لإرجاع</t>
  </si>
  <si>
    <t xml:space="preserve">الذي ( التي) تقدم(ت) بتسبقة </t>
  </si>
  <si>
    <t>مصاريف التتبع</t>
  </si>
  <si>
    <t>من ماله(ها) الشخصي</t>
  </si>
  <si>
    <t>نـــــــــوع</t>
  </si>
  <si>
    <t>مصاريف التقاضي</t>
  </si>
  <si>
    <t>تعداد الوثائق المصاحبة</t>
  </si>
  <si>
    <t>المصـاريف</t>
  </si>
  <si>
    <t>معلوم الطابع والتسجيل</t>
  </si>
  <si>
    <t xml:space="preserve">مصاريف نقل البضائع </t>
  </si>
  <si>
    <t>المحجوزة</t>
  </si>
  <si>
    <t xml:space="preserve">مجموع المصاريف : </t>
  </si>
  <si>
    <t>..............</t>
  </si>
  <si>
    <t>المبلغ الباقي للتوزيع:</t>
  </si>
  <si>
    <t>التوزيـــــع</t>
  </si>
  <si>
    <t>الخزينــة… ...... ........ ...... 60%</t>
  </si>
  <si>
    <t>المبلــــغ</t>
  </si>
  <si>
    <t>الحساب الخاص بمقاومة الغش و التهريب 1%</t>
  </si>
  <si>
    <t xml:space="preserve">الراجع إلى </t>
  </si>
  <si>
    <t>الحاجزون والمتدخلون المباشرون .≥ 5 %</t>
  </si>
  <si>
    <t>تعاونية أعوان الديوانة …............20 %</t>
  </si>
  <si>
    <t>الحساب الموحد للأعوان       14% +R</t>
  </si>
  <si>
    <t xml:space="preserve">المجمــــوع : </t>
  </si>
  <si>
    <t>(1) أذكر الإدارة الجهوية المعنية أو الإدارة العامة للديوانة</t>
  </si>
  <si>
    <t>(2) سلسلة موحّدة حسب كلّ سنة تصرف</t>
  </si>
  <si>
    <r>
      <t xml:space="preserve">حررت هذه القائمة من قبل(1) </t>
    </r>
    <r>
      <rPr>
        <sz val="14"/>
        <color rgb="FF000000"/>
        <rFont val="Calibri"/>
        <family val="2"/>
        <scheme val="minor"/>
      </rPr>
      <t xml:space="preserve"> </t>
    </r>
    <r>
      <rPr>
        <sz val="14"/>
        <color rgb="FF000000"/>
        <rFont val="Arial"/>
        <family val="2"/>
      </rPr>
      <t/>
    </r>
  </si>
  <si>
    <t xml:space="preserve">رئيس المكتب الجهوي للديوانة بنزرت </t>
  </si>
  <si>
    <t>الذي أوقف المبلغ الواجب إرجاعه</t>
  </si>
  <si>
    <t xml:space="preserve"> في حدود (2) </t>
  </si>
  <si>
    <t xml:space="preserve">سبعة الاف  و مائة و خمسون دينارا </t>
  </si>
  <si>
    <t xml:space="preserve">حسب التفصيل السابق بيانه وذلك من قبل(3) </t>
  </si>
  <si>
    <t xml:space="preserve"> قابض الديوانة بالمكتب الجهوي بنزرت </t>
  </si>
  <si>
    <t xml:space="preserve"> وهـــو مدعـــو للتنصيـــص بجـــذع الوصولات المستخرجة من دفتر " وصولات محاصيـل مختلفة " علــــــى</t>
  </si>
  <si>
    <t xml:space="preserve"> عدد الإصدار وتاريخه ومبلغ قائمة التوزيع هذه.  </t>
  </si>
  <si>
    <t xml:space="preserve"> حـــررّ بـ  </t>
  </si>
  <si>
    <t>بنزرت</t>
  </si>
  <si>
    <t xml:space="preserve">فـــي : </t>
  </si>
  <si>
    <t xml:space="preserve"> العميد : سمير البهلولي </t>
  </si>
  <si>
    <t xml:space="preserve">  الإمضاء والختم</t>
  </si>
  <si>
    <r>
      <t xml:space="preserve">                                                                                </t>
    </r>
    <r>
      <rPr>
        <sz val="14"/>
        <color rgb="FF000000"/>
        <rFont val="Calibri"/>
        <family val="2"/>
        <scheme val="minor"/>
      </rPr>
      <t xml:space="preserve"> </t>
    </r>
  </si>
  <si>
    <t xml:space="preserve">يشهــد قابـــــض مكتــب الديوانــــــة </t>
  </si>
  <si>
    <t xml:space="preserve">بنزرت </t>
  </si>
  <si>
    <t xml:space="preserve">الممضـــــي أسفله أنه تمّ التنصيــــص على </t>
  </si>
  <si>
    <t>عدد الإصـــدار</t>
  </si>
  <si>
    <t xml:space="preserve">وتاريخه ومقدار قائمة التوزيع هذه على جذع الوصولات المشار إليها أعلاه. </t>
  </si>
  <si>
    <t xml:space="preserve">فـــي: </t>
  </si>
  <si>
    <t xml:space="preserve">قابض للديوانة بالمكتب الجهوي بنزرت </t>
  </si>
  <si>
    <t xml:space="preserve">الرائـد : ايمن المرزوقي </t>
  </si>
  <si>
    <r>
      <t xml:space="preserve">تمّ خلاص مبلغ قدره (2) </t>
    </r>
    <r>
      <rPr>
        <sz val="14"/>
        <color rgb="FF000000"/>
        <rFont val="Calibri"/>
        <family val="2"/>
        <scheme val="minor"/>
      </rPr>
      <t xml:space="preserve"> </t>
    </r>
  </si>
  <si>
    <t xml:space="preserve"> الذي يمثل مقدار قائمة التوزيع هذه.</t>
  </si>
  <si>
    <t xml:space="preserve"> (1) اذكر الإسم واللقب والرتبة والصفة . </t>
  </si>
  <si>
    <t xml:space="preserve"> (2) اذكر المبلغ بلسان القلم .</t>
  </si>
  <si>
    <r>
      <t xml:space="preserve">(3) </t>
    </r>
    <r>
      <rPr>
        <sz val="11"/>
        <color rgb="FF000000"/>
        <rFont val="Arial"/>
        <family val="2"/>
      </rPr>
      <t xml:space="preserve">اذكر مكتب الديوانة المعني. </t>
    </r>
    <r>
      <rPr>
        <sz val="11"/>
        <color rgb="FF000000"/>
        <rFont val="Calibri"/>
        <family val="2"/>
        <scheme val="minor"/>
      </rPr>
      <t xml:space="preserve"> </t>
    </r>
  </si>
  <si>
    <t>قابـــــــــض  الديوانـــــــــة</t>
  </si>
  <si>
    <t xml:space="preserve">ببنزرت </t>
  </si>
  <si>
    <t>الحساب الخاص بمقاومة الغش و التهريب</t>
  </si>
  <si>
    <t>مطالب بصرف المبالغ حسب الشروط التالية:</t>
  </si>
  <si>
    <t>مناب الحاجزين والمتدخلين المباشرين</t>
  </si>
  <si>
    <t>مناب تعاونية أعوان الديوانة</t>
  </si>
  <si>
    <t>الحساب الموحد للأعوان</t>
  </si>
  <si>
    <t>المجموع :</t>
  </si>
  <si>
    <t>المبلغ الواجب دفعه</t>
  </si>
  <si>
    <t>تاريخ التسليم</t>
  </si>
  <si>
    <t>رقم ب ت و للمتسلم</t>
  </si>
  <si>
    <t>الإمضاء</t>
  </si>
  <si>
    <t>مبلغ</t>
  </si>
  <si>
    <r>
      <t xml:space="preserve">وصل ضمان مالي عدد </t>
    </r>
    <r>
      <rPr>
        <sz val="8"/>
        <color theme="1"/>
        <rFont val="Arial"/>
        <family val="2"/>
      </rPr>
      <t>.............</t>
    </r>
    <r>
      <rPr>
        <sz val="12"/>
        <color theme="1"/>
        <rFont val="Arial"/>
        <family val="2"/>
      </rPr>
      <t xml:space="preserve"> بتاريخ </t>
    </r>
    <r>
      <rPr>
        <sz val="8"/>
        <color theme="1"/>
        <rFont val="Arial"/>
        <family val="2"/>
      </rPr>
      <t>............................</t>
    </r>
  </si>
  <si>
    <t>_ إلى تعاونية أعوان الديوانة بعنوان منابها</t>
  </si>
  <si>
    <r>
      <t xml:space="preserve">وصل ضمان مالي عدد </t>
    </r>
    <r>
      <rPr>
        <sz val="8"/>
        <color theme="1"/>
        <rFont val="Arial"/>
        <family val="2"/>
      </rPr>
      <t>...........</t>
    </r>
    <r>
      <rPr>
        <sz val="12"/>
        <color theme="1"/>
        <rFont val="Arial"/>
        <family val="2"/>
      </rPr>
      <t xml:space="preserve"> بتاريخ </t>
    </r>
    <r>
      <rPr>
        <sz val="8"/>
        <color theme="1"/>
        <rFont val="Arial"/>
        <family val="2"/>
      </rPr>
      <t>.........................</t>
    </r>
  </si>
  <si>
    <t>_ إلى قابض مكتب الديوانة بتونس الميناء بعنوان</t>
  </si>
  <si>
    <t xml:space="preserve">_  إلى السيد(ة)  </t>
  </si>
  <si>
    <r>
      <t xml:space="preserve"> </t>
    </r>
    <r>
      <rPr>
        <b/>
        <sz val="10"/>
        <color rgb="FF000000"/>
        <rFont val="Arial"/>
        <family val="2"/>
      </rPr>
      <t>بعنوان منابه(ها) بصفته(ها)</t>
    </r>
    <r>
      <rPr>
        <b/>
        <sz val="10"/>
        <color rgb="FF000000"/>
        <rFont val="Calibri"/>
        <family val="2"/>
        <scheme val="minor"/>
      </rPr>
      <t xml:space="preserve">   </t>
    </r>
  </si>
  <si>
    <t>رئيس</t>
  </si>
  <si>
    <t>م مباشر</t>
  </si>
  <si>
    <t>مليم</t>
  </si>
  <si>
    <t>حاجز</t>
  </si>
  <si>
    <t xml:space="preserve">اربعون دينارا </t>
  </si>
  <si>
    <t xml:space="preserve">توصـل قـابض الديوانة بالمكتب  </t>
  </si>
  <si>
    <t xml:space="preserve">عدد المحضر </t>
  </si>
  <si>
    <t>50</t>
  </si>
  <si>
    <t>1/2025</t>
  </si>
  <si>
    <t xml:space="preserve">عدد المحاضر </t>
  </si>
  <si>
    <t>حرس الطريق السارة أ3</t>
  </si>
  <si>
    <t>حرس مرور ماطر</t>
  </si>
  <si>
    <t xml:space="preserve">حرس مرور بنزرت </t>
  </si>
  <si>
    <t xml:space="preserve">مركز الأمن العمومي باجة </t>
  </si>
  <si>
    <t xml:space="preserve">حرس منوبة </t>
  </si>
  <si>
    <t xml:space="preserve">حرس البطان </t>
  </si>
  <si>
    <t xml:space="preserve">اقليم بنزرت شرطة مرور  </t>
  </si>
  <si>
    <t xml:space="preserve">ف ح ت اريانة احالة حرس طبربة </t>
  </si>
  <si>
    <t xml:space="preserve">ف ح ت اريانة احالة حرس منطقة اريانة </t>
  </si>
  <si>
    <t xml:space="preserve">ف ح ت اريانة احالة حرس السعيدة </t>
  </si>
  <si>
    <t xml:space="preserve">ف ح ت باجة احالة حرس باجة  مركز الجنوبة </t>
  </si>
  <si>
    <t xml:space="preserve">ف ح ت اريانة احالة شرطة </t>
  </si>
  <si>
    <t xml:space="preserve">ف ح ت مجاز الباب </t>
  </si>
  <si>
    <t xml:space="preserve">اسم المخالف </t>
  </si>
  <si>
    <t>005/2025</t>
  </si>
  <si>
    <t>002/2025</t>
  </si>
  <si>
    <t>954/2024</t>
  </si>
  <si>
    <t>938/2024</t>
  </si>
  <si>
    <t>934/2024</t>
  </si>
  <si>
    <t>933/2024</t>
  </si>
  <si>
    <t>911/2024</t>
  </si>
  <si>
    <t>898/2024</t>
  </si>
  <si>
    <t>885/2024</t>
  </si>
  <si>
    <t>879/2024</t>
  </si>
  <si>
    <t>878/2024</t>
  </si>
  <si>
    <t>871/2024</t>
  </si>
  <si>
    <t>870/2024</t>
  </si>
  <si>
    <t>864/2024</t>
  </si>
  <si>
    <t>861/2024</t>
  </si>
  <si>
    <t>858/2024</t>
  </si>
  <si>
    <t>846/2024</t>
  </si>
  <si>
    <t>799/2024</t>
  </si>
  <si>
    <t>794/2024</t>
  </si>
  <si>
    <t>790/2024</t>
  </si>
  <si>
    <t>768/2024</t>
  </si>
  <si>
    <t>762/2024</t>
  </si>
  <si>
    <t>757/2024</t>
  </si>
  <si>
    <t>731/2024</t>
  </si>
  <si>
    <t>726/2024</t>
  </si>
  <si>
    <t>714/2024</t>
  </si>
  <si>
    <t>673/2024</t>
  </si>
  <si>
    <t>654/2024</t>
  </si>
  <si>
    <t>649/2024</t>
  </si>
  <si>
    <t>630/2024</t>
  </si>
  <si>
    <t>622/2024</t>
  </si>
  <si>
    <t>618/2024</t>
  </si>
  <si>
    <t>613/2024</t>
  </si>
  <si>
    <t>611/2024</t>
  </si>
  <si>
    <t>607/2024</t>
  </si>
  <si>
    <t>596/2024</t>
  </si>
  <si>
    <t>593/2024</t>
  </si>
  <si>
    <t>579/2024</t>
  </si>
  <si>
    <t>573/2024</t>
  </si>
  <si>
    <t>539/2024</t>
  </si>
  <si>
    <t>534/2024</t>
  </si>
  <si>
    <t>527/2024</t>
  </si>
  <si>
    <t>522/2024</t>
  </si>
  <si>
    <t>1015/2022</t>
  </si>
  <si>
    <t>793/2024</t>
  </si>
  <si>
    <t>288/2022</t>
  </si>
  <si>
    <t>1561/2022</t>
  </si>
  <si>
    <t>1457/2022</t>
  </si>
  <si>
    <t>214/2023</t>
  </si>
  <si>
    <t>17/2023</t>
  </si>
  <si>
    <t>778/2024</t>
  </si>
  <si>
    <t>725/2024</t>
  </si>
  <si>
    <t>652/2024</t>
  </si>
  <si>
    <t>662/2024</t>
  </si>
  <si>
    <t>624/2024</t>
  </si>
  <si>
    <t>502/2024</t>
  </si>
  <si>
    <t>1267/2022</t>
  </si>
  <si>
    <t>948/2023</t>
  </si>
  <si>
    <t>446/ 2024</t>
  </si>
  <si>
    <t>244/2024</t>
  </si>
  <si>
    <t>215/2024</t>
  </si>
  <si>
    <t>86/2024</t>
  </si>
  <si>
    <t>85/2024</t>
  </si>
  <si>
    <t>84/2024</t>
  </si>
  <si>
    <t>529/2025</t>
  </si>
  <si>
    <t>254/2025</t>
  </si>
  <si>
    <t>444/2024</t>
  </si>
  <si>
    <t>364/2024</t>
  </si>
  <si>
    <t>7350/2024</t>
  </si>
  <si>
    <t>7361/2024</t>
  </si>
  <si>
    <t>179/2024</t>
  </si>
  <si>
    <t>066/2024</t>
  </si>
  <si>
    <t>095/2024</t>
  </si>
  <si>
    <t>044/2024</t>
  </si>
  <si>
    <t>027/2024</t>
  </si>
  <si>
    <t>6963/2024</t>
  </si>
  <si>
    <t>822/2024</t>
  </si>
  <si>
    <t>881/2024</t>
  </si>
  <si>
    <t>824/2024</t>
  </si>
  <si>
    <t>838/2024</t>
  </si>
  <si>
    <t>404/2024</t>
  </si>
  <si>
    <t>376/2024</t>
  </si>
  <si>
    <t>307/2024</t>
  </si>
  <si>
    <t>6068/2024</t>
  </si>
  <si>
    <t>041/2024</t>
  </si>
  <si>
    <t>965/2024</t>
  </si>
  <si>
    <t>849/2024</t>
  </si>
  <si>
    <t>733/2024</t>
  </si>
  <si>
    <t>702/2024</t>
  </si>
  <si>
    <t>395/2024</t>
  </si>
  <si>
    <t>5245/2024</t>
  </si>
  <si>
    <t>203/2024</t>
  </si>
  <si>
    <t>123/2024</t>
  </si>
  <si>
    <t>5035/2024</t>
  </si>
  <si>
    <t>4977/2024</t>
  </si>
  <si>
    <t>983/2024</t>
  </si>
  <si>
    <t>970/2024</t>
  </si>
  <si>
    <t>015/2024</t>
  </si>
  <si>
    <t>839/2024</t>
  </si>
  <si>
    <t>857/2024</t>
  </si>
  <si>
    <t>718/2024</t>
  </si>
  <si>
    <t>761/2024</t>
  </si>
  <si>
    <t>567/2024</t>
  </si>
  <si>
    <t>498/2024</t>
  </si>
  <si>
    <t>484/2024</t>
  </si>
  <si>
    <t>4440/2024</t>
  </si>
  <si>
    <t>260/2022</t>
  </si>
  <si>
    <t>1716/2024</t>
  </si>
  <si>
    <t>2108/2022</t>
  </si>
  <si>
    <t>259/2022</t>
  </si>
  <si>
    <t>258/2023</t>
  </si>
  <si>
    <t>681/2023</t>
  </si>
  <si>
    <t>51/2023</t>
  </si>
  <si>
    <t>187/2024</t>
  </si>
  <si>
    <t>735/2024</t>
  </si>
  <si>
    <t>225/2024</t>
  </si>
  <si>
    <t>257/2024</t>
  </si>
  <si>
    <t>039/2024</t>
  </si>
  <si>
    <t>296/2024</t>
  </si>
  <si>
    <t>445/2022</t>
  </si>
  <si>
    <t>390/2023</t>
  </si>
  <si>
    <t>883/2024</t>
  </si>
  <si>
    <t>507/2024</t>
  </si>
  <si>
    <t>736/2024</t>
  </si>
  <si>
    <t>188/2024</t>
  </si>
  <si>
    <t>189/2024</t>
  </si>
  <si>
    <t>185/2024</t>
  </si>
  <si>
    <t xml:space="preserve">رقم  محضر باحث البداية </t>
  </si>
  <si>
    <t xml:space="preserve">رقم الوصل الخلاص </t>
  </si>
  <si>
    <t xml:space="preserve">تاريخ وصل الخلاص </t>
  </si>
  <si>
    <t xml:space="preserve">مبلغ الخطية </t>
  </si>
  <si>
    <t xml:space="preserve">رقم القائمة </t>
  </si>
  <si>
    <t xml:space="preserve">الجملة </t>
  </si>
  <si>
    <t>التعاونية                            20 %</t>
  </si>
  <si>
    <t>المتدخلين بصفة غير مباشرة    14 %</t>
  </si>
  <si>
    <t>الحاجزين و المتدخلين المباشرين 5 %</t>
  </si>
  <si>
    <t>المخبر                      1 %</t>
  </si>
  <si>
    <t>classement</t>
  </si>
  <si>
    <t xml:space="preserve">رئيس </t>
  </si>
  <si>
    <t>محجوب عبد الحفيظ</t>
  </si>
  <si>
    <t>شكري الجبري</t>
  </si>
  <si>
    <t xml:space="preserve">ياسر بوعلي </t>
  </si>
  <si>
    <t xml:space="preserve">رضا غريبي </t>
  </si>
  <si>
    <t xml:space="preserve">منتصر الغربي </t>
  </si>
  <si>
    <t xml:space="preserve">زياد الغربي </t>
  </si>
  <si>
    <t xml:space="preserve">رمزي الهميسي </t>
  </si>
  <si>
    <t xml:space="preserve">سمير الحناشي </t>
  </si>
  <si>
    <t xml:space="preserve">الصحبي الديماسي </t>
  </si>
  <si>
    <t>مختار الفتوي</t>
  </si>
  <si>
    <t>الحبيب بن سالم</t>
  </si>
  <si>
    <t xml:space="preserve">ف ح ت بنزرت </t>
  </si>
  <si>
    <t>محمد علي التليلي</t>
  </si>
  <si>
    <t xml:space="preserve">نبيل الدريدي </t>
  </si>
  <si>
    <t xml:space="preserve">يسري حداد </t>
  </si>
  <si>
    <t xml:space="preserve">رشدي الغانمي </t>
  </si>
  <si>
    <t xml:space="preserve">محمد بن حمدة </t>
  </si>
  <si>
    <t xml:space="preserve">ايمن المديوني </t>
  </si>
  <si>
    <t xml:space="preserve">وئام بن فرج </t>
  </si>
  <si>
    <t xml:space="preserve">حسين المنوبي </t>
  </si>
  <si>
    <t>وسام العياري</t>
  </si>
  <si>
    <t xml:space="preserve">ايمن السعيداني </t>
  </si>
  <si>
    <t xml:space="preserve">العربي بن يوسف </t>
  </si>
  <si>
    <t xml:space="preserve">كريم العيادي </t>
  </si>
  <si>
    <t xml:space="preserve">فاطمة البزازي </t>
  </si>
  <si>
    <t>عادل بن مبروك</t>
  </si>
  <si>
    <t xml:space="preserve">عبير البرجي </t>
  </si>
  <si>
    <t xml:space="preserve">النوري النفزي </t>
  </si>
  <si>
    <t xml:space="preserve">الهادي الدلالي </t>
  </si>
  <si>
    <t>عمر برينيص</t>
  </si>
  <si>
    <t xml:space="preserve">شكيب بالي </t>
  </si>
  <si>
    <t xml:space="preserve">سهيب المحمدي </t>
  </si>
  <si>
    <t xml:space="preserve">صبري المشرقي </t>
  </si>
  <si>
    <t>مراد هلال</t>
  </si>
  <si>
    <t>العربي الشهيدي</t>
  </si>
  <si>
    <t xml:space="preserve">اللجنة </t>
  </si>
  <si>
    <t xml:space="preserve">لسعد البلطي </t>
  </si>
  <si>
    <t xml:space="preserve">علي ذياب </t>
  </si>
  <si>
    <t xml:space="preserve">معز العثماني </t>
  </si>
  <si>
    <t xml:space="preserve">فوزي الأجهوري </t>
  </si>
  <si>
    <t xml:space="preserve">نور الدين النصري </t>
  </si>
  <si>
    <t xml:space="preserve">احلام حاجبي </t>
  </si>
  <si>
    <t xml:space="preserve">سمير البهلولي </t>
  </si>
  <si>
    <t>بلحسن اللموشي</t>
  </si>
  <si>
    <t>سماح الجبروني</t>
  </si>
  <si>
    <t xml:space="preserve">رئيس + لجنة </t>
  </si>
  <si>
    <t xml:space="preserve">سميح الرويسي </t>
  </si>
  <si>
    <t>حاتم غومة</t>
  </si>
  <si>
    <t xml:space="preserve">قابض </t>
  </si>
  <si>
    <t xml:space="preserve">ايمن المرزوقي </t>
  </si>
  <si>
    <t xml:space="preserve">اعداد قائمات التوزيع </t>
  </si>
  <si>
    <t xml:space="preserve">سفيان الرياحي </t>
  </si>
  <si>
    <t>وائل مبروك</t>
  </si>
  <si>
    <t xml:space="preserve">مساعد قابض </t>
  </si>
  <si>
    <t xml:space="preserve">احمد عبد ربه </t>
  </si>
  <si>
    <t xml:space="preserve">امين صندوق </t>
  </si>
  <si>
    <t xml:space="preserve">مروة بن سعد </t>
  </si>
  <si>
    <t xml:space="preserve">سوار خليفة </t>
  </si>
  <si>
    <t xml:space="preserve">نزاعات </t>
  </si>
  <si>
    <t xml:space="preserve">ريم الحناشي </t>
  </si>
  <si>
    <t xml:space="preserve">اميرة الفرشيشي </t>
  </si>
  <si>
    <t xml:space="preserve">ايمن الدقي </t>
  </si>
  <si>
    <t>استخلاص</t>
  </si>
  <si>
    <t>سمير الوردي</t>
  </si>
  <si>
    <t xml:space="preserve">لطيفة الشفرة </t>
  </si>
  <si>
    <t xml:space="preserve">نرجس قارة </t>
  </si>
  <si>
    <t xml:space="preserve">حسابيات و نزاعات </t>
  </si>
  <si>
    <t xml:space="preserve">احلام البرهومي </t>
  </si>
  <si>
    <t xml:space="preserve">رئيس خلية الإيداع و الحجز </t>
  </si>
  <si>
    <t xml:space="preserve">فرج هلال </t>
  </si>
  <si>
    <t xml:space="preserve">خلية الإيداع و الحجز </t>
  </si>
  <si>
    <t xml:space="preserve">بسام السالمي </t>
  </si>
  <si>
    <t xml:space="preserve">محمد  الدريدي </t>
  </si>
  <si>
    <t>حراسة بخلية الإيداع و الحجز</t>
  </si>
  <si>
    <t xml:space="preserve">مراد العرفاوي </t>
  </si>
  <si>
    <t xml:space="preserve">ابراهيم ليمام </t>
  </si>
  <si>
    <t xml:space="preserve">محمد كريم الجواني </t>
  </si>
  <si>
    <t xml:space="preserve">على الحشاني </t>
  </si>
  <si>
    <t xml:space="preserve">محمد بالراضية </t>
  </si>
  <si>
    <t xml:space="preserve">حمدي عكاشة </t>
  </si>
  <si>
    <t xml:space="preserve">حرس البطان طبربة </t>
  </si>
  <si>
    <t xml:space="preserve">نجيب الشهبي </t>
  </si>
  <si>
    <t xml:space="preserve">يوسف الحفناوي </t>
  </si>
  <si>
    <t xml:space="preserve">رامي الجبالي </t>
  </si>
  <si>
    <t xml:space="preserve">لندة الأندلسي </t>
  </si>
  <si>
    <t>ف ح ت مجاز الباب امر فصيل</t>
  </si>
  <si>
    <t>عدنان محجوبي</t>
  </si>
  <si>
    <t xml:space="preserve">كمال المالكي </t>
  </si>
  <si>
    <t>ف ح ت باجة</t>
  </si>
  <si>
    <t xml:space="preserve">ياسين القيطوني </t>
  </si>
  <si>
    <t xml:space="preserve">بلال العلوي </t>
  </si>
  <si>
    <t xml:space="preserve">اماني العمدوني </t>
  </si>
  <si>
    <t>ف ح ت أريانة</t>
  </si>
  <si>
    <t>الشاذلي ناجي</t>
  </si>
  <si>
    <t>خالد عرعار</t>
  </si>
  <si>
    <t xml:space="preserve">نبيلة جريدي </t>
  </si>
  <si>
    <t xml:space="preserve">ف ح ت اريانة </t>
  </si>
  <si>
    <t xml:space="preserve">نور الدين مزداري </t>
  </si>
  <si>
    <t xml:space="preserve">نبيل دبيش </t>
  </si>
  <si>
    <t xml:space="preserve">جلال العسكري </t>
  </si>
  <si>
    <t xml:space="preserve">حرس اريانة </t>
  </si>
  <si>
    <t xml:space="preserve">الأسعد قفصاوي </t>
  </si>
  <si>
    <t xml:space="preserve">معز الطرودي </t>
  </si>
  <si>
    <t xml:space="preserve">حرس طبربة </t>
  </si>
  <si>
    <t>ياسين بوضياف</t>
  </si>
  <si>
    <t xml:space="preserve">كريم البحري </t>
  </si>
  <si>
    <t xml:space="preserve">فوزي النهدي </t>
  </si>
  <si>
    <t>حرس بتبرسق</t>
  </si>
  <si>
    <t xml:space="preserve">رمزي بالطيب </t>
  </si>
  <si>
    <t xml:space="preserve">ايمن الرحاحلة </t>
  </si>
  <si>
    <t xml:space="preserve">زياد شوشان </t>
  </si>
  <si>
    <t xml:space="preserve">حرس باجة الجنوبية </t>
  </si>
  <si>
    <t>عيسى عبدلي</t>
  </si>
  <si>
    <t>زياد حوايجي</t>
  </si>
  <si>
    <t>منير المعيزي</t>
  </si>
  <si>
    <t xml:space="preserve">فتحي الورهاني </t>
  </si>
  <si>
    <t xml:space="preserve">محمد أمين سديري </t>
  </si>
  <si>
    <t xml:space="preserve">امن العمومي باجة </t>
  </si>
  <si>
    <t xml:space="preserve">زياد الجبري </t>
  </si>
  <si>
    <t xml:space="preserve">حمدي الصالحي </t>
  </si>
  <si>
    <t xml:space="preserve">صفوان الجميلي </t>
  </si>
  <si>
    <t xml:space="preserve">أمن الوطني بمنوبة ( شرطة ) </t>
  </si>
  <si>
    <t>أشرف العرفاوي</t>
  </si>
  <si>
    <t xml:space="preserve">محمد العبيدي </t>
  </si>
  <si>
    <t xml:space="preserve"> حرس منوبة  ابحاث </t>
  </si>
  <si>
    <t xml:space="preserve">علاء الدين الرابحي </t>
  </si>
  <si>
    <t xml:space="preserve">وليد الغزواني </t>
  </si>
  <si>
    <t xml:space="preserve">محمد بنعبيد </t>
  </si>
  <si>
    <t>حرس مرور بوسالم</t>
  </si>
  <si>
    <t>أحمد قداشي</t>
  </si>
  <si>
    <t>صبري العلوي</t>
  </si>
  <si>
    <t>شهاب البشيني</t>
  </si>
  <si>
    <t>منعم الغزواني</t>
  </si>
  <si>
    <t>سفيان الرواجي</t>
  </si>
  <si>
    <t>أحمد بن روينة</t>
  </si>
  <si>
    <t>أنيس العجرودي</t>
  </si>
  <si>
    <t xml:space="preserve">نبيل المعروفي </t>
  </si>
  <si>
    <t xml:space="preserve">منذر الزوابي </t>
  </si>
  <si>
    <t>فؤاد بن حامد</t>
  </si>
  <si>
    <t xml:space="preserve">احمد البوسعيدي </t>
  </si>
  <si>
    <t xml:space="preserve">اسامة الرزقي </t>
  </si>
  <si>
    <t xml:space="preserve">محمد القيزاني </t>
  </si>
  <si>
    <t xml:space="preserve">احمد الهمامي </t>
  </si>
  <si>
    <t xml:space="preserve">بوبكر السالمي </t>
  </si>
  <si>
    <t>أنور الشنوفي</t>
  </si>
  <si>
    <t>الصادق الصالحي</t>
  </si>
  <si>
    <t>حافظ العربي</t>
  </si>
  <si>
    <t>رياض التواتي</t>
  </si>
  <si>
    <t>الطيب الزواري</t>
  </si>
  <si>
    <t>المنجي لاجري</t>
  </si>
  <si>
    <t>حمزة صدوقة</t>
  </si>
  <si>
    <t xml:space="preserve">حرس السعيدة </t>
  </si>
  <si>
    <t xml:space="preserve">خالد العشري </t>
  </si>
  <si>
    <t xml:space="preserve">رمزي البجاوي </t>
  </si>
  <si>
    <t xml:space="preserve">شرطة مرور بنزرت </t>
  </si>
  <si>
    <t xml:space="preserve">عادل القديدي </t>
  </si>
  <si>
    <t xml:space="preserve">منصور المستوري </t>
  </si>
  <si>
    <t xml:space="preserve">صالح الهويشي </t>
  </si>
  <si>
    <t xml:space="preserve">وليد الصالحي </t>
  </si>
  <si>
    <t xml:space="preserve">صفية بوصلاح </t>
  </si>
  <si>
    <t xml:space="preserve">حرس مرور ماطر بنزرت </t>
  </si>
  <si>
    <t>رشيد الزغواني</t>
  </si>
  <si>
    <t>زياد الخميري</t>
  </si>
  <si>
    <t>هشام الحويجي</t>
  </si>
  <si>
    <t>محمد أمين الزوابي</t>
  </si>
  <si>
    <t>محمد أشرف البوسالمي</t>
  </si>
  <si>
    <t xml:space="preserve">أشرف البراهمي </t>
  </si>
  <si>
    <t>باسم المازني</t>
  </si>
  <si>
    <t xml:space="preserve">شرطة مرور راس الجبل </t>
  </si>
  <si>
    <t xml:space="preserve">معز المودب </t>
  </si>
  <si>
    <t xml:space="preserve">منصور المشوري </t>
  </si>
  <si>
    <t xml:space="preserve">فتحي التيزاوي </t>
  </si>
  <si>
    <t xml:space="preserve">نبيل اليحياوي </t>
  </si>
  <si>
    <t xml:space="preserve">وليد الجباري </t>
  </si>
  <si>
    <t>RECAP</t>
  </si>
  <si>
    <t xml:space="preserve">حاجز </t>
  </si>
  <si>
    <t xml:space="preserve">متدخل </t>
  </si>
  <si>
    <t>تسند للحاجزون  مبلغ ضعف  المتدخل من نسبة 5%</t>
  </si>
  <si>
    <t>تسند للمتدخلون نصف المبلغ المسند للحاجز  من نسبة 5%</t>
  </si>
  <si>
    <t xml:space="preserve">حرس  -  شرطة و ادارات اخرى </t>
  </si>
  <si>
    <t xml:space="preserve">رقم تضمين المحضر بالمكتب </t>
  </si>
  <si>
    <t xml:space="preserve">تسند للرئساء نسبة 10% من نسبة 5%  و لتحديد عدد الرؤساء نعتمد التقرير الموجز </t>
  </si>
  <si>
    <r>
      <t xml:space="preserve">تسند المبالغ المتبقة من عملية التقسيم </t>
    </r>
    <r>
      <rPr>
        <b/>
        <sz val="11"/>
        <color rgb="FFFF0000"/>
        <rFont val="Calibri"/>
        <family val="2"/>
        <scheme val="minor"/>
      </rPr>
      <t>للمتدخلين بصفة غير مباشرة 14%</t>
    </r>
  </si>
  <si>
    <t>D/U</t>
  </si>
  <si>
    <t>RIB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</si>
</sst>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;[Red]0.000"/>
    <numFmt numFmtId="166" formatCode="#,##0.000"/>
  </numFmts>
  <fonts count="6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6"/>
      <color theme="1"/>
      <name val="Arial"/>
      <family val="2"/>
    </font>
    <font>
      <b/>
      <i/>
      <sz val="16"/>
      <color theme="1"/>
      <name val="Arial"/>
      <family val="2"/>
    </font>
    <font>
      <sz val="16"/>
      <color theme="1"/>
      <name val="Calibri"/>
      <family val="2"/>
      <charset val="178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charset val="178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5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8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8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0070C0"/>
      <name val="Calibri"/>
      <family val="2"/>
      <scheme val="minor"/>
    </font>
    <font>
      <sz val="13"/>
      <color theme="1"/>
      <name val="Arial"/>
      <family val="2"/>
    </font>
    <font>
      <sz val="14"/>
      <color rgb="FF0070C0"/>
      <name val="Calibri"/>
      <family val="2"/>
      <scheme val="minor"/>
    </font>
    <font>
      <b/>
      <i/>
      <sz val="14"/>
      <color theme="1"/>
      <name val="Arial"/>
      <family val="2"/>
    </font>
    <font>
      <sz val="11"/>
      <color theme="1"/>
      <name val="Arial"/>
      <family val="2"/>
    </font>
    <font>
      <b/>
      <sz val="8"/>
      <color rgb="FF0000FF"/>
      <name val="Arial"/>
      <family val="2"/>
    </font>
    <font>
      <b/>
      <sz val="12"/>
      <color theme="4" tint="-0.249977111117893"/>
      <name val="Arial"/>
      <family val="2"/>
    </font>
    <font>
      <i/>
      <sz val="10"/>
      <color theme="1"/>
      <name val="Arial"/>
      <family val="2"/>
    </font>
    <font>
      <sz val="14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B0F0"/>
      <name val="Calibri"/>
      <family val="2"/>
      <scheme val="minor"/>
    </font>
    <font>
      <sz val="14"/>
      <color rgb="FF00B0F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A5A5A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6" borderId="51" applyNumberFormat="0" applyAlignment="0" applyProtection="0"/>
  </cellStyleXfs>
  <cellXfs count="562">
    <xf numFmtId="0" fontId="0" fillId="0" borderId="0" xfId="0"/>
    <xf numFmtId="0" fontId="0" fillId="0" borderId="0" xfId="0"/>
    <xf numFmtId="0" fontId="4" fillId="0" borderId="0" xfId="0" applyFont="1"/>
    <xf numFmtId="0" fontId="3" fillId="0" borderId="0" xfId="0" applyFont="1"/>
    <xf numFmtId="0" fontId="4" fillId="0" borderId="15" xfId="0" applyFont="1" applyBorder="1"/>
    <xf numFmtId="0" fontId="4" fillId="0" borderId="2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17" xfId="0" applyFont="1" applyBorder="1" applyAlignment="1">
      <alignment horizontal="center"/>
    </xf>
    <xf numFmtId="0" fontId="4" fillId="0" borderId="17" xfId="0" applyFont="1" applyBorder="1"/>
    <xf numFmtId="0" fontId="4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wrapText="1"/>
    </xf>
    <xf numFmtId="0" fontId="5" fillId="0" borderId="0" xfId="0" applyFont="1" applyBorder="1" applyAlignment="1"/>
    <xf numFmtId="165" fontId="4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left" wrapText="1"/>
    </xf>
    <xf numFmtId="0" fontId="6" fillId="0" borderId="0" xfId="0" applyFont="1" applyBorder="1" applyAlignment="1"/>
    <xf numFmtId="0" fontId="12" fillId="0" borderId="0" xfId="0" applyFont="1"/>
    <xf numFmtId="0" fontId="5" fillId="0" borderId="2" xfId="0" applyFont="1" applyBorder="1"/>
    <xf numFmtId="0" fontId="7" fillId="0" borderId="0" xfId="0" applyFont="1" applyBorder="1"/>
    <xf numFmtId="0" fontId="4" fillId="0" borderId="20" xfId="0" applyFont="1" applyBorder="1" applyAlignment="1">
      <alignment horizontal="left"/>
    </xf>
    <xf numFmtId="0" fontId="12" fillId="0" borderId="0" xfId="0" applyFont="1" applyBorder="1"/>
    <xf numFmtId="0" fontId="27" fillId="0" borderId="0" xfId="0" applyFont="1" applyBorder="1"/>
    <xf numFmtId="0" fontId="12" fillId="0" borderId="0" xfId="0" applyFont="1" applyBorder="1" applyAlignment="1"/>
    <xf numFmtId="0" fontId="0" fillId="0" borderId="0" xfId="0" applyBorder="1"/>
    <xf numFmtId="0" fontId="14" fillId="0" borderId="0" xfId="0" applyFont="1" applyBorder="1" applyAlignment="1">
      <alignment readingOrder="2"/>
    </xf>
    <xf numFmtId="0" fontId="14" fillId="0" borderId="0" xfId="0" applyFont="1" applyBorder="1"/>
    <xf numFmtId="0" fontId="14" fillId="0" borderId="0" xfId="0" applyFont="1" applyBorder="1" applyAlignment="1"/>
    <xf numFmtId="0" fontId="2" fillId="0" borderId="0" xfId="0" applyFont="1" applyBorder="1" applyAlignment="1">
      <alignment readingOrder="2"/>
    </xf>
    <xf numFmtId="0" fontId="22" fillId="0" borderId="0" xfId="0" applyFont="1" applyAlignment="1">
      <alignment horizontal="right" readingOrder="2"/>
    </xf>
    <xf numFmtId="0" fontId="5" fillId="0" borderId="20" xfId="0" applyFont="1" applyBorder="1" applyAlignment="1"/>
    <xf numFmtId="0" fontId="4" fillId="0" borderId="17" xfId="0" applyFont="1" applyBorder="1" applyAlignment="1">
      <alignment wrapText="1"/>
    </xf>
    <xf numFmtId="0" fontId="12" fillId="0" borderId="2" xfId="0" applyFont="1" applyBorder="1"/>
    <xf numFmtId="0" fontId="12" fillId="0" borderId="0" xfId="0" applyFont="1" applyBorder="1" applyAlignment="1">
      <alignment readingOrder="2"/>
    </xf>
    <xf numFmtId="49" fontId="26" fillId="0" borderId="0" xfId="0" applyNumberFormat="1" applyFont="1" applyAlignment="1">
      <alignment horizontal="right" wrapText="1" readingOrder="2"/>
    </xf>
    <xf numFmtId="0" fontId="12" fillId="0" borderId="0" xfId="0" applyFont="1" applyAlignment="1">
      <alignment horizontal="center"/>
    </xf>
    <xf numFmtId="0" fontId="4" fillId="0" borderId="0" xfId="0" applyFont="1" applyBorder="1" applyAlignment="1">
      <alignment wrapText="1"/>
    </xf>
    <xf numFmtId="0" fontId="4" fillId="4" borderId="1" xfId="0" applyFont="1" applyFill="1" applyBorder="1" applyAlignment="1">
      <alignment horizontal="center" readingOrder="2"/>
    </xf>
    <xf numFmtId="0" fontId="4" fillId="0" borderId="5" xfId="0" applyFont="1" applyBorder="1" applyAlignment="1">
      <alignment horizontal="center" readingOrder="2"/>
    </xf>
    <xf numFmtId="0" fontId="4" fillId="0" borderId="10" xfId="0" applyFont="1" applyBorder="1" applyAlignment="1">
      <alignment horizontal="center" readingOrder="2"/>
    </xf>
    <xf numFmtId="14" fontId="4" fillId="0" borderId="18" xfId="0" applyNumberFormat="1" applyFont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4" borderId="29" xfId="0" applyFont="1" applyFill="1" applyBorder="1"/>
    <xf numFmtId="0" fontId="9" fillId="4" borderId="33" xfId="0" applyFont="1" applyFill="1" applyBorder="1"/>
    <xf numFmtId="0" fontId="4" fillId="4" borderId="33" xfId="0" applyFont="1" applyFill="1" applyBorder="1"/>
    <xf numFmtId="0" fontId="4" fillId="4" borderId="34" xfId="0" applyFont="1" applyFill="1" applyBorder="1"/>
    <xf numFmtId="0" fontId="31" fillId="0" borderId="17" xfId="0" applyFont="1" applyBorder="1"/>
    <xf numFmtId="0" fontId="12" fillId="2" borderId="0" xfId="0" applyFont="1" applyFill="1" applyBorder="1" applyAlignment="1">
      <alignment horizontal="right" wrapText="1"/>
    </xf>
    <xf numFmtId="0" fontId="12" fillId="2" borderId="0" xfId="0" applyFont="1" applyFill="1" applyBorder="1"/>
    <xf numFmtId="165" fontId="33" fillId="0" borderId="18" xfId="0" applyNumberFormat="1" applyFont="1" applyBorder="1" applyAlignment="1">
      <alignment horizontal="center"/>
    </xf>
    <xf numFmtId="0" fontId="5" fillId="0" borderId="12" xfId="0" applyFont="1" applyBorder="1" applyAlignment="1"/>
    <xf numFmtId="0" fontId="4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NumberFormat="1" applyFont="1" applyProtection="1">
      <protection locked="0"/>
    </xf>
    <xf numFmtId="0" fontId="20" fillId="0" borderId="0" xfId="0" applyFont="1" applyAlignment="1" applyProtection="1">
      <alignment horizontal="center" readingOrder="2"/>
      <protection locked="0"/>
    </xf>
    <xf numFmtId="0" fontId="12" fillId="0" borderId="0" xfId="0" applyFont="1" applyAlignment="1" applyProtection="1">
      <alignment horizontal="center" readingOrder="2"/>
      <protection locked="0"/>
    </xf>
    <xf numFmtId="0" fontId="14" fillId="0" borderId="0" xfId="0" applyFont="1" applyProtection="1">
      <protection locked="0"/>
    </xf>
    <xf numFmtId="0" fontId="14" fillId="0" borderId="0" xfId="0" applyNumberFormat="1" applyFont="1" applyProtection="1">
      <protection locked="0"/>
    </xf>
    <xf numFmtId="0" fontId="14" fillId="0" borderId="0" xfId="0" applyFont="1" applyAlignment="1" applyProtection="1">
      <alignment horizontal="center" readingOrder="2"/>
      <protection locked="0"/>
    </xf>
    <xf numFmtId="0" fontId="4" fillId="0" borderId="0" xfId="0" applyFont="1" applyAlignment="1" applyProtection="1">
      <protection locked="0"/>
    </xf>
    <xf numFmtId="0" fontId="12" fillId="0" borderId="0" xfId="0" applyFont="1" applyProtection="1">
      <protection locked="0"/>
    </xf>
    <xf numFmtId="0" fontId="25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9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Protection="1">
      <protection locked="0"/>
    </xf>
    <xf numFmtId="0" fontId="14" fillId="0" borderId="0" xfId="0" applyFont="1" applyBorder="1" applyAlignment="1" applyProtection="1">
      <alignment readingOrder="2"/>
      <protection locked="0"/>
    </xf>
    <xf numFmtId="0" fontId="4" fillId="0" borderId="0" xfId="0" applyFont="1" applyProtection="1"/>
    <xf numFmtId="0" fontId="3" fillId="0" borderId="0" xfId="0" applyFont="1" applyProtection="1"/>
    <xf numFmtId="0" fontId="4" fillId="0" borderId="0" xfId="0" applyNumberFormat="1" applyFont="1" applyProtection="1"/>
    <xf numFmtId="0" fontId="12" fillId="0" borderId="17" xfId="0" applyFont="1" applyBorder="1"/>
    <xf numFmtId="0" fontId="24" fillId="0" borderId="0" xfId="0" applyFont="1" applyBorder="1" applyAlignment="1"/>
    <xf numFmtId="0" fontId="14" fillId="0" borderId="20" xfId="0" applyFont="1" applyBorder="1" applyAlignment="1" applyProtection="1">
      <alignment readingOrder="2"/>
      <protection locked="0"/>
    </xf>
    <xf numFmtId="0" fontId="12" fillId="0" borderId="20" xfId="0" applyFont="1" applyBorder="1"/>
    <xf numFmtId="0" fontId="12" fillId="0" borderId="20" xfId="0" applyFont="1" applyBorder="1" applyAlignment="1"/>
    <xf numFmtId="0" fontId="12" fillId="0" borderId="15" xfId="0" applyFont="1" applyBorder="1"/>
    <xf numFmtId="0" fontId="15" fillId="0" borderId="17" xfId="0" applyFont="1" applyBorder="1" applyAlignment="1">
      <alignment horizontal="right" readingOrder="2"/>
    </xf>
    <xf numFmtId="0" fontId="1" fillId="0" borderId="0" xfId="0" applyFont="1" applyBorder="1"/>
    <xf numFmtId="0" fontId="0" fillId="0" borderId="15" xfId="0" applyBorder="1"/>
    <xf numFmtId="0" fontId="0" fillId="0" borderId="2" xfId="0" applyBorder="1"/>
    <xf numFmtId="0" fontId="0" fillId="0" borderId="16" xfId="0" applyBorder="1"/>
    <xf numFmtId="0" fontId="1" fillId="0" borderId="0" xfId="0" applyFont="1" applyBorder="1" applyProtection="1">
      <protection locked="0"/>
    </xf>
    <xf numFmtId="0" fontId="1" fillId="0" borderId="18" xfId="0" applyFont="1" applyBorder="1" applyProtection="1">
      <protection locked="0"/>
    </xf>
    <xf numFmtId="0" fontId="1" fillId="0" borderId="18" xfId="0" applyFont="1" applyBorder="1"/>
    <xf numFmtId="0" fontId="17" fillId="0" borderId="17" xfId="0" applyFont="1" applyBorder="1" applyAlignment="1">
      <alignment horizontal="right" readingOrder="2"/>
    </xf>
    <xf numFmtId="0" fontId="17" fillId="0" borderId="17" xfId="0" applyFont="1" applyBorder="1" applyAlignment="1" applyProtection="1">
      <alignment horizontal="right" readingOrder="2"/>
      <protection locked="0"/>
    </xf>
    <xf numFmtId="0" fontId="0" fillId="0" borderId="17" xfId="0" applyBorder="1"/>
    <xf numFmtId="0" fontId="0" fillId="0" borderId="18" xfId="0" applyBorder="1"/>
    <xf numFmtId="0" fontId="18" fillId="0" borderId="17" xfId="0" applyFont="1" applyBorder="1" applyAlignment="1">
      <alignment horizontal="right" readingOrder="2"/>
    </xf>
    <xf numFmtId="0" fontId="0" fillId="0" borderId="20" xfId="0" applyBorder="1"/>
    <xf numFmtId="0" fontId="12" fillId="2" borderId="2" xfId="0" applyFont="1" applyFill="1" applyBorder="1" applyAlignment="1">
      <alignment horizontal="right" wrapText="1"/>
    </xf>
    <xf numFmtId="0" fontId="12" fillId="2" borderId="20" xfId="0" applyFont="1" applyFill="1" applyBorder="1"/>
    <xf numFmtId="0" fontId="18" fillId="0" borderId="19" xfId="0" applyFont="1" applyBorder="1" applyAlignment="1">
      <alignment horizontal="right" readingOrder="2"/>
    </xf>
    <xf numFmtId="0" fontId="13" fillId="0" borderId="2" xfId="0" applyFont="1" applyBorder="1"/>
    <xf numFmtId="0" fontId="12" fillId="0" borderId="30" xfId="0" applyFont="1" applyBorder="1" applyAlignment="1" applyProtection="1">
      <alignment horizontal="center"/>
    </xf>
    <xf numFmtId="0" fontId="12" fillId="0" borderId="39" xfId="0" applyFont="1" applyBorder="1" applyAlignment="1" applyProtection="1">
      <alignment vertical="center" wrapText="1"/>
    </xf>
    <xf numFmtId="49" fontId="12" fillId="0" borderId="39" xfId="0" applyNumberFormat="1" applyFont="1" applyBorder="1" applyProtection="1"/>
    <xf numFmtId="49" fontId="12" fillId="0" borderId="39" xfId="0" applyNumberFormat="1" applyFont="1" applyBorder="1" applyAlignment="1" applyProtection="1">
      <alignment horizontal="center"/>
    </xf>
    <xf numFmtId="0" fontId="8" fillId="0" borderId="39" xfId="0" applyFont="1" applyBorder="1" applyAlignment="1" applyProtection="1">
      <alignment horizontal="center"/>
    </xf>
    <xf numFmtId="0" fontId="12" fillId="0" borderId="39" xfId="0" applyFont="1" applyBorder="1" applyAlignment="1" applyProtection="1">
      <alignment vertical="center"/>
    </xf>
    <xf numFmtId="0" fontId="0" fillId="0" borderId="39" xfId="0" applyBorder="1" applyProtection="1"/>
    <xf numFmtId="0" fontId="12" fillId="0" borderId="39" xfId="0" applyFont="1" applyBorder="1" applyProtection="1"/>
    <xf numFmtId="0" fontId="28" fillId="0" borderId="39" xfId="0" applyFont="1" applyBorder="1" applyProtection="1"/>
    <xf numFmtId="49" fontId="12" fillId="0" borderId="31" xfId="0" applyNumberFormat="1" applyFont="1" applyBorder="1" applyAlignment="1" applyProtection="1">
      <alignment horizontal="center"/>
    </xf>
    <xf numFmtId="0" fontId="28" fillId="0" borderId="0" xfId="0" applyFont="1" applyBorder="1" applyProtection="1"/>
    <xf numFmtId="0" fontId="12" fillId="0" borderId="0" xfId="0" applyFont="1" applyBorder="1" applyProtection="1"/>
    <xf numFmtId="0" fontId="8" fillId="0" borderId="18" xfId="0" applyFont="1" applyBorder="1" applyAlignment="1" applyProtection="1">
      <alignment horizontal="center"/>
    </xf>
    <xf numFmtId="0" fontId="12" fillId="0" borderId="18" xfId="0" applyFont="1" applyBorder="1" applyProtection="1"/>
    <xf numFmtId="49" fontId="12" fillId="0" borderId="18" xfId="0" applyNumberFormat="1" applyFont="1" applyBorder="1" applyAlignment="1" applyProtection="1">
      <alignment horizontal="center"/>
    </xf>
    <xf numFmtId="49" fontId="12" fillId="0" borderId="21" xfId="0" applyNumberFormat="1" applyFont="1" applyBorder="1" applyAlignment="1" applyProtection="1">
      <alignment horizontal="center"/>
    </xf>
    <xf numFmtId="49" fontId="12" fillId="0" borderId="0" xfId="0" applyNumberFormat="1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  <xf numFmtId="0" fontId="12" fillId="0" borderId="20" xfId="0" applyFont="1" applyBorder="1" applyProtection="1"/>
    <xf numFmtId="0" fontId="22" fillId="0" borderId="17" xfId="0" applyFont="1" applyBorder="1" applyAlignment="1" applyProtection="1">
      <alignment horizontal="right" readingOrder="2"/>
    </xf>
    <xf numFmtId="0" fontId="14" fillId="0" borderId="0" xfId="0" applyFont="1" applyBorder="1" applyAlignment="1" applyProtection="1">
      <alignment readingOrder="2"/>
    </xf>
    <xf numFmtId="0" fontId="22" fillId="0" borderId="19" xfId="0" applyFont="1" applyBorder="1" applyAlignment="1" applyProtection="1">
      <alignment horizontal="right" readingOrder="2"/>
    </xf>
    <xf numFmtId="0" fontId="14" fillId="0" borderId="20" xfId="0" applyFont="1" applyBorder="1" applyAlignment="1" applyProtection="1">
      <alignment readingOrder="2"/>
    </xf>
    <xf numFmtId="0" fontId="12" fillId="0" borderId="17" xfId="0" applyFont="1" applyBorder="1" applyAlignment="1" applyProtection="1">
      <alignment readingOrder="2"/>
    </xf>
    <xf numFmtId="0" fontId="12" fillId="0" borderId="0" xfId="0" applyFont="1" applyBorder="1" applyAlignment="1" applyProtection="1">
      <alignment readingOrder="2"/>
    </xf>
    <xf numFmtId="0" fontId="12" fillId="0" borderId="42" xfId="0" applyFont="1" applyBorder="1" applyAlignment="1" applyProtection="1">
      <alignment horizontal="center"/>
    </xf>
    <xf numFmtId="0" fontId="14" fillId="0" borderId="0" xfId="0" applyFont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</xf>
    <xf numFmtId="0" fontId="8" fillId="0" borderId="16" xfId="0" applyFont="1" applyBorder="1" applyAlignment="1" applyProtection="1">
      <alignment horizontal="center"/>
    </xf>
    <xf numFmtId="0" fontId="0" fillId="0" borderId="0" xfId="0" applyBorder="1" applyProtection="1"/>
    <xf numFmtId="0" fontId="0" fillId="0" borderId="20" xfId="0" applyBorder="1" applyProtection="1"/>
    <xf numFmtId="0" fontId="0" fillId="0" borderId="18" xfId="0" applyBorder="1" applyProtection="1"/>
    <xf numFmtId="0" fontId="0" fillId="0" borderId="21" xfId="0" applyBorder="1" applyProtection="1"/>
    <xf numFmtId="0" fontId="9" fillId="0" borderId="0" xfId="0" applyFont="1" applyAlignment="1" applyProtection="1">
      <alignment horizontal="right"/>
      <protection locked="0"/>
    </xf>
    <xf numFmtId="0" fontId="14" fillId="0" borderId="0" xfId="0" applyFont="1" applyAlignment="1" applyProtection="1">
      <protection locked="0"/>
    </xf>
    <xf numFmtId="0" fontId="14" fillId="0" borderId="0" xfId="0" applyFont="1" applyAlignment="1" applyProtection="1">
      <alignment readingOrder="2"/>
      <protection locked="0"/>
    </xf>
    <xf numFmtId="165" fontId="33" fillId="0" borderId="33" xfId="0" applyNumberFormat="1" applyFont="1" applyBorder="1" applyAlignment="1">
      <alignment horizontal="center"/>
    </xf>
    <xf numFmtId="0" fontId="9" fillId="0" borderId="0" xfId="0" applyFont="1" applyBorder="1" applyAlignment="1" applyProtection="1">
      <protection locked="0"/>
    </xf>
    <xf numFmtId="49" fontId="32" fillId="0" borderId="0" xfId="0" applyNumberFormat="1" applyFont="1" applyBorder="1" applyAlignment="1" applyProtection="1">
      <protection locked="0"/>
    </xf>
    <xf numFmtId="49" fontId="38" fillId="0" borderId="0" xfId="0" applyNumberFormat="1" applyFont="1" applyBorder="1" applyAlignment="1" applyProtection="1">
      <protection locked="0"/>
    </xf>
    <xf numFmtId="165" fontId="9" fillId="0" borderId="0" xfId="0" applyNumberFormat="1" applyFont="1" applyBorder="1" applyAlignment="1">
      <alignment horizontal="center" shrinkToFit="1"/>
    </xf>
    <xf numFmtId="0" fontId="34" fillId="0" borderId="22" xfId="0" applyFont="1" applyBorder="1" applyAlignment="1" applyProtection="1">
      <alignment horizontal="center" shrinkToFit="1"/>
      <protection locked="0"/>
    </xf>
    <xf numFmtId="0" fontId="5" fillId="4" borderId="23" xfId="0" applyFont="1" applyFill="1" applyBorder="1" applyAlignment="1" applyProtection="1">
      <alignment shrinkToFit="1"/>
      <protection locked="0"/>
    </xf>
    <xf numFmtId="0" fontId="32" fillId="0" borderId="0" xfId="0" applyFont="1" applyBorder="1" applyAlignment="1" applyProtection="1">
      <alignment shrinkToFit="1"/>
      <protection locked="0"/>
    </xf>
    <xf numFmtId="49" fontId="9" fillId="5" borderId="3" xfId="0" applyNumberFormat="1" applyFont="1" applyFill="1" applyBorder="1" applyAlignment="1" applyProtection="1">
      <alignment horizontal="center"/>
      <protection locked="0"/>
    </xf>
    <xf numFmtId="49" fontId="9" fillId="5" borderId="3" xfId="0" applyNumberFormat="1" applyFont="1" applyFill="1" applyBorder="1" applyAlignment="1" applyProtection="1">
      <protection locked="0"/>
    </xf>
    <xf numFmtId="0" fontId="0" fillId="0" borderId="13" xfId="0" applyBorder="1" applyProtection="1"/>
    <xf numFmtId="0" fontId="3" fillId="0" borderId="0" xfId="0" applyFont="1" applyAlignment="1" applyProtection="1">
      <alignment horizontal="center"/>
    </xf>
    <xf numFmtId="0" fontId="12" fillId="0" borderId="0" xfId="0" applyFont="1" applyBorder="1" applyAlignment="1">
      <alignment horizontal="left" wrapText="1"/>
    </xf>
    <xf numFmtId="164" fontId="12" fillId="0" borderId="32" xfId="0" applyNumberFormat="1" applyFont="1" applyBorder="1" applyAlignment="1">
      <alignment shrinkToFit="1"/>
    </xf>
    <xf numFmtId="165" fontId="12" fillId="0" borderId="8" xfId="0" applyNumberFormat="1" applyFont="1" applyBorder="1" applyAlignment="1">
      <alignment shrinkToFit="1"/>
    </xf>
    <xf numFmtId="165" fontId="12" fillId="0" borderId="24" xfId="0" applyNumberFormat="1" applyFont="1" applyBorder="1" applyAlignment="1">
      <alignment shrinkToFit="1"/>
    </xf>
    <xf numFmtId="164" fontId="12" fillId="0" borderId="20" xfId="0" applyNumberFormat="1" applyFont="1" applyBorder="1" applyAlignment="1">
      <alignment shrinkToFit="1"/>
    </xf>
    <xf numFmtId="0" fontId="37" fillId="0" borderId="17" xfId="0" applyFont="1" applyBorder="1" applyAlignment="1" applyProtection="1">
      <alignment horizontal="center" shrinkToFit="1"/>
      <protection locked="0"/>
    </xf>
    <xf numFmtId="0" fontId="37" fillId="4" borderId="33" xfId="0" applyFont="1" applyFill="1" applyBorder="1" applyAlignment="1" applyProtection="1">
      <alignment shrinkToFit="1"/>
      <protection locked="0"/>
    </xf>
    <xf numFmtId="0" fontId="4" fillId="0" borderId="0" xfId="0" applyFont="1" applyBorder="1" applyAlignment="1" applyProtection="1">
      <alignment shrinkToFit="1"/>
      <protection locked="0"/>
    </xf>
    <xf numFmtId="0" fontId="15" fillId="0" borderId="17" xfId="0" applyFont="1" applyBorder="1" applyAlignment="1" applyProtection="1">
      <alignment horizontal="right" readingOrder="2"/>
    </xf>
    <xf numFmtId="0" fontId="1" fillId="0" borderId="0" xfId="0" applyFont="1" applyBorder="1" applyProtection="1"/>
    <xf numFmtId="0" fontId="17" fillId="0" borderId="17" xfId="0" applyFont="1" applyBorder="1" applyAlignment="1" applyProtection="1">
      <alignment horizontal="right" readingOrder="2"/>
    </xf>
    <xf numFmtId="0" fontId="1" fillId="0" borderId="17" xfId="0" applyFont="1" applyBorder="1" applyProtection="1"/>
    <xf numFmtId="0" fontId="0" fillId="0" borderId="17" xfId="0" applyBorder="1" applyProtection="1"/>
    <xf numFmtId="0" fontId="1" fillId="0" borderId="18" xfId="0" applyFont="1" applyBorder="1" applyProtection="1"/>
    <xf numFmtId="0" fontId="3" fillId="0" borderId="0" xfId="0" applyFont="1" applyAlignment="1" applyProtection="1"/>
    <xf numFmtId="0" fontId="4" fillId="0" borderId="0" xfId="0" applyFont="1" applyAlignment="1" applyProtection="1"/>
    <xf numFmtId="0" fontId="4" fillId="0" borderId="0" xfId="0" applyFont="1" applyAlignment="1" applyProtection="1">
      <alignment horizontal="left" wrapText="1"/>
    </xf>
    <xf numFmtId="0" fontId="9" fillId="0" borderId="0" xfId="0" applyFont="1" applyAlignment="1" applyProtection="1"/>
    <xf numFmtId="0" fontId="9" fillId="0" borderId="0" xfId="0" applyFont="1" applyProtection="1"/>
    <xf numFmtId="0" fontId="9" fillId="0" borderId="0" xfId="0" applyFont="1" applyAlignment="1" applyProtection="1">
      <alignment horizontal="center"/>
    </xf>
    <xf numFmtId="0" fontId="8" fillId="0" borderId="0" xfId="0" applyFont="1" applyAlignment="1" applyProtection="1"/>
    <xf numFmtId="0" fontId="8" fillId="0" borderId="0" xfId="0" applyFont="1" applyProtection="1"/>
    <xf numFmtId="0" fontId="0" fillId="0" borderId="0" xfId="0" applyProtection="1"/>
    <xf numFmtId="0" fontId="12" fillId="0" borderId="0" xfId="0" applyFont="1" applyAlignment="1" applyProtection="1"/>
    <xf numFmtId="0" fontId="12" fillId="0" borderId="0" xfId="0" applyFont="1" applyProtection="1"/>
    <xf numFmtId="0" fontId="3" fillId="0" borderId="0" xfId="0" applyFont="1" applyAlignment="1" applyProtection="1">
      <alignment horizontal="left" vertical="top"/>
    </xf>
    <xf numFmtId="0" fontId="12" fillId="0" borderId="0" xfId="0" applyFont="1" applyAlignment="1" applyProtection="1">
      <alignment horizontal="center" readingOrder="2"/>
    </xf>
    <xf numFmtId="0" fontId="14" fillId="0" borderId="0" xfId="0" applyFont="1" applyAlignment="1" applyProtection="1">
      <alignment horizontal="center" readingOrder="2"/>
    </xf>
    <xf numFmtId="0" fontId="12" fillId="0" borderId="17" xfId="0" applyFont="1" applyBorder="1" applyAlignment="1" applyProtection="1">
      <alignment horizontal="left" wrapText="1"/>
    </xf>
    <xf numFmtId="0" fontId="12" fillId="0" borderId="0" xfId="0" applyFont="1" applyBorder="1" applyAlignment="1" applyProtection="1">
      <alignment horizontal="left" wrapText="1"/>
    </xf>
    <xf numFmtId="0" fontId="12" fillId="0" borderId="35" xfId="0" applyFont="1" applyBorder="1" applyProtection="1"/>
    <xf numFmtId="0" fontId="12" fillId="0" borderId="19" xfId="0" applyFont="1" applyBorder="1" applyAlignment="1" applyProtection="1">
      <alignment horizontal="left" wrapText="1"/>
    </xf>
    <xf numFmtId="0" fontId="12" fillId="0" borderId="20" xfId="0" applyFont="1" applyBorder="1" applyAlignment="1" applyProtection="1">
      <alignment horizontal="left" wrapText="1"/>
    </xf>
    <xf numFmtId="0" fontId="12" fillId="0" borderId="37" xfId="0" applyFont="1" applyBorder="1" applyProtection="1"/>
    <xf numFmtId="0" fontId="11" fillId="0" borderId="29" xfId="0" applyFont="1" applyBorder="1" applyProtection="1"/>
    <xf numFmtId="0" fontId="11" fillId="0" borderId="33" xfId="0" applyFont="1" applyBorder="1" applyProtection="1"/>
    <xf numFmtId="0" fontId="14" fillId="0" borderId="33" xfId="0" applyFont="1" applyBorder="1" applyProtection="1"/>
    <xf numFmtId="0" fontId="8" fillId="0" borderId="0" xfId="0" applyFont="1" applyBorder="1" applyProtection="1"/>
    <xf numFmtId="0" fontId="12" fillId="0" borderId="33" xfId="0" applyFont="1" applyBorder="1" applyProtection="1"/>
    <xf numFmtId="0" fontId="8" fillId="0" borderId="15" xfId="0" applyFont="1" applyBorder="1" applyProtection="1"/>
    <xf numFmtId="0" fontId="8" fillId="0" borderId="17" xfId="0" applyFont="1" applyBorder="1" applyProtection="1"/>
    <xf numFmtId="0" fontId="8" fillId="0" borderId="33" xfId="0" applyFont="1" applyBorder="1" applyAlignment="1" applyProtection="1"/>
    <xf numFmtId="0" fontId="8" fillId="0" borderId="33" xfId="0" applyFont="1" applyBorder="1" applyAlignment="1" applyProtection="1">
      <alignment wrapText="1"/>
    </xf>
    <xf numFmtId="0" fontId="8" fillId="0" borderId="34" xfId="0" applyFont="1" applyBorder="1" applyAlignment="1" applyProtection="1"/>
    <xf numFmtId="0" fontId="8" fillId="0" borderId="20" xfId="0" applyFont="1" applyBorder="1" applyAlignment="1" applyProtection="1"/>
    <xf numFmtId="0" fontId="8" fillId="0" borderId="19" xfId="0" applyFont="1" applyBorder="1" applyProtection="1"/>
    <xf numFmtId="0" fontId="4" fillId="0" borderId="20" xfId="0" applyFont="1" applyBorder="1" applyAlignment="1" applyProtection="1">
      <alignment shrinkToFit="1"/>
    </xf>
    <xf numFmtId="0" fontId="5" fillId="0" borderId="19" xfId="0" applyFont="1" applyBorder="1" applyAlignment="1" applyProtection="1">
      <alignment horizontal="center" shrinkToFit="1"/>
    </xf>
    <xf numFmtId="0" fontId="5" fillId="4" borderId="34" xfId="0" applyFont="1" applyFill="1" applyBorder="1" applyAlignment="1" applyProtection="1">
      <alignment shrinkToFit="1"/>
    </xf>
    <xf numFmtId="0" fontId="5" fillId="0" borderId="21" xfId="0" applyFont="1" applyBorder="1" applyAlignment="1" applyProtection="1">
      <alignment horizontal="center" shrinkToFit="1"/>
    </xf>
    <xf numFmtId="0" fontId="9" fillId="0" borderId="0" xfId="0" applyFont="1" applyAlignment="1" applyProtection="1">
      <alignment horizontal="right"/>
    </xf>
    <xf numFmtId="0" fontId="10" fillId="0" borderId="0" xfId="0" applyFont="1" applyProtection="1"/>
    <xf numFmtId="49" fontId="9" fillId="0" borderId="0" xfId="0" applyNumberFormat="1" applyFont="1" applyAlignment="1" applyProtection="1"/>
    <xf numFmtId="49" fontId="14" fillId="0" borderId="26" xfId="0" applyNumberFormat="1" applyFont="1" applyBorder="1" applyAlignment="1" applyProtection="1">
      <alignment horizontal="center" shrinkToFit="1"/>
      <protection locked="0"/>
    </xf>
    <xf numFmtId="0" fontId="37" fillId="0" borderId="18" xfId="0" applyFont="1" applyBorder="1" applyAlignment="1" applyProtection="1">
      <alignment horizontal="center" shrinkToFit="1"/>
      <protection locked="0"/>
    </xf>
    <xf numFmtId="0" fontId="0" fillId="0" borderId="17" xfId="0" applyBorder="1" applyProtection="1">
      <protection locked="0"/>
    </xf>
    <xf numFmtId="0" fontId="37" fillId="0" borderId="19" xfId="0" applyFont="1" applyBorder="1" applyAlignment="1" applyProtection="1">
      <alignment horizontal="center" shrinkToFit="1"/>
    </xf>
    <xf numFmtId="0" fontId="37" fillId="4" borderId="34" xfId="0" applyFont="1" applyFill="1" applyBorder="1" applyAlignment="1" applyProtection="1">
      <alignment shrinkToFit="1"/>
    </xf>
    <xf numFmtId="0" fontId="37" fillId="0" borderId="21" xfId="0" applyFont="1" applyBorder="1" applyAlignment="1" applyProtection="1">
      <alignment horizontal="center" shrinkToFit="1"/>
    </xf>
    <xf numFmtId="0" fontId="13" fillId="0" borderId="0" xfId="0" applyFont="1" applyBorder="1" applyAlignment="1">
      <alignment horizontal="center"/>
    </xf>
    <xf numFmtId="0" fontId="22" fillId="0" borderId="0" xfId="0" applyFont="1" applyBorder="1" applyAlignment="1" applyProtection="1">
      <alignment horizontal="right" readingOrder="2"/>
    </xf>
    <xf numFmtId="0" fontId="8" fillId="0" borderId="35" xfId="0" applyFont="1" applyBorder="1" applyAlignment="1" applyProtection="1">
      <alignment horizontal="center"/>
    </xf>
    <xf numFmtId="0" fontId="12" fillId="0" borderId="35" xfId="0" applyFont="1" applyBorder="1" applyAlignment="1" applyProtection="1">
      <alignment vertical="center"/>
    </xf>
    <xf numFmtId="0" fontId="0" fillId="0" borderId="35" xfId="0" applyBorder="1" applyProtection="1"/>
    <xf numFmtId="0" fontId="28" fillId="0" borderId="35" xfId="0" applyFont="1" applyBorder="1" applyProtection="1"/>
    <xf numFmtId="0" fontId="44" fillId="0" borderId="3" xfId="0" applyFont="1" applyBorder="1" applyAlignment="1">
      <alignment horizontal="center" vertical="center"/>
    </xf>
    <xf numFmtId="0" fontId="45" fillId="0" borderId="3" xfId="0" applyFont="1" applyBorder="1" applyAlignment="1">
      <alignment horizontal="right" vertical="center"/>
    </xf>
    <xf numFmtId="0" fontId="46" fillId="0" borderId="3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49" fillId="7" borderId="3" xfId="0" applyNumberFormat="1" applyFont="1" applyFill="1" applyBorder="1" applyAlignment="1">
      <alignment horizontal="center"/>
    </xf>
    <xf numFmtId="14" fontId="50" fillId="7" borderId="4" xfId="0" applyNumberFormat="1" applyFont="1" applyFill="1" applyBorder="1" applyAlignment="1">
      <alignment horizontal="center"/>
    </xf>
    <xf numFmtId="166" fontId="24" fillId="3" borderId="4" xfId="0" applyNumberFormat="1" applyFont="1" applyFill="1" applyBorder="1" applyAlignment="1">
      <alignment horizontal="center"/>
    </xf>
    <xf numFmtId="166" fontId="24" fillId="3" borderId="4" xfId="0" applyNumberFormat="1" applyFont="1" applyFill="1" applyBorder="1" applyAlignment="1">
      <alignment horizontal="right"/>
    </xf>
    <xf numFmtId="0" fontId="13" fillId="0" borderId="3" xfId="0" applyFont="1" applyBorder="1"/>
    <xf numFmtId="166" fontId="24" fillId="3" borderId="3" xfId="0" applyNumberFormat="1" applyFont="1" applyFill="1" applyBorder="1" applyAlignment="1">
      <alignment horizontal="center" vertical="center"/>
    </xf>
    <xf numFmtId="9" fontId="43" fillId="0" borderId="3" xfId="0" applyNumberFormat="1" applyFont="1" applyBorder="1" applyAlignment="1">
      <alignment horizontal="center" vertical="center"/>
    </xf>
    <xf numFmtId="0" fontId="51" fillId="8" borderId="3" xfId="0" applyFont="1" applyFill="1" applyBorder="1" applyAlignment="1">
      <alignment horizontal="center"/>
    </xf>
    <xf numFmtId="0" fontId="13" fillId="0" borderId="25" xfId="0" applyFont="1" applyBorder="1"/>
    <xf numFmtId="0" fontId="13" fillId="0" borderId="7" xfId="0" applyFont="1" applyBorder="1"/>
    <xf numFmtId="0" fontId="52" fillId="9" borderId="51" xfId="1" applyFont="1" applyFill="1" applyAlignment="1">
      <alignment horizontal="center"/>
    </xf>
    <xf numFmtId="0" fontId="52" fillId="10" borderId="51" xfId="1" applyFont="1" applyFill="1" applyAlignment="1">
      <alignment horizontal="center"/>
    </xf>
    <xf numFmtId="0" fontId="52" fillId="9" borderId="52" xfId="1" applyFont="1" applyFill="1" applyBorder="1" applyAlignment="1">
      <alignment horizontal="center"/>
    </xf>
    <xf numFmtId="0" fontId="53" fillId="3" borderId="3" xfId="1" applyFont="1" applyFill="1" applyBorder="1" applyAlignment="1">
      <alignment horizontal="center"/>
    </xf>
    <xf numFmtId="0" fontId="24" fillId="0" borderId="3" xfId="0" applyFont="1" applyFill="1" applyBorder="1" applyAlignment="1">
      <alignment horizontal="center"/>
    </xf>
    <xf numFmtId="164" fontId="43" fillId="3" borderId="4" xfId="0" applyNumberFormat="1" applyFont="1" applyFill="1" applyBorder="1" applyAlignment="1">
      <alignment horizontal="center" vertical="center"/>
    </xf>
    <xf numFmtId="164" fontId="51" fillId="11" borderId="4" xfId="0" applyNumberFormat="1" applyFont="1" applyFill="1" applyBorder="1" applyAlignment="1">
      <alignment horizontal="center"/>
    </xf>
    <xf numFmtId="166" fontId="0" fillId="0" borderId="0" xfId="0" applyNumberFormat="1"/>
    <xf numFmtId="164" fontId="54" fillId="0" borderId="3" xfId="0" applyNumberFormat="1" applyFont="1" applyBorder="1" applyAlignment="1">
      <alignment horizontal="center" vertical="center"/>
    </xf>
    <xf numFmtId="164" fontId="55" fillId="11" borderId="4" xfId="0" applyNumberFormat="1" applyFont="1" applyFill="1" applyBorder="1"/>
    <xf numFmtId="164" fontId="56" fillId="0" borderId="3" xfId="0" applyNumberFormat="1" applyFont="1" applyBorder="1" applyAlignment="1">
      <alignment horizontal="center" vertical="center"/>
    </xf>
    <xf numFmtId="164" fontId="1" fillId="11" borderId="4" xfId="0" applyNumberFormat="1" applyFont="1" applyFill="1" applyBorder="1"/>
    <xf numFmtId="164" fontId="0" fillId="12" borderId="4" xfId="0" applyNumberFormat="1" applyFont="1" applyFill="1" applyBorder="1" applyAlignment="1">
      <alignment horizontal="center" vertical="center"/>
    </xf>
    <xf numFmtId="164" fontId="1" fillId="11" borderId="4" xfId="0" applyNumberFormat="1" applyFont="1" applyFill="1" applyBorder="1" applyAlignment="1">
      <alignment vertical="center"/>
    </xf>
    <xf numFmtId="4" fontId="13" fillId="3" borderId="3" xfId="0" applyNumberFormat="1" applyFont="1" applyFill="1" applyBorder="1" applyAlignment="1">
      <alignment horizontal="right" vertical="center"/>
    </xf>
    <xf numFmtId="4" fontId="24" fillId="9" borderId="3" xfId="0" applyNumberFormat="1" applyFont="1" applyFill="1" applyBorder="1" applyAlignment="1">
      <alignment horizontal="right"/>
    </xf>
    <xf numFmtId="164" fontId="0" fillId="10" borderId="4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57" fillId="0" borderId="3" xfId="0" applyNumberFormat="1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164" fontId="0" fillId="3" borderId="3" xfId="0" applyNumberFormat="1" applyFont="1" applyFill="1" applyBorder="1" applyAlignment="1">
      <alignment horizontal="center" vertical="center"/>
    </xf>
    <xf numFmtId="164" fontId="58" fillId="3" borderId="3" xfId="0" applyNumberFormat="1" applyFont="1" applyFill="1" applyBorder="1" applyAlignment="1">
      <alignment horizontal="center" vertical="center"/>
    </xf>
    <xf numFmtId="4" fontId="30" fillId="8" borderId="4" xfId="0" applyNumberFormat="1" applyFont="1" applyFill="1" applyBorder="1" applyAlignment="1"/>
    <xf numFmtId="4" fontId="48" fillId="8" borderId="4" xfId="0" applyNumberFormat="1" applyFont="1" applyFill="1" applyBorder="1" applyAlignment="1"/>
    <xf numFmtId="0" fontId="57" fillId="0" borderId="3" xfId="0" applyFont="1" applyBorder="1" applyAlignment="1">
      <alignment horizontal="left" vertical="center"/>
    </xf>
    <xf numFmtId="0" fontId="0" fillId="0" borderId="3" xfId="0" applyBorder="1"/>
    <xf numFmtId="164" fontId="42" fillId="3" borderId="3" xfId="0" applyNumberFormat="1" applyFont="1" applyFill="1" applyBorder="1" applyAlignment="1">
      <alignment horizontal="center" vertical="center"/>
    </xf>
    <xf numFmtId="164" fontId="59" fillId="11" borderId="4" xfId="0" applyNumberFormat="1" applyFont="1" applyFill="1" applyBorder="1" applyAlignment="1">
      <alignment vertical="center"/>
    </xf>
    <xf numFmtId="166" fontId="57" fillId="3" borderId="3" xfId="0" applyNumberFormat="1" applyFont="1" applyFill="1" applyBorder="1" applyAlignment="1">
      <alignment horizontal="right"/>
    </xf>
    <xf numFmtId="4" fontId="57" fillId="8" borderId="8" xfId="0" applyNumberFormat="1" applyFont="1" applyFill="1" applyBorder="1" applyAlignment="1"/>
    <xf numFmtId="4" fontId="57" fillId="8" borderId="4" xfId="0" applyNumberFormat="1" applyFont="1" applyFill="1" applyBorder="1" applyAlignment="1"/>
    <xf numFmtId="0" fontId="42" fillId="0" borderId="3" xfId="0" applyFont="1" applyBorder="1"/>
    <xf numFmtId="166" fontId="24" fillId="3" borderId="3" xfId="0" applyNumberFormat="1" applyFont="1" applyFill="1" applyBorder="1" applyAlignment="1">
      <alignment horizontal="right"/>
    </xf>
    <xf numFmtId="4" fontId="30" fillId="3" borderId="8" xfId="0" applyNumberFormat="1" applyFont="1" applyFill="1" applyBorder="1" applyAlignment="1"/>
    <xf numFmtId="4" fontId="48" fillId="3" borderId="4" xfId="0" applyNumberFormat="1" applyFont="1" applyFill="1" applyBorder="1" applyAlignment="1"/>
    <xf numFmtId="0" fontId="60" fillId="3" borderId="3" xfId="0" applyFont="1" applyFill="1" applyBorder="1"/>
    <xf numFmtId="4" fontId="48" fillId="3" borderId="8" xfId="0" applyNumberFormat="1" applyFont="1" applyFill="1" applyBorder="1" applyAlignment="1">
      <alignment horizontal="right"/>
    </xf>
    <xf numFmtId="4" fontId="48" fillId="3" borderId="3" xfId="0" applyNumberFormat="1" applyFont="1" applyFill="1" applyBorder="1" applyAlignment="1">
      <alignment horizontal="right"/>
    </xf>
    <xf numFmtId="4" fontId="30" fillId="3" borderId="0" xfId="0" applyNumberFormat="1" applyFont="1" applyFill="1" applyBorder="1" applyAlignment="1"/>
    <xf numFmtId="4" fontId="48" fillId="3" borderId="4" xfId="0" applyNumberFormat="1" applyFont="1" applyFill="1" applyBorder="1" applyAlignment="1">
      <alignment horizontal="right"/>
    </xf>
    <xf numFmtId="164" fontId="61" fillId="3" borderId="3" xfId="0" applyNumberFormat="1" applyFont="1" applyFill="1" applyBorder="1" applyAlignment="1">
      <alignment horizontal="center" vertical="center"/>
    </xf>
    <xf numFmtId="164" fontId="0" fillId="3" borderId="0" xfId="0" applyNumberFormat="1" applyFon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4" fontId="30" fillId="13" borderId="8" xfId="0" applyNumberFormat="1" applyFont="1" applyFill="1" applyBorder="1" applyAlignment="1"/>
    <xf numFmtId="4" fontId="48" fillId="13" borderId="3" xfId="0" applyNumberFormat="1" applyFont="1" applyFill="1" applyBorder="1" applyAlignment="1"/>
    <xf numFmtId="4" fontId="48" fillId="13" borderId="3" xfId="0" applyNumberFormat="1" applyFont="1" applyFill="1" applyBorder="1" applyAlignment="1">
      <alignment horizontal="right"/>
    </xf>
    <xf numFmtId="4" fontId="48" fillId="13" borderId="3" xfId="0" applyNumberFormat="1" applyFont="1" applyFill="1" applyBorder="1" applyAlignment="1">
      <alignment horizontal="right" vertical="center"/>
    </xf>
    <xf numFmtId="4" fontId="48" fillId="13" borderId="8" xfId="0" applyNumberFormat="1" applyFont="1" applyFill="1" applyBorder="1" applyAlignment="1">
      <alignment horizontal="right"/>
    </xf>
    <xf numFmtId="164" fontId="0" fillId="3" borderId="7" xfId="0" applyNumberFormat="1" applyFont="1" applyFill="1" applyBorder="1" applyAlignment="1">
      <alignment horizontal="center" vertical="center"/>
    </xf>
    <xf numFmtId="164" fontId="42" fillId="3" borderId="7" xfId="0" applyNumberFormat="1" applyFont="1" applyFill="1" applyBorder="1" applyAlignment="1">
      <alignment horizontal="center" vertical="center"/>
    </xf>
    <xf numFmtId="164" fontId="1" fillId="11" borderId="8" xfId="0" applyNumberFormat="1" applyFont="1" applyFill="1" applyBorder="1" applyAlignment="1">
      <alignment vertical="center"/>
    </xf>
    <xf numFmtId="0" fontId="0" fillId="0" borderId="7" xfId="0" applyBorder="1" applyAlignment="1">
      <alignment horizontal="right" vertical="center"/>
    </xf>
    <xf numFmtId="4" fontId="48" fillId="0" borderId="4" xfId="0" applyNumberFormat="1" applyFont="1" applyFill="1" applyBorder="1" applyAlignment="1"/>
    <xf numFmtId="164" fontId="0" fillId="3" borderId="53" xfId="0" applyNumberFormat="1" applyFont="1" applyFill="1" applyBorder="1" applyAlignment="1">
      <alignment horizontal="center" vertical="center"/>
    </xf>
    <xf numFmtId="166" fontId="24" fillId="3" borderId="13" xfId="0" applyNumberFormat="1" applyFont="1" applyFill="1" applyBorder="1" applyAlignment="1">
      <alignment horizontal="right"/>
    </xf>
    <xf numFmtId="4" fontId="48" fillId="0" borderId="8" xfId="0" applyNumberFormat="1" applyFont="1" applyFill="1" applyBorder="1" applyAlignment="1"/>
    <xf numFmtId="164" fontId="0" fillId="3" borderId="53" xfId="0" applyNumberFormat="1" applyFont="1" applyFill="1" applyBorder="1" applyAlignment="1">
      <alignment vertical="center"/>
    </xf>
    <xf numFmtId="164" fontId="1" fillId="11" borderId="53" xfId="0" applyNumberFormat="1" applyFont="1" applyFill="1" applyBorder="1" applyAlignment="1">
      <alignment horizontal="center" vertical="center"/>
    </xf>
    <xf numFmtId="166" fontId="24" fillId="3" borderId="13" xfId="0" applyNumberFormat="1" applyFont="1" applyFill="1" applyBorder="1" applyAlignment="1">
      <alignment horizontal="right" vertical="center"/>
    </xf>
    <xf numFmtId="0" fontId="0" fillId="0" borderId="53" xfId="0" applyBorder="1" applyAlignment="1">
      <alignment vertical="center"/>
    </xf>
    <xf numFmtId="4" fontId="48" fillId="0" borderId="53" xfId="0" applyNumberFormat="1" applyFont="1" applyFill="1" applyBorder="1" applyAlignment="1">
      <alignment vertical="center"/>
    </xf>
    <xf numFmtId="0" fontId="0" fillId="0" borderId="53" xfId="0" applyBorder="1" applyAlignment="1">
      <alignment horizontal="center"/>
    </xf>
    <xf numFmtId="164" fontId="1" fillId="11" borderId="3" xfId="0" applyNumberFormat="1" applyFont="1" applyFill="1" applyBorder="1" applyAlignment="1">
      <alignment vertical="center"/>
    </xf>
    <xf numFmtId="0" fontId="0" fillId="0" borderId="3" xfId="0" applyBorder="1" applyAlignment="1">
      <alignment horizontal="right" vertical="center"/>
    </xf>
    <xf numFmtId="4" fontId="48" fillId="0" borderId="3" xfId="0" applyNumberFormat="1" applyFont="1" applyFill="1" applyBorder="1" applyAlignment="1"/>
    <xf numFmtId="0" fontId="0" fillId="0" borderId="54" xfId="0" applyFill="1" applyBorder="1"/>
    <xf numFmtId="4" fontId="62" fillId="0" borderId="3" xfId="0" applyNumberFormat="1" applyFont="1" applyFill="1" applyBorder="1" applyAlignment="1"/>
    <xf numFmtId="4" fontId="48" fillId="0" borderId="25" xfId="0" applyNumberFormat="1" applyFont="1" applyFill="1" applyBorder="1" applyAlignment="1">
      <alignment horizontal="right"/>
    </xf>
    <xf numFmtId="4" fontId="48" fillId="0" borderId="25" xfId="0" applyNumberFormat="1" applyFont="1" applyFill="1" applyBorder="1" applyAlignment="1"/>
    <xf numFmtId="4" fontId="63" fillId="0" borderId="4" xfId="0" applyNumberFormat="1" applyFont="1" applyFill="1" applyBorder="1" applyAlignment="1">
      <alignment horizontal="right"/>
    </xf>
    <xf numFmtId="4" fontId="62" fillId="0" borderId="4" xfId="0" applyNumberFormat="1" applyFont="1" applyFill="1" applyBorder="1" applyAlignment="1">
      <alignment horizontal="right" vertical="center"/>
    </xf>
    <xf numFmtId="164" fontId="58" fillId="3" borderId="53" xfId="0" applyNumberFormat="1" applyFont="1" applyFill="1" applyBorder="1" applyAlignment="1">
      <alignment horizontal="center" vertical="center"/>
    </xf>
    <xf numFmtId="164" fontId="1" fillId="11" borderId="13" xfId="0" applyNumberFormat="1" applyFont="1" applyFill="1" applyBorder="1" applyAlignment="1">
      <alignment vertical="center"/>
    </xf>
    <xf numFmtId="164" fontId="0" fillId="3" borderId="54" xfId="0" applyNumberFormat="1" applyFont="1" applyFill="1" applyBorder="1" applyAlignment="1">
      <alignment horizontal="center" vertical="center"/>
    </xf>
    <xf numFmtId="164" fontId="58" fillId="3" borderId="54" xfId="0" applyNumberFormat="1" applyFont="1" applyFill="1" applyBorder="1" applyAlignment="1">
      <alignment horizontal="center" vertical="center"/>
    </xf>
    <xf numFmtId="164" fontId="1" fillId="11" borderId="0" xfId="0" applyNumberFormat="1" applyFont="1" applyFill="1" applyBorder="1" applyAlignment="1">
      <alignment vertical="center"/>
    </xf>
    <xf numFmtId="166" fontId="24" fillId="3" borderId="36" xfId="0" applyNumberFormat="1" applyFont="1" applyFill="1" applyBorder="1" applyAlignment="1">
      <alignment horizontal="right"/>
    </xf>
    <xf numFmtId="4" fontId="63" fillId="0" borderId="36" xfId="0" applyNumberFormat="1" applyFont="1" applyFill="1" applyBorder="1" applyAlignment="1">
      <alignment horizontal="right"/>
    </xf>
    <xf numFmtId="4" fontId="48" fillId="0" borderId="36" xfId="0" applyNumberFormat="1" applyFont="1" applyFill="1" applyBorder="1" applyAlignment="1"/>
    <xf numFmtId="0" fontId="57" fillId="0" borderId="54" xfId="0" applyFont="1" applyBorder="1" applyAlignment="1">
      <alignment horizontal="left" vertical="center"/>
    </xf>
    <xf numFmtId="0" fontId="0" fillId="0" borderId="54" xfId="0" applyBorder="1"/>
    <xf numFmtId="164" fontId="24" fillId="0" borderId="7" xfId="0" applyNumberFormat="1" applyFont="1" applyBorder="1" applyAlignment="1">
      <alignment horizontal="center" vertical="center"/>
    </xf>
    <xf numFmtId="164" fontId="48" fillId="0" borderId="7" xfId="0" applyNumberFormat="1" applyFont="1" applyBorder="1" applyAlignment="1">
      <alignment horizontal="center" vertical="center"/>
    </xf>
    <xf numFmtId="0" fontId="0" fillId="0" borderId="7" xfId="0" applyBorder="1"/>
    <xf numFmtId="166" fontId="57" fillId="0" borderId="7" xfId="0" applyNumberFormat="1" applyFont="1" applyBorder="1"/>
    <xf numFmtId="164" fontId="60" fillId="0" borderId="3" xfId="0" applyNumberFormat="1" applyFont="1" applyBorder="1" applyAlignment="1">
      <alignment horizontal="center" vertical="center"/>
    </xf>
    <xf numFmtId="0" fontId="64" fillId="0" borderId="0" xfId="0" applyFont="1"/>
    <xf numFmtId="166" fontId="64" fillId="0" borderId="3" xfId="0" applyNumberFormat="1" applyFont="1" applyBorder="1"/>
    <xf numFmtId="0" fontId="51" fillId="0" borderId="0" xfId="0" applyFont="1" applyAlignment="1">
      <alignment horizontal="center" vertical="center"/>
    </xf>
    <xf numFmtId="0" fontId="45" fillId="0" borderId="4" xfId="0" applyFont="1" applyBorder="1" applyAlignment="1">
      <alignment horizontal="right" vertical="center"/>
    </xf>
    <xf numFmtId="166" fontId="24" fillId="14" borderId="4" xfId="0" applyNumberFormat="1" applyFont="1" applyFill="1" applyBorder="1" applyAlignment="1">
      <alignment horizontal="right"/>
    </xf>
    <xf numFmtId="4" fontId="63" fillId="14" borderId="4" xfId="0" applyNumberFormat="1" applyFont="1" applyFill="1" applyBorder="1" applyAlignment="1">
      <alignment horizontal="right"/>
    </xf>
    <xf numFmtId="4" fontId="48" fillId="14" borderId="4" xfId="0" applyNumberFormat="1" applyFont="1" applyFill="1" applyBorder="1" applyAlignment="1"/>
    <xf numFmtId="166" fontId="24" fillId="14" borderId="13" xfId="0" applyNumberFormat="1" applyFont="1" applyFill="1" applyBorder="1" applyAlignment="1">
      <alignment horizontal="right"/>
    </xf>
    <xf numFmtId="4" fontId="63" fillId="14" borderId="13" xfId="0" applyNumberFormat="1" applyFont="1" applyFill="1" applyBorder="1" applyAlignment="1">
      <alignment horizontal="right"/>
    </xf>
    <xf numFmtId="4" fontId="48" fillId="14" borderId="13" xfId="0" applyNumberFormat="1" applyFont="1" applyFill="1" applyBorder="1" applyAlignment="1"/>
    <xf numFmtId="166" fontId="24" fillId="14" borderId="3" xfId="0" applyNumberFormat="1" applyFont="1" applyFill="1" applyBorder="1" applyAlignment="1">
      <alignment horizontal="right"/>
    </xf>
    <xf numFmtId="4" fontId="63" fillId="14" borderId="3" xfId="0" applyNumberFormat="1" applyFont="1" applyFill="1" applyBorder="1" applyAlignment="1">
      <alignment horizontal="right"/>
    </xf>
    <xf numFmtId="4" fontId="48" fillId="14" borderId="3" xfId="0" applyNumberFormat="1" applyFont="1" applyFill="1" applyBorder="1" applyAlignment="1"/>
    <xf numFmtId="0" fontId="49" fillId="7" borderId="53" xfId="0" applyNumberFormat="1" applyFont="1" applyFill="1" applyBorder="1" applyAlignment="1">
      <alignment horizontal="center"/>
    </xf>
    <xf numFmtId="164" fontId="54" fillId="0" borderId="53" xfId="0" applyNumberFormat="1" applyFont="1" applyBorder="1" applyAlignment="1">
      <alignment horizontal="center" vertical="center"/>
    </xf>
    <xf numFmtId="164" fontId="42" fillId="3" borderId="53" xfId="0" applyNumberFormat="1" applyFont="1" applyFill="1" applyBorder="1" applyAlignment="1">
      <alignment horizontal="center" vertical="center"/>
    </xf>
    <xf numFmtId="0" fontId="0" fillId="0" borderId="53" xfId="0" applyBorder="1"/>
    <xf numFmtId="0" fontId="4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35" fillId="0" borderId="4" xfId="0" applyFont="1" applyBorder="1" applyAlignment="1" applyProtection="1">
      <alignment horizontal="right" vertical="center" readingOrder="2"/>
      <protection locked="0"/>
    </xf>
    <xf numFmtId="0" fontId="35" fillId="0" borderId="25" xfId="0" applyFont="1" applyBorder="1" applyAlignment="1" applyProtection="1">
      <alignment horizontal="right" vertical="center" readingOrder="2"/>
      <protection locked="0"/>
    </xf>
    <xf numFmtId="165" fontId="2" fillId="0" borderId="17" xfId="0" applyNumberFormat="1" applyFont="1" applyBorder="1" applyAlignment="1" applyProtection="1">
      <alignment horizontal="center" shrinkToFit="1"/>
    </xf>
    <xf numFmtId="165" fontId="2" fillId="0" borderId="0" xfId="0" applyNumberFormat="1" applyFont="1" applyBorder="1" applyAlignment="1" applyProtection="1">
      <alignment horizontal="center" shrinkToFit="1"/>
    </xf>
    <xf numFmtId="165" fontId="2" fillId="0" borderId="18" xfId="0" applyNumberFormat="1" applyFont="1" applyBorder="1" applyAlignment="1" applyProtection="1">
      <alignment horizontal="center" shrinkToFit="1"/>
    </xf>
    <xf numFmtId="165" fontId="2" fillId="5" borderId="17" xfId="0" applyNumberFormat="1" applyFont="1" applyFill="1" applyBorder="1" applyAlignment="1" applyProtection="1">
      <alignment horizontal="center" shrinkToFit="1"/>
    </xf>
    <xf numFmtId="165" fontId="2" fillId="5" borderId="0" xfId="0" applyNumberFormat="1" applyFont="1" applyFill="1" applyBorder="1" applyAlignment="1" applyProtection="1">
      <alignment horizontal="center" shrinkToFit="1"/>
    </xf>
    <xf numFmtId="165" fontId="2" fillId="5" borderId="18" xfId="0" applyNumberFormat="1" applyFont="1" applyFill="1" applyBorder="1" applyAlignment="1" applyProtection="1">
      <alignment horizontal="center" shrinkToFit="1"/>
    </xf>
    <xf numFmtId="49" fontId="12" fillId="0" borderId="36" xfId="0" applyNumberFormat="1" applyFont="1" applyBorder="1" applyAlignment="1" applyProtection="1">
      <alignment horizontal="center" vertical="center" wrapText="1"/>
    </xf>
    <xf numFmtId="49" fontId="12" fillId="0" borderId="0" xfId="0" applyNumberFormat="1" applyFont="1" applyBorder="1" applyAlignment="1" applyProtection="1">
      <alignment horizontal="center" vertical="center" wrapText="1"/>
    </xf>
    <xf numFmtId="49" fontId="12" fillId="0" borderId="35" xfId="0" applyNumberFormat="1" applyFont="1" applyBorder="1" applyAlignment="1" applyProtection="1">
      <alignment horizontal="center" vertical="center" wrapText="1"/>
    </xf>
    <xf numFmtId="49" fontId="8" fillId="0" borderId="36" xfId="0" applyNumberFormat="1" applyFont="1" applyBorder="1" applyAlignment="1" applyProtection="1">
      <alignment horizontal="center" wrapText="1"/>
    </xf>
    <xf numFmtId="49" fontId="8" fillId="0" borderId="0" xfId="0" applyNumberFormat="1" applyFont="1" applyBorder="1" applyAlignment="1" applyProtection="1">
      <alignment horizontal="center" wrapText="1"/>
    </xf>
    <xf numFmtId="49" fontId="8" fillId="0" borderId="35" xfId="0" applyNumberFormat="1" applyFont="1" applyBorder="1" applyAlignment="1" applyProtection="1">
      <alignment horizontal="center" wrapText="1"/>
    </xf>
    <xf numFmtId="0" fontId="12" fillId="5" borderId="4" xfId="0" applyFont="1" applyFill="1" applyBorder="1" applyAlignment="1" applyProtection="1">
      <alignment horizontal="right" readingOrder="2"/>
      <protection locked="0"/>
    </xf>
    <xf numFmtId="0" fontId="12" fillId="5" borderId="8" xfId="0" applyFont="1" applyFill="1" applyBorder="1" applyAlignment="1" applyProtection="1">
      <alignment horizontal="right" readingOrder="2"/>
      <protection locked="0"/>
    </xf>
    <xf numFmtId="0" fontId="12" fillId="5" borderId="26" xfId="0" applyFont="1" applyFill="1" applyBorder="1" applyAlignment="1" applyProtection="1">
      <alignment horizontal="right" readingOrder="2"/>
      <protection locked="0"/>
    </xf>
    <xf numFmtId="0" fontId="12" fillId="5" borderId="3" xfId="0" applyFont="1" applyFill="1" applyBorder="1" applyAlignment="1" applyProtection="1">
      <alignment horizontal="right" readingOrder="2"/>
      <protection locked="0"/>
    </xf>
    <xf numFmtId="49" fontId="8" fillId="0" borderId="41" xfId="0" applyNumberFormat="1" applyFont="1" applyBorder="1" applyAlignment="1" applyProtection="1">
      <alignment horizontal="center" wrapText="1"/>
    </xf>
    <xf numFmtId="49" fontId="8" fillId="0" borderId="2" xfId="0" applyNumberFormat="1" applyFont="1" applyBorder="1" applyAlignment="1" applyProtection="1">
      <alignment horizontal="center" wrapText="1"/>
    </xf>
    <xf numFmtId="49" fontId="8" fillId="0" borderId="40" xfId="0" applyNumberFormat="1" applyFont="1" applyBorder="1" applyAlignment="1" applyProtection="1">
      <alignment horizontal="center" wrapText="1"/>
    </xf>
    <xf numFmtId="49" fontId="12" fillId="0" borderId="38" xfId="0" applyNumberFormat="1" applyFont="1" applyBorder="1" applyAlignment="1" applyProtection="1">
      <alignment horizontal="center" vertical="center" wrapText="1"/>
    </xf>
    <xf numFmtId="49" fontId="12" fillId="0" borderId="20" xfId="0" applyNumberFormat="1" applyFont="1" applyBorder="1" applyAlignment="1" applyProtection="1">
      <alignment horizontal="center" vertical="center" wrapText="1"/>
    </xf>
    <xf numFmtId="49" fontId="12" fillId="0" borderId="37" xfId="0" applyNumberFormat="1" applyFont="1" applyBorder="1" applyAlignment="1" applyProtection="1">
      <alignment horizontal="center" vertical="center" wrapText="1"/>
    </xf>
    <xf numFmtId="165" fontId="2" fillId="0" borderId="19" xfId="0" applyNumberFormat="1" applyFont="1" applyBorder="1" applyAlignment="1" applyProtection="1">
      <alignment horizontal="center" shrinkToFit="1"/>
    </xf>
    <xf numFmtId="165" fontId="2" fillId="0" borderId="20" xfId="0" applyNumberFormat="1" applyFont="1" applyBorder="1" applyAlignment="1" applyProtection="1">
      <alignment horizontal="center" shrinkToFit="1"/>
    </xf>
    <xf numFmtId="165" fontId="2" fillId="0" borderId="21" xfId="0" applyNumberFormat="1" applyFont="1" applyBorder="1" applyAlignment="1" applyProtection="1">
      <alignment horizontal="center" shrinkToFit="1"/>
    </xf>
    <xf numFmtId="0" fontId="13" fillId="0" borderId="0" xfId="0" applyFont="1" applyBorder="1" applyAlignment="1">
      <alignment horizontal="center"/>
    </xf>
    <xf numFmtId="0" fontId="12" fillId="0" borderId="17" xfId="0" applyFont="1" applyBorder="1" applyAlignment="1" applyProtection="1">
      <alignment horizontal="right" readingOrder="2"/>
    </xf>
    <xf numFmtId="0" fontId="12" fillId="0" borderId="0" xfId="0" applyFont="1" applyBorder="1" applyAlignment="1" applyProtection="1">
      <alignment horizontal="right" readingOrder="2"/>
    </xf>
    <xf numFmtId="0" fontId="12" fillId="0" borderId="35" xfId="0" applyFont="1" applyBorder="1" applyAlignment="1" applyProtection="1">
      <alignment horizontal="right" readingOrder="2"/>
    </xf>
    <xf numFmtId="0" fontId="12" fillId="5" borderId="25" xfId="0" applyFont="1" applyFill="1" applyBorder="1" applyAlignment="1" applyProtection="1">
      <alignment horizontal="right" readingOrder="2"/>
      <protection locked="0"/>
    </xf>
    <xf numFmtId="0" fontId="35" fillId="0" borderId="0" xfId="0" applyFont="1" applyBorder="1" applyAlignment="1" applyProtection="1">
      <alignment horizontal="right" vertical="center" readingOrder="2"/>
      <protection locked="0"/>
    </xf>
    <xf numFmtId="0" fontId="35" fillId="0" borderId="47" xfId="0" applyFont="1" applyBorder="1" applyAlignment="1" applyProtection="1">
      <alignment horizontal="right" vertical="center" readingOrder="2"/>
      <protection locked="0"/>
    </xf>
    <xf numFmtId="0" fontId="35" fillId="0" borderId="48" xfId="0" applyFont="1" applyBorder="1" applyAlignment="1" applyProtection="1">
      <alignment horizontal="right" vertical="center" readingOrder="2"/>
      <protection locked="0"/>
    </xf>
    <xf numFmtId="165" fontId="2" fillId="5" borderId="15" xfId="0" applyNumberFormat="1" applyFont="1" applyFill="1" applyBorder="1" applyAlignment="1" applyProtection="1">
      <alignment horizontal="center" shrinkToFit="1"/>
    </xf>
    <xf numFmtId="165" fontId="2" fillId="5" borderId="2" xfId="0" applyNumberFormat="1" applyFont="1" applyFill="1" applyBorder="1" applyAlignment="1" applyProtection="1">
      <alignment horizontal="center" shrinkToFit="1"/>
    </xf>
    <xf numFmtId="165" fontId="2" fillId="5" borderId="16" xfId="0" applyNumberFormat="1" applyFont="1" applyFill="1" applyBorder="1" applyAlignment="1" applyProtection="1">
      <alignment horizontal="center" shrinkToFit="1"/>
    </xf>
    <xf numFmtId="0" fontId="9" fillId="0" borderId="0" xfId="0" applyFont="1" applyAlignment="1" applyProtection="1">
      <alignment horizontal="center"/>
    </xf>
    <xf numFmtId="0" fontId="9" fillId="5" borderId="4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25" xfId="0" applyFont="1" applyFill="1" applyBorder="1" applyAlignment="1" applyProtection="1">
      <alignment horizontal="center" vertical="center"/>
      <protection locked="0"/>
    </xf>
    <xf numFmtId="0" fontId="8" fillId="0" borderId="5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8" fillId="0" borderId="20" xfId="0" applyFont="1" applyBorder="1" applyAlignment="1" applyProtection="1">
      <alignment horizontal="center" vertical="center"/>
    </xf>
    <xf numFmtId="0" fontId="2" fillId="0" borderId="20" xfId="0" applyFont="1" applyBorder="1" applyAlignment="1">
      <alignment horizontal="center" wrapText="1"/>
    </xf>
    <xf numFmtId="0" fontId="2" fillId="0" borderId="2" xfId="0" applyFont="1" applyBorder="1" applyAlignment="1">
      <alignment horizontal="left"/>
    </xf>
    <xf numFmtId="0" fontId="8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right"/>
    </xf>
    <xf numFmtId="0" fontId="2" fillId="0" borderId="0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8" fillId="0" borderId="17" xfId="0" applyFont="1" applyBorder="1" applyAlignment="1" applyProtection="1">
      <alignment horizontal="right"/>
    </xf>
    <xf numFmtId="0" fontId="8" fillId="0" borderId="0" xfId="0" applyFont="1" applyBorder="1" applyAlignment="1" applyProtection="1">
      <alignment horizontal="right"/>
    </xf>
    <xf numFmtId="0" fontId="8" fillId="0" borderId="17" xfId="0" applyFont="1" applyBorder="1" applyAlignment="1" applyProtection="1">
      <alignment horizontal="right" wrapText="1"/>
    </xf>
    <xf numFmtId="0" fontId="8" fillId="0" borderId="0" xfId="0" applyFont="1" applyBorder="1" applyAlignment="1" applyProtection="1">
      <alignment horizontal="right" wrapText="1"/>
    </xf>
    <xf numFmtId="0" fontId="9" fillId="5" borderId="4" xfId="0" applyFont="1" applyFill="1" applyBorder="1" applyAlignment="1" applyProtection="1">
      <alignment horizontal="right"/>
      <protection locked="0"/>
    </xf>
    <xf numFmtId="0" fontId="9" fillId="5" borderId="8" xfId="0" applyFont="1" applyFill="1" applyBorder="1" applyAlignment="1" applyProtection="1">
      <alignment horizontal="right"/>
      <protection locked="0"/>
    </xf>
    <xf numFmtId="0" fontId="9" fillId="5" borderId="25" xfId="0" applyFont="1" applyFill="1" applyBorder="1" applyAlignment="1" applyProtection="1">
      <alignment horizontal="right"/>
      <protection locked="0"/>
    </xf>
    <xf numFmtId="165" fontId="2" fillId="3" borderId="17" xfId="0" applyNumberFormat="1" applyFont="1" applyFill="1" applyBorder="1" applyAlignment="1" applyProtection="1">
      <alignment horizontal="center" shrinkToFit="1"/>
    </xf>
    <xf numFmtId="165" fontId="2" fillId="3" borderId="0" xfId="0" applyNumberFormat="1" applyFont="1" applyFill="1" applyBorder="1" applyAlignment="1" applyProtection="1">
      <alignment horizontal="center" shrinkToFit="1"/>
    </xf>
    <xf numFmtId="165" fontId="2" fillId="3" borderId="18" xfId="0" applyNumberFormat="1" applyFont="1" applyFill="1" applyBorder="1" applyAlignment="1" applyProtection="1">
      <alignment horizontal="center" shrinkToFit="1"/>
    </xf>
    <xf numFmtId="0" fontId="15" fillId="0" borderId="17" xfId="0" applyFont="1" applyBorder="1" applyAlignment="1" applyProtection="1">
      <alignment horizontal="center" readingOrder="2"/>
    </xf>
    <xf numFmtId="0" fontId="15" fillId="0" borderId="0" xfId="0" applyFont="1" applyBorder="1" applyAlignment="1" applyProtection="1">
      <alignment horizontal="center" readingOrder="2"/>
    </xf>
    <xf numFmtId="0" fontId="15" fillId="0" borderId="17" xfId="0" applyFont="1" applyBorder="1" applyAlignment="1">
      <alignment horizontal="center" readingOrder="2"/>
    </xf>
    <xf numFmtId="0" fontId="15" fillId="0" borderId="0" xfId="0" applyFont="1" applyBorder="1" applyAlignment="1">
      <alignment horizontal="center" readingOrder="2"/>
    </xf>
    <xf numFmtId="0" fontId="32" fillId="3" borderId="0" xfId="0" applyFont="1" applyFill="1" applyBorder="1" applyAlignment="1" applyProtection="1">
      <alignment horizontal="right" shrinkToFit="1"/>
      <protection locked="0"/>
    </xf>
    <xf numFmtId="0" fontId="32" fillId="3" borderId="18" xfId="0" applyFont="1" applyFill="1" applyBorder="1" applyAlignment="1" applyProtection="1">
      <alignment horizontal="right" shrinkToFit="1"/>
      <protection locked="0"/>
    </xf>
    <xf numFmtId="4" fontId="12" fillId="5" borderId="4" xfId="0" applyNumberFormat="1" applyFont="1" applyFill="1" applyBorder="1" applyAlignment="1" applyProtection="1">
      <alignment horizontal="right" readingOrder="2"/>
      <protection locked="0"/>
    </xf>
    <xf numFmtId="0" fontId="24" fillId="0" borderId="15" xfId="0" applyFont="1" applyBorder="1" applyAlignment="1" applyProtection="1">
      <alignment horizontal="center"/>
      <protection locked="0"/>
    </xf>
    <xf numFmtId="0" fontId="24" fillId="0" borderId="2" xfId="0" applyFont="1" applyBorder="1" applyAlignment="1" applyProtection="1">
      <alignment horizontal="center"/>
      <protection locked="0"/>
    </xf>
    <xf numFmtId="0" fontId="24" fillId="0" borderId="0" xfId="0" applyFont="1" applyBorder="1" applyAlignment="1">
      <alignment horizontal="center" shrinkToFit="1"/>
    </xf>
    <xf numFmtId="0" fontId="24" fillId="0" borderId="18" xfId="0" applyFont="1" applyBorder="1" applyAlignment="1">
      <alignment horizontal="center" shrinkToFit="1"/>
    </xf>
    <xf numFmtId="0" fontId="24" fillId="0" borderId="0" xfId="0" applyFont="1" applyBorder="1" applyAlignment="1">
      <alignment horizontal="right" shrinkToFit="1"/>
    </xf>
    <xf numFmtId="0" fontId="24" fillId="0" borderId="18" xfId="0" applyFont="1" applyBorder="1" applyAlignment="1">
      <alignment horizontal="right" shrinkToFit="1"/>
    </xf>
    <xf numFmtId="165" fontId="9" fillId="0" borderId="36" xfId="0" applyNumberFormat="1" applyFont="1" applyBorder="1" applyAlignment="1">
      <alignment horizontal="center" vertical="center" shrinkToFit="1"/>
    </xf>
    <xf numFmtId="165" fontId="9" fillId="0" borderId="18" xfId="0" applyNumberFormat="1" applyFont="1" applyBorder="1" applyAlignment="1">
      <alignment horizontal="center" vertical="center" shrinkToFit="1"/>
    </xf>
    <xf numFmtId="49" fontId="32" fillId="0" borderId="0" xfId="0" applyNumberFormat="1" applyFont="1" applyBorder="1" applyAlignment="1" applyProtection="1">
      <alignment horizontal="center" shrinkToFit="1"/>
      <protection locked="0"/>
    </xf>
    <xf numFmtId="49" fontId="32" fillId="0" borderId="18" xfId="0" applyNumberFormat="1" applyFont="1" applyBorder="1" applyAlignment="1" applyProtection="1">
      <alignment horizontal="center" shrinkToFit="1"/>
      <protection locked="0"/>
    </xf>
    <xf numFmtId="165" fontId="9" fillId="0" borderId="38" xfId="0" applyNumberFormat="1" applyFont="1" applyBorder="1" applyAlignment="1">
      <alignment horizontal="center" vertical="center" shrinkToFit="1"/>
    </xf>
    <xf numFmtId="165" fontId="9" fillId="0" borderId="21" xfId="0" applyNumberFormat="1" applyFont="1" applyBorder="1" applyAlignment="1">
      <alignment horizontal="center" vertical="center" shrinkToFit="1"/>
    </xf>
    <xf numFmtId="165" fontId="2" fillId="0" borderId="5" xfId="0" applyNumberFormat="1" applyFont="1" applyBorder="1" applyAlignment="1">
      <alignment horizontal="center" vertical="center" shrinkToFit="1"/>
    </xf>
    <xf numFmtId="165" fontId="2" fillId="0" borderId="10" xfId="0" applyNumberFormat="1" applyFont="1" applyBorder="1" applyAlignment="1">
      <alignment horizontal="center" vertical="center" shrinkToFit="1"/>
    </xf>
    <xf numFmtId="164" fontId="12" fillId="0" borderId="15" xfId="0" applyNumberFormat="1" applyFont="1" applyBorder="1" applyAlignment="1">
      <alignment horizontal="center" shrinkToFit="1"/>
    </xf>
    <xf numFmtId="164" fontId="12" fillId="0" borderId="16" xfId="0" applyNumberFormat="1" applyFont="1" applyBorder="1" applyAlignment="1">
      <alignment horizontal="center" shrinkToFit="1"/>
    </xf>
    <xf numFmtId="165" fontId="12" fillId="0" borderId="17" xfId="0" applyNumberFormat="1" applyFont="1" applyBorder="1" applyAlignment="1">
      <alignment horizontal="center" shrinkToFit="1"/>
    </xf>
    <xf numFmtId="165" fontId="12" fillId="0" borderId="18" xfId="0" applyNumberFormat="1" applyFont="1" applyBorder="1" applyAlignment="1">
      <alignment horizontal="center" shrinkToFit="1"/>
    </xf>
    <xf numFmtId="165" fontId="12" fillId="0" borderId="19" xfId="0" applyNumberFormat="1" applyFont="1" applyBorder="1" applyAlignment="1">
      <alignment horizontal="center" shrinkToFit="1"/>
    </xf>
    <xf numFmtId="165" fontId="12" fillId="0" borderId="21" xfId="0" applyNumberFormat="1" applyFont="1" applyBorder="1" applyAlignment="1">
      <alignment horizontal="center" shrinkToFit="1"/>
    </xf>
    <xf numFmtId="0" fontId="1" fillId="0" borderId="0" xfId="0" applyFont="1" applyBorder="1" applyAlignment="1" applyProtection="1">
      <alignment horizontal="center"/>
      <protection locked="0"/>
    </xf>
    <xf numFmtId="0" fontId="12" fillId="0" borderId="9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2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0" fontId="23" fillId="0" borderId="0" xfId="0" applyFont="1" applyAlignment="1" applyProtection="1">
      <alignment horizontal="center" readingOrder="2"/>
    </xf>
    <xf numFmtId="0" fontId="9" fillId="0" borderId="0" xfId="0" applyFont="1" applyAlignment="1" applyProtection="1">
      <alignment horizontal="center" readingOrder="2"/>
    </xf>
    <xf numFmtId="0" fontId="3" fillId="0" borderId="0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0" borderId="15" xfId="0" applyFont="1" applyBorder="1" applyAlignment="1" applyProtection="1">
      <alignment horizontal="center" shrinkToFit="1"/>
      <protection locked="0"/>
    </xf>
    <xf numFmtId="0" fontId="4" fillId="0" borderId="2" xfId="0" applyFont="1" applyBorder="1" applyAlignment="1" applyProtection="1">
      <alignment horizontal="center" shrinkToFit="1"/>
      <protection locked="0"/>
    </xf>
    <xf numFmtId="0" fontId="9" fillId="0" borderId="0" xfId="0" applyFont="1" applyAlignment="1" applyProtection="1">
      <alignment horizontal="center"/>
      <protection locked="0"/>
    </xf>
    <xf numFmtId="0" fontId="4" fillId="0" borderId="0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shrinkToFit="1"/>
    </xf>
    <xf numFmtId="165" fontId="9" fillId="0" borderId="16" xfId="0" applyNumberFormat="1" applyFont="1" applyBorder="1" applyAlignment="1">
      <alignment horizontal="center" shrinkToFit="1"/>
    </xf>
    <xf numFmtId="165" fontId="9" fillId="0" borderId="17" xfId="0" applyNumberFormat="1" applyFont="1" applyBorder="1" applyAlignment="1" applyProtection="1">
      <alignment horizontal="center" shrinkToFit="1"/>
      <protection locked="0"/>
    </xf>
    <xf numFmtId="165" fontId="9" fillId="0" borderId="18" xfId="0" applyNumberFormat="1" applyFont="1" applyBorder="1" applyAlignment="1" applyProtection="1">
      <alignment horizontal="center" shrinkToFit="1"/>
      <protection locked="0"/>
    </xf>
    <xf numFmtId="0" fontId="20" fillId="0" borderId="17" xfId="0" applyFont="1" applyBorder="1" applyAlignment="1" applyProtection="1">
      <alignment horizontal="center" shrinkToFit="1"/>
      <protection locked="0"/>
    </xf>
    <xf numFmtId="0" fontId="20" fillId="0" borderId="0" xfId="0" applyFont="1" applyBorder="1" applyAlignment="1" applyProtection="1">
      <alignment horizontal="center" shrinkToFit="1"/>
      <protection locked="0"/>
    </xf>
    <xf numFmtId="0" fontId="4" fillId="0" borderId="17" xfId="0" applyFont="1" applyBorder="1" applyAlignment="1" applyProtection="1">
      <alignment horizontal="center" shrinkToFit="1"/>
      <protection locked="0"/>
    </xf>
    <xf numFmtId="0" fontId="4" fillId="0" borderId="0" xfId="0" applyFont="1" applyBorder="1" applyAlignment="1" applyProtection="1">
      <alignment horizontal="center" shrinkToFit="1"/>
      <protection locked="0"/>
    </xf>
    <xf numFmtId="0" fontId="9" fillId="5" borderId="4" xfId="0" applyFont="1" applyFill="1" applyBorder="1" applyAlignment="1" applyProtection="1">
      <alignment horizontal="center" shrinkToFit="1"/>
      <protection locked="0"/>
    </xf>
    <xf numFmtId="0" fontId="9" fillId="5" borderId="8" xfId="0" applyFont="1" applyFill="1" applyBorder="1" applyAlignment="1" applyProtection="1">
      <alignment horizontal="center" shrinkToFit="1"/>
      <protection locked="0"/>
    </xf>
    <xf numFmtId="0" fontId="9" fillId="5" borderId="25" xfId="0" applyFont="1" applyFill="1" applyBorder="1" applyAlignment="1" applyProtection="1">
      <alignment horizontal="center" shrinkToFit="1"/>
      <protection locked="0"/>
    </xf>
    <xf numFmtId="0" fontId="9" fillId="0" borderId="4" xfId="0" applyFont="1" applyBorder="1" applyAlignment="1" applyProtection="1">
      <alignment horizontal="right" shrinkToFit="1"/>
      <protection locked="0"/>
    </xf>
    <xf numFmtId="0" fontId="9" fillId="0" borderId="8" xfId="0" applyFont="1" applyBorder="1" applyAlignment="1" applyProtection="1">
      <alignment horizontal="right" shrinkToFit="1"/>
      <protection locked="0"/>
    </xf>
    <xf numFmtId="0" fontId="9" fillId="0" borderId="25" xfId="0" applyFont="1" applyBorder="1" applyAlignment="1" applyProtection="1">
      <alignment horizontal="right" shrinkToFit="1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8" xfId="0" applyFont="1" applyBorder="1" applyAlignment="1" applyProtection="1">
      <alignment horizont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4" fontId="12" fillId="0" borderId="19" xfId="0" applyNumberFormat="1" applyFont="1" applyBorder="1" applyAlignment="1">
      <alignment horizontal="center" shrinkToFit="1"/>
    </xf>
    <xf numFmtId="164" fontId="12" fillId="0" borderId="21" xfId="0" applyNumberFormat="1" applyFont="1" applyBorder="1" applyAlignment="1">
      <alignment horizontal="center" shrinkToFit="1"/>
    </xf>
    <xf numFmtId="0" fontId="11" fillId="0" borderId="11" xfId="0" applyFont="1" applyBorder="1" applyAlignment="1" applyProtection="1">
      <alignment horizontal="center"/>
    </xf>
    <xf numFmtId="0" fontId="11" fillId="0" borderId="12" xfId="0" applyFont="1" applyBorder="1" applyAlignment="1" applyProtection="1">
      <alignment horizontal="center"/>
    </xf>
    <xf numFmtId="0" fontId="11" fillId="0" borderId="42" xfId="0" applyFont="1" applyBorder="1" applyAlignment="1" applyProtection="1">
      <alignment horizontal="center"/>
    </xf>
    <xf numFmtId="0" fontId="12" fillId="0" borderId="5" xfId="0" applyFont="1" applyBorder="1" applyAlignment="1" applyProtection="1">
      <alignment horizontal="center"/>
    </xf>
    <xf numFmtId="0" fontId="12" fillId="0" borderId="12" xfId="0" applyFont="1" applyBorder="1" applyAlignment="1" applyProtection="1">
      <alignment horizontal="center"/>
    </xf>
    <xf numFmtId="0" fontId="12" fillId="0" borderId="42" xfId="0" applyFont="1" applyBorder="1" applyAlignment="1" applyProtection="1">
      <alignment horizontal="center"/>
    </xf>
    <xf numFmtId="0" fontId="12" fillId="0" borderId="36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 vertical="center" wrapText="1"/>
    </xf>
    <xf numFmtId="0" fontId="12" fillId="0" borderId="35" xfId="0" applyFont="1" applyBorder="1" applyAlignment="1" applyProtection="1">
      <alignment horizontal="center" vertical="center" wrapText="1"/>
    </xf>
    <xf numFmtId="0" fontId="12" fillId="0" borderId="17" xfId="0" applyFont="1" applyBorder="1" applyAlignment="1" applyProtection="1">
      <alignment horizontal="right" wrapText="1"/>
    </xf>
    <xf numFmtId="0" fontId="12" fillId="0" borderId="0" xfId="0" applyFont="1" applyBorder="1" applyAlignment="1" applyProtection="1">
      <alignment horizontal="right" wrapText="1"/>
    </xf>
    <xf numFmtId="0" fontId="12" fillId="0" borderId="35" xfId="0" applyFont="1" applyBorder="1" applyAlignment="1" applyProtection="1">
      <alignment horizontal="right" wrapText="1"/>
    </xf>
    <xf numFmtId="0" fontId="12" fillId="0" borderId="0" xfId="0" applyFont="1" applyBorder="1" applyAlignment="1">
      <alignment horizontal="left" wrapText="1"/>
    </xf>
    <xf numFmtId="0" fontId="30" fillId="0" borderId="2" xfId="0" applyFont="1" applyBorder="1" applyAlignment="1" applyProtection="1">
      <alignment horizontal="right"/>
      <protection locked="0"/>
    </xf>
    <xf numFmtId="0" fontId="30" fillId="0" borderId="40" xfId="0" applyFont="1" applyBorder="1" applyAlignment="1" applyProtection="1">
      <alignment horizontal="right"/>
      <protection locked="0"/>
    </xf>
    <xf numFmtId="0" fontId="1" fillId="0" borderId="0" xfId="0" applyFont="1" applyBorder="1" applyAlignment="1" applyProtection="1">
      <alignment horizontal="center"/>
    </xf>
    <xf numFmtId="0" fontId="1" fillId="0" borderId="18" xfId="0" applyFont="1" applyBorder="1" applyAlignment="1" applyProtection="1">
      <alignment horizontal="center"/>
    </xf>
    <xf numFmtId="165" fontId="12" fillId="0" borderId="0" xfId="0" applyNumberFormat="1" applyFont="1" applyBorder="1" applyAlignment="1">
      <alignment horizontal="center" vertical="center"/>
    </xf>
    <xf numFmtId="49" fontId="8" fillId="0" borderId="0" xfId="0" applyNumberFormat="1" applyFont="1" applyBorder="1" applyAlignment="1" applyProtection="1">
      <alignment horizontal="center" shrinkToFit="1"/>
    </xf>
    <xf numFmtId="49" fontId="8" fillId="0" borderId="18" xfId="0" applyNumberFormat="1" applyFont="1" applyBorder="1" applyAlignment="1" applyProtection="1">
      <alignment horizontal="center" shrinkToFit="1"/>
    </xf>
    <xf numFmtId="0" fontId="1" fillId="0" borderId="17" xfId="0" applyFont="1" applyBorder="1" applyAlignment="1" applyProtection="1">
      <alignment horizontal="center"/>
    </xf>
    <xf numFmtId="165" fontId="13" fillId="0" borderId="0" xfId="0" applyNumberFormat="1" applyFont="1" applyBorder="1" applyAlignment="1">
      <alignment horizontal="center" shrinkToFit="1"/>
    </xf>
    <xf numFmtId="0" fontId="13" fillId="0" borderId="0" xfId="0" applyFont="1" applyBorder="1" applyAlignment="1">
      <alignment horizontal="center" shrinkToFit="1"/>
    </xf>
    <xf numFmtId="0" fontId="13" fillId="0" borderId="0" xfId="0" quotePrefix="1" applyFont="1" applyBorder="1" applyAlignment="1">
      <alignment horizontal="center" shrinkToFit="1"/>
    </xf>
    <xf numFmtId="0" fontId="12" fillId="0" borderId="27" xfId="0" applyFont="1" applyBorder="1" applyAlignment="1">
      <alignment horizontal="right" shrinkToFit="1"/>
    </xf>
    <xf numFmtId="0" fontId="12" fillId="0" borderId="28" xfId="0" applyFont="1" applyBorder="1" applyAlignment="1">
      <alignment horizontal="right" shrinkToFit="1"/>
    </xf>
    <xf numFmtId="0" fontId="12" fillId="0" borderId="6" xfId="0" applyFont="1" applyBorder="1" applyAlignment="1">
      <alignment horizontal="left" shrinkToFit="1"/>
    </xf>
    <xf numFmtId="0" fontId="12" fillId="0" borderId="44" xfId="0" applyFont="1" applyBorder="1" applyAlignment="1">
      <alignment horizontal="left" shrinkToFit="1"/>
    </xf>
    <xf numFmtId="0" fontId="12" fillId="0" borderId="31" xfId="0" applyFont="1" applyBorder="1" applyAlignment="1">
      <alignment horizontal="left" shrinkToFit="1"/>
    </xf>
    <xf numFmtId="0" fontId="12" fillId="0" borderId="45" xfId="0" applyFont="1" applyBorder="1" applyAlignment="1">
      <alignment horizontal="right" shrinkToFit="1"/>
    </xf>
    <xf numFmtId="0" fontId="12" fillId="0" borderId="46" xfId="0" applyFont="1" applyBorder="1" applyAlignment="1">
      <alignment horizontal="right" shrinkToFit="1"/>
    </xf>
    <xf numFmtId="49" fontId="8" fillId="0" borderId="2" xfId="0" applyNumberFormat="1" applyFont="1" applyBorder="1" applyAlignment="1" applyProtection="1">
      <alignment horizontal="center" shrinkToFit="1"/>
    </xf>
    <xf numFmtId="49" fontId="8" fillId="0" borderId="16" xfId="0" applyNumberFormat="1" applyFont="1" applyBorder="1" applyAlignment="1" applyProtection="1">
      <alignment horizontal="center" shrinkToFit="1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34" fillId="0" borderId="43" xfId="0" applyFont="1" applyBorder="1" applyAlignment="1">
      <alignment horizontal="right"/>
    </xf>
    <xf numFmtId="0" fontId="34" fillId="0" borderId="49" xfId="0" applyFont="1" applyBorder="1" applyAlignment="1">
      <alignment horizontal="right"/>
    </xf>
    <xf numFmtId="0" fontId="4" fillId="0" borderId="19" xfId="0" applyFont="1" applyBorder="1" applyAlignment="1" applyProtection="1">
      <alignment horizontal="center" shrinkToFit="1"/>
    </xf>
    <xf numFmtId="0" fontId="4" fillId="0" borderId="20" xfId="0" applyFont="1" applyBorder="1" applyAlignment="1" applyProtection="1">
      <alignment horizontal="center" shrinkToFit="1"/>
    </xf>
    <xf numFmtId="0" fontId="2" fillId="0" borderId="19" xfId="0" applyFont="1" applyBorder="1" applyAlignment="1" applyProtection="1">
      <alignment horizontal="left" vertical="center" shrinkToFit="1"/>
    </xf>
    <xf numFmtId="0" fontId="2" fillId="0" borderId="20" xfId="0" applyFont="1" applyBorder="1" applyAlignment="1" applyProtection="1">
      <alignment horizontal="left" vertical="center" shrinkToFit="1"/>
    </xf>
    <xf numFmtId="0" fontId="9" fillId="0" borderId="0" xfId="0" applyFont="1" applyAlignment="1" applyProtection="1">
      <alignment horizontal="right" textRotation="90" readingOrder="2"/>
    </xf>
    <xf numFmtId="0" fontId="8" fillId="0" borderId="15" xfId="0" applyFont="1" applyBorder="1" applyAlignment="1" applyProtection="1">
      <alignment horizontal="right"/>
    </xf>
    <xf numFmtId="0" fontId="8" fillId="0" borderId="2" xfId="0" applyFont="1" applyBorder="1" applyAlignment="1" applyProtection="1">
      <alignment horizontal="right"/>
    </xf>
    <xf numFmtId="0" fontId="29" fillId="0" borderId="0" xfId="0" applyFont="1" applyAlignment="1" applyProtection="1">
      <alignment horizontal="center" shrinkToFit="1" readingOrder="2"/>
      <protection locked="0"/>
    </xf>
    <xf numFmtId="49" fontId="29" fillId="0" borderId="0" xfId="0" applyNumberFormat="1" applyFont="1" applyAlignment="1" applyProtection="1">
      <alignment horizontal="center" shrinkToFit="1" readingOrder="2"/>
      <protection locked="0"/>
    </xf>
    <xf numFmtId="0" fontId="12" fillId="0" borderId="0" xfId="0" applyFont="1" applyAlignment="1" applyProtection="1">
      <alignment horizontal="right" readingOrder="2"/>
      <protection locked="0"/>
    </xf>
    <xf numFmtId="165" fontId="9" fillId="0" borderId="19" xfId="0" applyNumberFormat="1" applyFont="1" applyBorder="1" applyAlignment="1" applyProtection="1">
      <alignment horizontal="center" shrinkToFit="1"/>
      <protection locked="0"/>
    </xf>
    <xf numFmtId="165" fontId="9" fillId="0" borderId="21" xfId="0" applyNumberFormat="1" applyFont="1" applyBorder="1" applyAlignment="1" applyProtection="1">
      <alignment horizontal="center" shrinkToFit="1"/>
      <protection locked="0"/>
    </xf>
    <xf numFmtId="165" fontId="9" fillId="0" borderId="17" xfId="0" applyNumberFormat="1" applyFont="1" applyBorder="1" applyAlignment="1">
      <alignment horizontal="center" shrinkToFit="1"/>
    </xf>
    <xf numFmtId="165" fontId="9" fillId="0" borderId="18" xfId="0" applyNumberFormat="1" applyFont="1" applyBorder="1" applyAlignment="1">
      <alignment horizontal="center" shrinkToFit="1"/>
    </xf>
    <xf numFmtId="165" fontId="9" fillId="0" borderId="41" xfId="0" applyNumberFormat="1" applyFont="1" applyBorder="1" applyAlignment="1">
      <alignment horizontal="center" vertical="center" shrinkToFit="1"/>
    </xf>
    <xf numFmtId="165" fontId="9" fillId="0" borderId="16" xfId="0" applyNumberFormat="1" applyFont="1" applyBorder="1" applyAlignment="1">
      <alignment horizontal="center" vertical="center" shrinkToFit="1"/>
    </xf>
    <xf numFmtId="0" fontId="35" fillId="0" borderId="3" xfId="0" applyFont="1" applyBorder="1" applyAlignment="1" applyProtection="1">
      <alignment horizontal="right" vertical="center" readingOrder="2"/>
      <protection locked="0"/>
    </xf>
    <xf numFmtId="0" fontId="13" fillId="0" borderId="2" xfId="0" applyFont="1" applyBorder="1" applyAlignment="1">
      <alignment horizontal="center"/>
    </xf>
    <xf numFmtId="0" fontId="40" fillId="0" borderId="0" xfId="0" applyFont="1" applyBorder="1" applyAlignment="1">
      <alignment horizontal="right" wrapText="1" readingOrder="2"/>
    </xf>
    <xf numFmtId="49" fontId="40" fillId="0" borderId="0" xfId="0" applyNumberFormat="1" applyFont="1" applyAlignment="1">
      <alignment horizontal="right" wrapText="1" readingOrder="2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2" fillId="0" borderId="0" xfId="0" applyFont="1" applyBorder="1" applyAlignment="1" applyProtection="1">
      <alignment horizontal="center" shrinkToFit="1"/>
      <protection locked="0"/>
    </xf>
    <xf numFmtId="0" fontId="1" fillId="0" borderId="0" xfId="0" applyFont="1" applyBorder="1" applyAlignment="1" applyProtection="1">
      <alignment horizontal="right"/>
      <protection locked="0"/>
    </xf>
    <xf numFmtId="0" fontId="1" fillId="0" borderId="18" xfId="0" applyFont="1" applyBorder="1" applyAlignment="1" applyProtection="1">
      <alignment horizontal="right"/>
      <protection locked="0"/>
    </xf>
    <xf numFmtId="0" fontId="8" fillId="0" borderId="19" xfId="0" applyFont="1" applyBorder="1" applyAlignment="1">
      <alignment horizontal="right"/>
    </xf>
    <xf numFmtId="0" fontId="8" fillId="0" borderId="20" xfId="0" applyFont="1" applyBorder="1" applyAlignment="1">
      <alignment horizontal="right"/>
    </xf>
    <xf numFmtId="49" fontId="30" fillId="0" borderId="0" xfId="0" applyNumberFormat="1" applyFont="1" applyAlignment="1" applyProtection="1">
      <alignment horizontal="center" shrinkToFit="1"/>
      <protection locked="0"/>
    </xf>
    <xf numFmtId="0" fontId="36" fillId="0" borderId="0" xfId="0" applyFont="1" applyAlignment="1" applyProtection="1">
      <alignment horizontal="center" shrinkToFit="1"/>
      <protection locked="0"/>
    </xf>
    <xf numFmtId="0" fontId="39" fillId="0" borderId="17" xfId="0" applyFont="1" applyBorder="1" applyAlignment="1" applyProtection="1">
      <alignment horizontal="left" readingOrder="2"/>
    </xf>
    <xf numFmtId="0" fontId="39" fillId="0" borderId="0" xfId="0" applyFont="1" applyBorder="1" applyAlignment="1" applyProtection="1">
      <alignment horizontal="left" readingOrder="2"/>
    </xf>
    <xf numFmtId="165" fontId="9" fillId="0" borderId="19" xfId="0" applyNumberFormat="1" applyFont="1" applyBorder="1" applyAlignment="1">
      <alignment horizontal="center" shrinkToFit="1"/>
    </xf>
    <xf numFmtId="165" fontId="9" fillId="0" borderId="21" xfId="0" applyNumberFormat="1" applyFont="1" applyBorder="1" applyAlignment="1">
      <alignment horizontal="center" shrinkToFit="1"/>
    </xf>
    <xf numFmtId="165" fontId="9" fillId="0" borderId="15" xfId="0" applyNumberFormat="1" applyFont="1" applyBorder="1" applyAlignment="1" applyProtection="1">
      <alignment horizontal="center" shrinkToFit="1"/>
      <protection locked="0"/>
    </xf>
    <xf numFmtId="165" fontId="9" fillId="0" borderId="16" xfId="0" applyNumberFormat="1" applyFont="1" applyBorder="1" applyAlignment="1" applyProtection="1">
      <alignment horizontal="center" shrinkToFit="1"/>
      <protection locked="0"/>
    </xf>
    <xf numFmtId="0" fontId="4" fillId="0" borderId="0" xfId="0" applyFont="1" applyAlignment="1" applyProtection="1">
      <alignment horizontal="left" wrapText="1"/>
    </xf>
    <xf numFmtId="165" fontId="9" fillId="0" borderId="4" xfId="0" applyNumberFormat="1" applyFont="1" applyBorder="1" applyAlignment="1">
      <alignment horizontal="center" shrinkToFit="1"/>
    </xf>
    <xf numFmtId="165" fontId="9" fillId="0" borderId="26" xfId="0" applyNumberFormat="1" applyFont="1" applyBorder="1" applyAlignment="1">
      <alignment horizontal="center" shrinkToFit="1"/>
    </xf>
    <xf numFmtId="0" fontId="35" fillId="0" borderId="7" xfId="0" applyFont="1" applyBorder="1" applyAlignment="1" applyProtection="1">
      <alignment horizontal="right" vertical="center" readingOrder="2"/>
      <protection locked="0"/>
    </xf>
    <xf numFmtId="0" fontId="12" fillId="5" borderId="14" xfId="0" applyFont="1" applyFill="1" applyBorder="1" applyAlignment="1" applyProtection="1">
      <alignment horizontal="right" readingOrder="2"/>
      <protection locked="0"/>
    </xf>
    <xf numFmtId="0" fontId="35" fillId="0" borderId="8" xfId="0" applyFont="1" applyBorder="1" applyAlignment="1" applyProtection="1">
      <alignment horizontal="right" vertical="center" readingOrder="2"/>
      <protection locked="0"/>
    </xf>
    <xf numFmtId="0" fontId="12" fillId="5" borderId="13" xfId="0" applyFont="1" applyFill="1" applyBorder="1" applyAlignment="1" applyProtection="1">
      <alignment horizontal="right" readingOrder="2"/>
      <protection locked="0"/>
    </xf>
    <xf numFmtId="0" fontId="12" fillId="5" borderId="50" xfId="0" applyFont="1" applyFill="1" applyBorder="1" applyAlignment="1" applyProtection="1">
      <alignment horizontal="right" readingOrder="2"/>
      <protection locked="0"/>
    </xf>
    <xf numFmtId="0" fontId="24" fillId="0" borderId="0" xfId="0" applyFont="1" applyAlignment="1">
      <alignment horizontal="center"/>
    </xf>
    <xf numFmtId="0" fontId="65" fillId="0" borderId="15" xfId="0" applyFont="1" applyBorder="1" applyAlignment="1"/>
    <xf numFmtId="0" fontId="65" fillId="0" borderId="2" xfId="0" applyFont="1" applyBorder="1" applyAlignment="1"/>
    <xf numFmtId="0" fontId="65" fillId="0" borderId="16" xfId="0" applyFont="1" applyBorder="1" applyAlignment="1"/>
    <xf numFmtId="0" fontId="0" fillId="0" borderId="17" xfId="0" applyBorder="1" applyAlignment="1"/>
    <xf numFmtId="0" fontId="0" fillId="0" borderId="0" xfId="0" applyBorder="1" applyAlignment="1"/>
    <xf numFmtId="0" fontId="0" fillId="0" borderId="18" xfId="0" applyBorder="1" applyAlignment="1"/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 applyAlignment="1">
      <alignment horizontal="right"/>
    </xf>
    <xf numFmtId="4" fontId="24" fillId="0" borderId="4" xfId="0" applyNumberFormat="1" applyFont="1" applyFill="1" applyBorder="1" applyAlignment="1">
      <alignment horizontal="right"/>
    </xf>
    <xf numFmtId="4" fontId="24" fillId="0" borderId="25" xfId="0" applyNumberFormat="1" applyFont="1" applyFill="1" applyBorder="1" applyAlignment="1">
      <alignment horizontal="right"/>
    </xf>
    <xf numFmtId="0" fontId="24" fillId="0" borderId="55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</cellXfs>
  <cellStyles count="2">
    <cellStyle name="Normal" xfId="0" builtinId="0"/>
    <cellStyle name="Vérification" xfId="1" builtinId="23"/>
  </cellStyles>
  <dxfs count="22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65"/>
  <sheetViews>
    <sheetView rightToLeft="1" showWhiteSpace="0" view="pageLayout" topLeftCell="A88" workbookViewId="0">
      <selection activeCell="B105" sqref="B105:K105"/>
    </sheetView>
  </sheetViews>
  <sheetFormatPr baseColWidth="10" defaultRowHeight="14.4"/>
  <cols>
    <col min="1" max="1" width="5.6640625" customWidth="1"/>
    <col min="2" max="2" width="4.77734375" customWidth="1"/>
    <col min="3" max="3" width="4.6640625" customWidth="1"/>
    <col min="4" max="4" width="10" customWidth="1"/>
    <col min="5" max="5" width="4.44140625" customWidth="1"/>
    <col min="6" max="6" width="2.77734375" customWidth="1"/>
    <col min="7" max="7" width="2.5546875" customWidth="1"/>
    <col min="8" max="8" width="2.6640625" customWidth="1"/>
    <col min="9" max="9" width="1.77734375" customWidth="1"/>
    <col min="10" max="11" width="0.77734375" customWidth="1"/>
    <col min="12" max="12" width="0.109375" customWidth="1"/>
    <col min="13" max="13" width="9.77734375" customWidth="1"/>
    <col min="14" max="14" width="1.21875" customWidth="1"/>
    <col min="15" max="15" width="8.5546875" customWidth="1"/>
    <col min="16" max="16" width="10" customWidth="1"/>
    <col min="17" max="17" width="12.88671875" customWidth="1"/>
    <col min="18" max="18" width="0.6640625" customWidth="1"/>
    <col min="19" max="19" width="2.109375" customWidth="1"/>
    <col min="20" max="20" width="12.21875" customWidth="1"/>
  </cols>
  <sheetData>
    <row r="1" spans="1:20" ht="17.399999999999999" customHeight="1">
      <c r="A1" s="423" t="s">
        <v>0</v>
      </c>
      <c r="B1" s="423"/>
      <c r="C1" s="423"/>
      <c r="D1" s="423"/>
      <c r="E1" s="423"/>
      <c r="F1" s="423"/>
      <c r="G1" s="69"/>
      <c r="H1" s="69"/>
      <c r="I1" s="69"/>
      <c r="J1" s="69"/>
      <c r="K1" s="69"/>
      <c r="L1" s="69"/>
      <c r="M1" s="424" t="s">
        <v>1</v>
      </c>
      <c r="N1" s="424"/>
      <c r="O1" s="424"/>
      <c r="P1" s="70" t="s">
        <v>1</v>
      </c>
      <c r="Q1" s="69"/>
      <c r="R1" s="69"/>
      <c r="S1" s="69"/>
      <c r="T1" s="69"/>
    </row>
    <row r="2" spans="1:20" ht="18.600000000000001" customHeight="1">
      <c r="A2" s="423" t="s">
        <v>2</v>
      </c>
      <c r="B2" s="423"/>
      <c r="C2" s="423"/>
      <c r="D2" s="423"/>
      <c r="E2" s="423"/>
      <c r="F2" s="423"/>
      <c r="G2" s="69"/>
      <c r="H2" s="69"/>
      <c r="I2" s="69"/>
      <c r="J2" s="69"/>
      <c r="K2" s="425" t="s">
        <v>3</v>
      </c>
      <c r="L2" s="425"/>
      <c r="M2" s="425"/>
      <c r="N2" s="425"/>
      <c r="O2" s="425"/>
      <c r="P2" s="425"/>
      <c r="Q2" s="425"/>
      <c r="R2" s="425"/>
      <c r="S2" s="425"/>
      <c r="T2" s="425"/>
    </row>
    <row r="3" spans="1:20" ht="17.399999999999999" customHeight="1">
      <c r="A3" s="423" t="s">
        <v>4</v>
      </c>
      <c r="B3" s="423"/>
      <c r="C3" s="423"/>
      <c r="D3" s="423"/>
      <c r="E3" s="423"/>
      <c r="F3" s="423"/>
      <c r="G3" s="69"/>
      <c r="H3" s="69"/>
      <c r="I3" s="69"/>
      <c r="J3" s="69"/>
      <c r="K3" s="426" t="s">
        <v>5</v>
      </c>
      <c r="L3" s="426"/>
      <c r="M3" s="426"/>
      <c r="N3" s="426"/>
      <c r="O3" s="426"/>
      <c r="P3" s="426"/>
      <c r="Q3" s="426"/>
      <c r="R3" s="426"/>
      <c r="S3" s="426"/>
      <c r="T3" s="426"/>
    </row>
    <row r="4" spans="1:20" ht="15.6" customHeight="1">
      <c r="A4" s="424" t="s">
        <v>1</v>
      </c>
      <c r="B4" s="424"/>
      <c r="C4" s="424"/>
      <c r="D4" s="143"/>
      <c r="E4" s="143"/>
      <c r="F4" s="69"/>
      <c r="G4" s="69"/>
      <c r="H4" s="71"/>
      <c r="I4" s="69"/>
      <c r="J4" s="69"/>
      <c r="K4" s="426" t="s">
        <v>6</v>
      </c>
      <c r="L4" s="426"/>
      <c r="M4" s="426"/>
      <c r="N4" s="426"/>
      <c r="O4" s="426"/>
      <c r="P4" s="426"/>
      <c r="Q4" s="426"/>
      <c r="R4" s="426"/>
      <c r="S4" s="426"/>
      <c r="T4" s="426"/>
    </row>
    <row r="5" spans="1:20" ht="15" customHeight="1">
      <c r="A5" s="143"/>
      <c r="B5" s="143"/>
      <c r="C5" s="143"/>
      <c r="D5" s="143"/>
      <c r="E5" s="143"/>
      <c r="F5" s="69"/>
      <c r="G5" s="53"/>
      <c r="H5" s="55"/>
      <c r="I5" s="53"/>
      <c r="J5" s="53"/>
      <c r="K5" s="56"/>
      <c r="L5" s="56"/>
      <c r="M5" s="56"/>
      <c r="N5" s="56"/>
      <c r="O5" s="56"/>
      <c r="P5" s="56"/>
      <c r="Q5" s="56"/>
      <c r="R5" s="56"/>
      <c r="S5" s="56"/>
      <c r="T5" s="56"/>
    </row>
    <row r="6" spans="1:20" ht="17.399999999999999" customHeight="1">
      <c r="A6" s="54"/>
      <c r="B6" s="54"/>
      <c r="C6" s="54"/>
      <c r="D6" s="130" t="s">
        <v>114</v>
      </c>
      <c r="E6" s="130"/>
      <c r="F6" s="130"/>
      <c r="G6" s="130"/>
      <c r="H6" s="130"/>
      <c r="I6" s="130"/>
      <c r="J6" s="130"/>
      <c r="K6" s="509" t="s">
        <v>7</v>
      </c>
      <c r="L6" s="509"/>
      <c r="M6" s="509"/>
      <c r="N6" s="509"/>
      <c r="O6" s="509"/>
      <c r="P6" s="131" t="s">
        <v>8</v>
      </c>
      <c r="Q6" s="131"/>
      <c r="R6" s="57"/>
      <c r="S6" s="170"/>
      <c r="T6" s="170"/>
    </row>
    <row r="7" spans="1:20" ht="21">
      <c r="A7" s="54"/>
      <c r="B7" s="54"/>
      <c r="C7" s="54"/>
      <c r="D7" s="122" t="s">
        <v>9</v>
      </c>
      <c r="E7" s="122"/>
      <c r="F7" s="58"/>
      <c r="G7" s="59"/>
      <c r="H7" s="58"/>
      <c r="I7" s="58"/>
      <c r="J7" s="60"/>
      <c r="K7" s="60"/>
      <c r="L7" s="60"/>
      <c r="M7" s="60"/>
      <c r="N7" s="60" t="s">
        <v>10</v>
      </c>
      <c r="O7" s="60"/>
      <c r="P7" s="60"/>
      <c r="Q7" s="1"/>
      <c r="R7" s="60"/>
      <c r="S7" s="171"/>
      <c r="T7" s="170"/>
    </row>
    <row r="8" spans="1:20" ht="20.399999999999999" customHeight="1">
      <c r="A8" s="54"/>
      <c r="B8" s="54"/>
      <c r="C8" s="54"/>
      <c r="D8" s="58" t="s">
        <v>11</v>
      </c>
      <c r="E8" s="58"/>
      <c r="F8" s="59"/>
      <c r="G8" s="59"/>
      <c r="H8" s="58"/>
      <c r="I8" s="58"/>
      <c r="J8" s="60"/>
      <c r="K8" s="1"/>
      <c r="L8" s="1"/>
      <c r="M8" s="1"/>
      <c r="N8" s="1"/>
      <c r="O8" s="1"/>
      <c r="P8" s="1"/>
      <c r="Q8" s="1"/>
      <c r="R8" s="60"/>
      <c r="S8" s="171"/>
      <c r="T8" s="170"/>
    </row>
    <row r="9" spans="1:20" ht="16.8" customHeight="1">
      <c r="A9" s="54"/>
      <c r="B9" s="54"/>
      <c r="C9" s="54"/>
      <c r="D9" s="530" t="s">
        <v>12</v>
      </c>
      <c r="E9" s="530"/>
      <c r="F9" s="530"/>
      <c r="G9" s="530"/>
      <c r="H9" s="530"/>
      <c r="I9" s="530"/>
      <c r="J9" s="530"/>
      <c r="K9" s="530"/>
      <c r="L9" s="530"/>
      <c r="M9" s="530"/>
      <c r="N9" s="530"/>
      <c r="O9" s="530"/>
      <c r="P9" s="57" t="s">
        <v>115</v>
      </c>
      <c r="Q9" s="529" t="s">
        <v>13</v>
      </c>
      <c r="R9" s="529"/>
      <c r="S9" s="529"/>
      <c r="T9" s="170"/>
    </row>
    <row r="10" spans="1:20" ht="16.2" customHeight="1">
      <c r="A10" s="53"/>
      <c r="B10" s="61" t="s">
        <v>1</v>
      </c>
      <c r="C10" s="61" t="s">
        <v>1</v>
      </c>
      <c r="D10" s="57" t="s">
        <v>14</v>
      </c>
      <c r="E10" s="510"/>
      <c r="F10" s="510"/>
      <c r="G10" s="510"/>
      <c r="H10" s="510"/>
      <c r="I10" s="510"/>
      <c r="J10" s="510"/>
      <c r="K10" s="510"/>
      <c r="L10" s="57"/>
      <c r="M10" s="511" t="s">
        <v>15</v>
      </c>
      <c r="N10" s="511"/>
      <c r="O10" s="511"/>
      <c r="P10" s="1"/>
      <c r="Q10" s="57"/>
      <c r="R10" s="62"/>
      <c r="S10" s="62"/>
      <c r="T10" s="168"/>
    </row>
    <row r="11" spans="1:20" ht="20.399999999999999">
      <c r="A11" s="69"/>
      <c r="B11" s="159"/>
      <c r="C11" s="159"/>
      <c r="D11" s="159"/>
      <c r="E11" s="159"/>
      <c r="F11" s="167"/>
      <c r="G11" s="168"/>
      <c r="H11" s="168"/>
      <c r="I11" s="168"/>
      <c r="J11" s="168"/>
      <c r="K11" s="168"/>
      <c r="L11" s="62"/>
      <c r="M11" s="63"/>
      <c r="N11" s="63"/>
      <c r="O11" s="62"/>
      <c r="P11" s="62"/>
      <c r="Q11" s="62"/>
      <c r="R11" s="62"/>
      <c r="S11" s="62"/>
      <c r="T11" s="168"/>
    </row>
    <row r="12" spans="1:20" ht="21.6" thickBot="1">
      <c r="A12" s="70"/>
      <c r="B12" s="169" t="s">
        <v>1</v>
      </c>
      <c r="C12" s="169"/>
      <c r="D12" s="169"/>
      <c r="E12" s="169"/>
      <c r="F12" s="169"/>
      <c r="G12" s="70"/>
      <c r="H12" s="70"/>
      <c r="I12" s="70"/>
      <c r="J12" s="70"/>
      <c r="K12" s="70"/>
      <c r="L12" s="2"/>
      <c r="M12" s="428" t="s">
        <v>16</v>
      </c>
      <c r="N12" s="428"/>
      <c r="O12" s="428"/>
      <c r="P12" s="428"/>
      <c r="Q12" s="428"/>
      <c r="R12" s="428"/>
      <c r="S12" s="428"/>
      <c r="T12" s="428"/>
    </row>
    <row r="13" spans="1:20" ht="20.399999999999999">
      <c r="A13" s="457" t="s">
        <v>17</v>
      </c>
      <c r="B13" s="458"/>
      <c r="C13" s="458"/>
      <c r="D13" s="458"/>
      <c r="E13" s="458"/>
      <c r="F13" s="458"/>
      <c r="G13" s="458"/>
      <c r="H13" s="458"/>
      <c r="I13" s="458"/>
      <c r="J13" s="458"/>
      <c r="K13" s="459"/>
      <c r="L13" s="2"/>
      <c r="M13" s="429" t="s">
        <v>18</v>
      </c>
      <c r="N13" s="430"/>
      <c r="O13" s="431"/>
      <c r="P13" s="4"/>
      <c r="Q13" s="5"/>
      <c r="R13" s="5"/>
      <c r="S13" s="440" t="s">
        <v>19</v>
      </c>
      <c r="T13" s="441"/>
    </row>
    <row r="14" spans="1:20" ht="21" thickBot="1">
      <c r="A14" s="64" t="s">
        <v>1</v>
      </c>
      <c r="B14" s="64"/>
      <c r="C14" s="64"/>
      <c r="D14" s="133"/>
      <c r="E14" s="498"/>
      <c r="F14" s="498"/>
      <c r="G14" s="498"/>
      <c r="H14" s="498"/>
      <c r="I14" s="498"/>
      <c r="J14" s="498"/>
      <c r="K14" s="499"/>
      <c r="L14" s="2"/>
      <c r="M14" s="432" t="s">
        <v>1</v>
      </c>
      <c r="N14" s="433"/>
      <c r="O14" s="434"/>
      <c r="P14" s="435" t="s">
        <v>20</v>
      </c>
      <c r="Q14" s="381"/>
      <c r="R14" s="381"/>
      <c r="S14" s="442"/>
      <c r="T14" s="443"/>
    </row>
    <row r="15" spans="1:20" ht="21" thickBot="1">
      <c r="A15" s="460" t="s">
        <v>21</v>
      </c>
      <c r="B15" s="461"/>
      <c r="C15" s="462"/>
      <c r="D15" s="454" t="s">
        <v>22</v>
      </c>
      <c r="E15" s="455"/>
      <c r="F15" s="455"/>
      <c r="G15" s="455"/>
      <c r="H15" s="455"/>
      <c r="I15" s="455"/>
      <c r="J15" s="455"/>
      <c r="K15" s="456"/>
      <c r="L15" s="2"/>
      <c r="M15" s="40" t="s">
        <v>23</v>
      </c>
      <c r="N15" s="39"/>
      <c r="O15" s="41" t="s">
        <v>24</v>
      </c>
      <c r="P15" s="6"/>
      <c r="Q15" s="7"/>
      <c r="R15" s="7"/>
      <c r="S15" s="444"/>
      <c r="T15" s="445"/>
    </row>
    <row r="16" spans="1:20" ht="13.2" customHeight="1" thickBot="1">
      <c r="A16" s="64" t="s">
        <v>1</v>
      </c>
      <c r="B16" s="438"/>
      <c r="C16" s="438"/>
      <c r="D16" s="438"/>
      <c r="E16" s="438"/>
      <c r="F16" s="438"/>
      <c r="G16" s="438"/>
      <c r="H16" s="438"/>
      <c r="I16" s="438"/>
      <c r="J16" s="438"/>
      <c r="K16" s="438"/>
      <c r="L16" s="2"/>
      <c r="M16" s="8"/>
      <c r="N16" s="43"/>
      <c r="O16" s="42"/>
      <c r="P16" s="439"/>
      <c r="Q16" s="439"/>
      <c r="R16" s="439"/>
      <c r="S16" s="132"/>
      <c r="T16" s="51"/>
    </row>
    <row r="17" spans="1:20" ht="20.399999999999999">
      <c r="A17" s="162"/>
      <c r="B17" s="161" t="s">
        <v>25</v>
      </c>
      <c r="C17" s="161"/>
      <c r="D17" s="161"/>
      <c r="E17" s="161"/>
      <c r="F17" s="161"/>
      <c r="G17" s="161"/>
      <c r="H17" s="161"/>
      <c r="I17" s="161"/>
      <c r="J17" s="161"/>
      <c r="K17" s="161"/>
      <c r="L17" s="2"/>
      <c r="M17" s="137"/>
      <c r="N17" s="138"/>
      <c r="O17" s="197" t="s">
        <v>26</v>
      </c>
      <c r="P17" s="436" t="s">
        <v>27</v>
      </c>
      <c r="Q17" s="437"/>
      <c r="R17" s="437"/>
      <c r="S17" s="446">
        <v>200</v>
      </c>
      <c r="T17" s="447"/>
    </row>
    <row r="18" spans="1:20" ht="20.399999999999999">
      <c r="A18" s="161" t="s">
        <v>1</v>
      </c>
      <c r="B18" s="196"/>
      <c r="C18" s="196"/>
      <c r="D18" s="141" t="s">
        <v>117</v>
      </c>
      <c r="E18" s="196"/>
      <c r="F18" s="196"/>
      <c r="G18" s="196"/>
      <c r="H18" s="196"/>
      <c r="I18" s="196"/>
      <c r="J18" s="196"/>
      <c r="K18" s="196"/>
      <c r="L18" s="2"/>
      <c r="M18" s="149"/>
      <c r="N18" s="150"/>
      <c r="O18" s="198"/>
      <c r="P18" s="450"/>
      <c r="Q18" s="451"/>
      <c r="R18" s="151"/>
      <c r="S18" s="448"/>
      <c r="T18" s="449"/>
    </row>
    <row r="19" spans="1:20" ht="20.399999999999999">
      <c r="A19" s="166"/>
      <c r="B19" s="427" t="s">
        <v>28</v>
      </c>
      <c r="C19" s="427"/>
      <c r="D19" s="427"/>
      <c r="E19" s="427"/>
      <c r="F19" s="427"/>
      <c r="G19" s="427"/>
      <c r="H19" s="427"/>
      <c r="I19" s="427"/>
      <c r="J19" s="427"/>
      <c r="K19" s="427"/>
      <c r="L19" s="2"/>
      <c r="M19" s="149"/>
      <c r="N19" s="150"/>
      <c r="O19" s="198"/>
      <c r="P19" s="452"/>
      <c r="Q19" s="453"/>
      <c r="R19" s="151"/>
      <c r="S19" s="448"/>
      <c r="T19" s="449"/>
    </row>
    <row r="20" spans="1:20" ht="20.399999999999999">
      <c r="A20" s="506" t="s">
        <v>29</v>
      </c>
      <c r="B20" s="438" t="s">
        <v>30</v>
      </c>
      <c r="C20" s="438"/>
      <c r="D20" s="140" t="s">
        <v>116</v>
      </c>
      <c r="E20" s="129"/>
      <c r="F20" s="194"/>
      <c r="G20" s="194"/>
      <c r="H20" s="194"/>
      <c r="I20" s="194"/>
      <c r="J20" s="194"/>
      <c r="K20" s="194"/>
      <c r="L20" s="2"/>
      <c r="M20" s="199"/>
      <c r="N20" s="150"/>
      <c r="O20" s="198"/>
      <c r="P20" s="452"/>
      <c r="Q20" s="453"/>
      <c r="R20" s="151"/>
      <c r="S20" s="448"/>
      <c r="T20" s="449"/>
    </row>
    <row r="21" spans="1:20" ht="21" thickBot="1">
      <c r="A21" s="506"/>
      <c r="B21" s="1"/>
      <c r="C21" s="1"/>
      <c r="D21" s="1"/>
      <c r="E21" s="66"/>
      <c r="F21" s="369"/>
      <c r="G21" s="369"/>
      <c r="H21" s="369"/>
      <c r="I21" s="369"/>
      <c r="J21" s="369"/>
      <c r="K21" s="369"/>
      <c r="L21" s="2"/>
      <c r="M21" s="200"/>
      <c r="N21" s="201"/>
      <c r="O21" s="202"/>
      <c r="P21" s="502"/>
      <c r="Q21" s="503"/>
      <c r="R21" s="190"/>
      <c r="S21" s="533"/>
      <c r="T21" s="534"/>
    </row>
    <row r="22" spans="1:20" ht="21" thickBot="1">
      <c r="A22" s="506"/>
      <c r="B22" s="438" t="s">
        <v>31</v>
      </c>
      <c r="C22" s="438"/>
      <c r="D22" s="140" t="s">
        <v>32</v>
      </c>
      <c r="E22" s="67"/>
      <c r="F22" s="195"/>
      <c r="G22" s="195"/>
      <c r="H22" s="195"/>
      <c r="I22" s="195"/>
      <c r="J22" s="195"/>
      <c r="K22" s="195"/>
      <c r="L22" s="2"/>
      <c r="M22" s="191"/>
      <c r="N22" s="192"/>
      <c r="O22" s="193"/>
      <c r="P22" s="504" t="s">
        <v>33</v>
      </c>
      <c r="Q22" s="505"/>
      <c r="R22" s="505"/>
      <c r="S22" s="533">
        <f>S17</f>
        <v>200</v>
      </c>
      <c r="T22" s="534"/>
    </row>
    <row r="23" spans="1:20" ht="13.2" customHeight="1" thickBot="1">
      <c r="A23" s="506"/>
      <c r="B23" s="1"/>
      <c r="C23" s="1"/>
      <c r="D23" s="1"/>
      <c r="E23" s="66"/>
      <c r="F23" s="163"/>
      <c r="G23" s="163"/>
      <c r="H23" s="163"/>
      <c r="I23" s="163"/>
      <c r="J23" s="166"/>
      <c r="K23" s="166"/>
      <c r="L23" s="2"/>
      <c r="M23" s="10" t="s">
        <v>1</v>
      </c>
      <c r="N23" s="10"/>
      <c r="O23" s="10" t="s">
        <v>1</v>
      </c>
      <c r="P23" s="10" t="s">
        <v>1</v>
      </c>
      <c r="Q23" s="10"/>
      <c r="R23" s="10"/>
      <c r="S23" s="136" t="s">
        <v>1</v>
      </c>
      <c r="T23" s="136"/>
    </row>
    <row r="24" spans="1:20" ht="18" customHeight="1">
      <c r="A24" s="161" t="s">
        <v>1</v>
      </c>
      <c r="B24" s="161"/>
      <c r="C24" s="161"/>
      <c r="D24" s="161"/>
      <c r="E24" s="161"/>
      <c r="F24" s="161"/>
      <c r="G24" s="162"/>
      <c r="H24" s="162"/>
      <c r="I24" s="162"/>
      <c r="J24" s="162"/>
      <c r="K24" s="162"/>
      <c r="L24" s="2"/>
      <c r="M24" s="178" t="s">
        <v>34</v>
      </c>
      <c r="N24" s="507" t="s">
        <v>35</v>
      </c>
      <c r="O24" s="508"/>
      <c r="P24" s="508"/>
      <c r="Q24" s="508"/>
      <c r="R24" s="20"/>
      <c r="S24" s="535"/>
      <c r="T24" s="536"/>
    </row>
    <row r="25" spans="1:20" ht="16.2" customHeight="1">
      <c r="A25" s="369" t="s">
        <v>36</v>
      </c>
      <c r="B25" s="369"/>
      <c r="C25" s="369"/>
      <c r="D25" s="369"/>
      <c r="E25" s="369"/>
      <c r="F25" s="163"/>
      <c r="G25" s="162"/>
      <c r="H25" s="162"/>
      <c r="I25" s="162"/>
      <c r="J25" s="162"/>
      <c r="K25" s="162"/>
      <c r="L25" s="2"/>
      <c r="M25" s="179" t="s">
        <v>37</v>
      </c>
      <c r="N25" s="383" t="s">
        <v>38</v>
      </c>
      <c r="O25" s="384"/>
      <c r="P25" s="384"/>
      <c r="Q25" s="384"/>
      <c r="R25" s="11"/>
      <c r="S25" s="448"/>
      <c r="T25" s="449"/>
    </row>
    <row r="26" spans="1:20" ht="20.399999999999999">
      <c r="A26" s="370"/>
      <c r="B26" s="371"/>
      <c r="C26" s="371"/>
      <c r="D26" s="371"/>
      <c r="E26" s="371"/>
      <c r="F26" s="371"/>
      <c r="G26" s="371"/>
      <c r="H26" s="371"/>
      <c r="I26" s="371"/>
      <c r="J26" s="371"/>
      <c r="K26" s="372"/>
      <c r="L26" s="2"/>
      <c r="M26" s="180" t="s">
        <v>39</v>
      </c>
      <c r="N26" s="383" t="s">
        <v>40</v>
      </c>
      <c r="O26" s="384"/>
      <c r="P26" s="384"/>
      <c r="Q26" s="384"/>
      <c r="R26" s="11"/>
      <c r="S26" s="448"/>
      <c r="T26" s="449"/>
    </row>
    <row r="27" spans="1:20" ht="11.4" customHeight="1" thickBot="1">
      <c r="A27" s="438" t="s">
        <v>1</v>
      </c>
      <c r="B27" s="438"/>
      <c r="C27" s="438"/>
      <c r="D27" s="438"/>
      <c r="E27" s="438"/>
      <c r="F27" s="438"/>
      <c r="G27" s="65"/>
      <c r="H27" s="65"/>
      <c r="I27" s="65"/>
      <c r="J27" s="65"/>
      <c r="K27" s="65"/>
      <c r="L27" s="2"/>
      <c r="M27" s="180"/>
      <c r="N27" s="107"/>
      <c r="O27" s="181" t="s">
        <v>1</v>
      </c>
      <c r="P27" s="181" t="s">
        <v>1</v>
      </c>
      <c r="Q27" s="181"/>
      <c r="R27" s="10"/>
      <c r="S27" s="448"/>
      <c r="T27" s="449"/>
    </row>
    <row r="28" spans="1:20" ht="19.2" customHeight="1">
      <c r="A28" s="64" t="s">
        <v>1</v>
      </c>
      <c r="B28" s="1"/>
      <c r="C28" s="1"/>
      <c r="D28" s="1"/>
      <c r="E28" s="1"/>
      <c r="F28" s="1"/>
      <c r="G28" s="64"/>
      <c r="H28" s="65"/>
      <c r="I28" s="65"/>
      <c r="J28" s="65"/>
      <c r="K28" s="65"/>
      <c r="L28" s="2"/>
      <c r="M28" s="182" t="s">
        <v>41</v>
      </c>
      <c r="N28" s="383" t="s">
        <v>42</v>
      </c>
      <c r="O28" s="384"/>
      <c r="P28" s="384"/>
      <c r="Q28" s="183"/>
      <c r="R28" s="5"/>
      <c r="S28" s="535"/>
      <c r="T28" s="536"/>
    </row>
    <row r="29" spans="1:20" ht="18" customHeight="1">
      <c r="A29" s="161" t="s">
        <v>1</v>
      </c>
      <c r="B29" s="161" t="s">
        <v>43</v>
      </c>
      <c r="C29" s="161"/>
      <c r="D29" s="161"/>
      <c r="E29" s="164"/>
      <c r="F29" s="164"/>
      <c r="G29" s="165"/>
      <c r="H29" s="165"/>
      <c r="I29" s="165"/>
      <c r="J29" s="165"/>
      <c r="K29" s="165"/>
      <c r="L29" s="2"/>
      <c r="M29" s="182" t="s">
        <v>44</v>
      </c>
      <c r="N29" s="383" t="s">
        <v>45</v>
      </c>
      <c r="O29" s="384"/>
      <c r="P29" s="384"/>
      <c r="Q29" s="184"/>
      <c r="R29" s="21"/>
      <c r="S29" s="448"/>
      <c r="T29" s="449"/>
    </row>
    <row r="30" spans="1:20" ht="20.399999999999999">
      <c r="A30" s="387">
        <v>0</v>
      </c>
      <c r="B30" s="388"/>
      <c r="C30" s="388"/>
      <c r="D30" s="388"/>
      <c r="E30" s="388"/>
      <c r="F30" s="388"/>
      <c r="G30" s="388"/>
      <c r="H30" s="388"/>
      <c r="I30" s="388"/>
      <c r="J30" s="388"/>
      <c r="K30" s="389"/>
      <c r="L30" s="2"/>
      <c r="M30" s="185" t="s">
        <v>1</v>
      </c>
      <c r="N30" s="383" t="s">
        <v>46</v>
      </c>
      <c r="O30" s="384"/>
      <c r="P30" s="384"/>
      <c r="Q30" s="184"/>
      <c r="R30" s="12"/>
      <c r="S30" s="448"/>
      <c r="T30" s="449"/>
    </row>
    <row r="31" spans="1:20" ht="15.6" customHeight="1">
      <c r="A31" s="161" t="s">
        <v>1</v>
      </c>
      <c r="B31" s="369"/>
      <c r="C31" s="369"/>
      <c r="D31" s="369"/>
      <c r="E31" s="369"/>
      <c r="F31" s="369"/>
      <c r="G31" s="162"/>
      <c r="H31" s="162"/>
      <c r="I31" s="162"/>
      <c r="J31" s="162"/>
      <c r="K31" s="162"/>
      <c r="L31" s="2"/>
      <c r="M31" s="186" t="s">
        <v>1</v>
      </c>
      <c r="N31" s="385" t="s">
        <v>47</v>
      </c>
      <c r="O31" s="386"/>
      <c r="P31" s="386"/>
      <c r="Q31" s="184"/>
      <c r="R31" s="13"/>
      <c r="S31" s="448"/>
      <c r="T31" s="449"/>
    </row>
    <row r="32" spans="1:20" ht="14.4" customHeight="1" thickBot="1">
      <c r="A32" s="369"/>
      <c r="B32" s="369"/>
      <c r="C32" s="369"/>
      <c r="D32" s="369"/>
      <c r="E32" s="369"/>
      <c r="F32" s="369"/>
      <c r="G32" s="162"/>
      <c r="H32" s="162"/>
      <c r="I32" s="162"/>
      <c r="J32" s="162"/>
      <c r="K32" s="162"/>
      <c r="L32" s="2"/>
      <c r="M32" s="187" t="s">
        <v>1</v>
      </c>
      <c r="N32" s="188"/>
      <c r="O32" s="376"/>
      <c r="P32" s="376"/>
      <c r="Q32" s="189"/>
      <c r="R32" s="22" t="s">
        <v>1</v>
      </c>
      <c r="S32" s="512"/>
      <c r="T32" s="513"/>
    </row>
    <row r="33" spans="1:20" ht="21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33" t="s">
        <v>1</v>
      </c>
      <c r="N33" s="38"/>
      <c r="O33" s="377" t="s">
        <v>48</v>
      </c>
      <c r="P33" s="377"/>
      <c r="Q33" s="10" t="s">
        <v>49</v>
      </c>
      <c r="R33" s="10"/>
      <c r="S33" s="514">
        <v>0</v>
      </c>
      <c r="T33" s="515"/>
    </row>
    <row r="34" spans="1:20" ht="20.3999999999999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4" t="s">
        <v>1</v>
      </c>
      <c r="N34" s="5"/>
      <c r="O34" s="378" t="s">
        <v>50</v>
      </c>
      <c r="P34" s="378"/>
      <c r="Q34" s="378"/>
      <c r="R34" s="5"/>
      <c r="S34" s="538">
        <f>S22</f>
        <v>200</v>
      </c>
      <c r="T34" s="539"/>
    </row>
    <row r="35" spans="1:20" ht="9.6" customHeight="1">
      <c r="A35" s="64" t="s">
        <v>1</v>
      </c>
      <c r="B35" s="379"/>
      <c r="C35" s="379"/>
      <c r="D35" s="379"/>
      <c r="E35" s="379"/>
      <c r="F35" s="379"/>
      <c r="G35" s="379"/>
      <c r="H35" s="379"/>
      <c r="I35" s="379"/>
      <c r="J35" s="379"/>
      <c r="K35" s="379"/>
      <c r="L35" s="2"/>
      <c r="M35" s="9"/>
      <c r="N35" s="10"/>
      <c r="O35" s="10" t="s">
        <v>1</v>
      </c>
      <c r="P35" s="10" t="s">
        <v>1</v>
      </c>
      <c r="Q35" s="10"/>
      <c r="R35" s="10"/>
      <c r="S35" s="514"/>
      <c r="T35" s="515"/>
    </row>
    <row r="36" spans="1:20" ht="17.399999999999999" customHeight="1" thickBot="1">
      <c r="A36" s="158" t="s">
        <v>1</v>
      </c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2"/>
      <c r="M36" s="9" t="s">
        <v>1</v>
      </c>
      <c r="N36" s="10"/>
      <c r="O36" s="381" t="s">
        <v>51</v>
      </c>
      <c r="P36" s="381"/>
      <c r="Q36" s="381"/>
      <c r="R36" s="10"/>
      <c r="S36" s="514"/>
      <c r="T36" s="515"/>
    </row>
    <row r="37" spans="1:20" ht="21" thickBot="1">
      <c r="A37" s="159" t="s">
        <v>1</v>
      </c>
      <c r="B37" s="159"/>
      <c r="C37" s="159"/>
      <c r="D37" s="159"/>
      <c r="E37" s="159"/>
      <c r="F37" s="159"/>
      <c r="G37" s="69"/>
      <c r="H37" s="69"/>
      <c r="I37" s="69"/>
      <c r="J37" s="69"/>
      <c r="K37" s="69"/>
      <c r="L37" s="2"/>
      <c r="M37" s="4" t="s">
        <v>1</v>
      </c>
      <c r="N37" s="44"/>
      <c r="O37" s="382" t="s">
        <v>52</v>
      </c>
      <c r="P37" s="382"/>
      <c r="Q37" s="382"/>
      <c r="R37" s="5"/>
      <c r="S37" s="516">
        <f>S34*60%</f>
        <v>120</v>
      </c>
      <c r="T37" s="517"/>
    </row>
    <row r="38" spans="1:20" ht="21" thickBot="1">
      <c r="A38" s="159" t="s">
        <v>1</v>
      </c>
      <c r="B38" s="159"/>
      <c r="C38" s="159"/>
      <c r="D38" s="159"/>
      <c r="E38" s="159"/>
      <c r="F38" s="159"/>
      <c r="G38" s="69"/>
      <c r="H38" s="69"/>
      <c r="I38" s="69"/>
      <c r="J38" s="69"/>
      <c r="K38" s="69"/>
      <c r="L38" s="2"/>
      <c r="M38" s="48" t="s">
        <v>53</v>
      </c>
      <c r="N38" s="45"/>
      <c r="O38" s="500" t="s">
        <v>54</v>
      </c>
      <c r="P38" s="501"/>
      <c r="Q38" s="501"/>
      <c r="R38" s="10"/>
      <c r="S38" s="516">
        <f>+S34*1%</f>
        <v>2</v>
      </c>
      <c r="T38" s="517"/>
    </row>
    <row r="39" spans="1:20" ht="21" thickBot="1">
      <c r="A39" s="159" t="s">
        <v>1</v>
      </c>
      <c r="B39" s="159"/>
      <c r="C39" s="159"/>
      <c r="D39" s="159"/>
      <c r="E39" s="159"/>
      <c r="F39" s="159"/>
      <c r="G39" s="69"/>
      <c r="H39" s="69"/>
      <c r="I39" s="69"/>
      <c r="J39" s="69"/>
      <c r="K39" s="69"/>
      <c r="L39" s="2"/>
      <c r="M39" s="48" t="s">
        <v>55</v>
      </c>
      <c r="N39" s="45"/>
      <c r="O39" s="373" t="s">
        <v>56</v>
      </c>
      <c r="P39" s="374"/>
      <c r="Q39" s="375"/>
      <c r="R39" s="10"/>
      <c r="S39" s="406">
        <f>+S34*5%</f>
        <v>10</v>
      </c>
      <c r="T39" s="407"/>
    </row>
    <row r="40" spans="1:20" ht="21" thickBo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2"/>
      <c r="M40" s="9"/>
      <c r="N40" s="46"/>
      <c r="O40" s="373" t="s">
        <v>57</v>
      </c>
      <c r="P40" s="374"/>
      <c r="Q40" s="375"/>
      <c r="R40" s="10" t="s">
        <v>1</v>
      </c>
      <c r="S40" s="406">
        <f>+S34*20%</f>
        <v>40</v>
      </c>
      <c r="T40" s="407"/>
    </row>
    <row r="41" spans="1:20" ht="21" thickBot="1">
      <c r="A41" s="537" t="s">
        <v>1</v>
      </c>
      <c r="B41" s="537"/>
      <c r="C41" s="537"/>
      <c r="D41" s="160"/>
      <c r="E41" s="160"/>
      <c r="F41" s="69"/>
      <c r="G41" s="69"/>
      <c r="H41" s="69"/>
      <c r="I41" s="69"/>
      <c r="J41" s="69"/>
      <c r="K41" s="69"/>
      <c r="L41" s="2"/>
      <c r="M41" s="6"/>
      <c r="N41" s="47"/>
      <c r="O41" s="527" t="s">
        <v>58</v>
      </c>
      <c r="P41" s="528"/>
      <c r="Q41" s="528"/>
      <c r="R41" s="32"/>
      <c r="S41" s="410">
        <f>+S34*14%</f>
        <v>28.000000000000004</v>
      </c>
      <c r="T41" s="411"/>
    </row>
    <row r="42" spans="1:20" ht="21" thickBot="1">
      <c r="A42" s="14"/>
      <c r="B42" s="14"/>
      <c r="C42" s="14"/>
      <c r="D42" s="14"/>
      <c r="E42" s="14"/>
      <c r="F42" s="2"/>
      <c r="G42" s="2"/>
      <c r="H42" s="2"/>
      <c r="I42" s="2"/>
      <c r="J42" s="2"/>
      <c r="K42" s="2"/>
      <c r="L42" s="2"/>
      <c r="M42" s="10"/>
      <c r="N42" s="10"/>
      <c r="O42" s="2"/>
      <c r="P42" s="522" t="s">
        <v>59</v>
      </c>
      <c r="Q42" s="523"/>
      <c r="R42" s="52"/>
      <c r="S42" s="412">
        <f>SUM(S37:T41)</f>
        <v>200</v>
      </c>
      <c r="T42" s="413"/>
    </row>
    <row r="43" spans="1:20" ht="14.4" customHeight="1">
      <c r="A43" s="17"/>
      <c r="B43" s="520" t="s">
        <v>60</v>
      </c>
      <c r="C43" s="520"/>
      <c r="D43" s="520"/>
      <c r="E43" s="520"/>
      <c r="F43" s="520"/>
      <c r="G43" s="520"/>
      <c r="H43" s="520"/>
      <c r="I43" s="520"/>
      <c r="J43" s="520"/>
      <c r="K43" s="520"/>
      <c r="L43" s="520"/>
      <c r="M43" s="520"/>
      <c r="N43" s="520"/>
      <c r="O43" s="3"/>
      <c r="P43" s="3"/>
      <c r="Q43" s="18"/>
      <c r="R43" s="15"/>
      <c r="S43" s="15"/>
      <c r="T43" s="16"/>
    </row>
    <row r="44" spans="1:20" ht="14.4" customHeight="1">
      <c r="A44" s="17"/>
      <c r="B44" s="521" t="s">
        <v>61</v>
      </c>
      <c r="C44" s="521"/>
      <c r="D44" s="521"/>
      <c r="E44" s="521"/>
      <c r="F44" s="521"/>
      <c r="G44" s="521"/>
      <c r="H44" s="521"/>
      <c r="I44" s="521"/>
      <c r="J44" s="521"/>
      <c r="K44" s="521"/>
      <c r="L44" s="521"/>
      <c r="M44" s="521"/>
      <c r="N44" s="1"/>
      <c r="O44" s="1"/>
      <c r="P44" s="19"/>
      <c r="Q44" s="18"/>
      <c r="R44" s="15"/>
      <c r="S44" s="15"/>
      <c r="T44" s="16"/>
    </row>
    <row r="45" spans="1:20" ht="21.6" thickBot="1">
      <c r="A45" s="17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6"/>
      <c r="O45" s="37"/>
      <c r="P45" s="1"/>
      <c r="Q45" s="18"/>
      <c r="R45" s="15"/>
      <c r="S45" s="15"/>
      <c r="T45" s="16"/>
    </row>
    <row r="46" spans="1:20" ht="15.6">
      <c r="A46" s="80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81"/>
      <c r="R46" s="81"/>
      <c r="S46" s="81"/>
      <c r="T46" s="82"/>
    </row>
    <row r="47" spans="1:20">
      <c r="A47" s="88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89"/>
    </row>
    <row r="48" spans="1:20" ht="18">
      <c r="A48" s="393" t="s">
        <v>62</v>
      </c>
      <c r="B48" s="394"/>
      <c r="C48" s="394"/>
      <c r="D48" s="394"/>
      <c r="E48" s="394"/>
      <c r="F48" s="524" t="s">
        <v>63</v>
      </c>
      <c r="G48" s="524"/>
      <c r="H48" s="524"/>
      <c r="I48" s="524"/>
      <c r="J48" s="524"/>
      <c r="K48" s="524"/>
      <c r="L48" s="524"/>
      <c r="M48" s="524"/>
      <c r="N48" s="524"/>
      <c r="O48" s="524"/>
      <c r="P48" s="525" t="s">
        <v>64</v>
      </c>
      <c r="Q48" s="525"/>
      <c r="R48" s="525"/>
      <c r="S48" s="525"/>
      <c r="T48" s="526"/>
    </row>
    <row r="49" spans="1:20" ht="21.6" customHeight="1">
      <c r="A49" s="395" t="s">
        <v>65</v>
      </c>
      <c r="B49" s="396"/>
      <c r="C49" s="396"/>
      <c r="D49" s="402" t="s">
        <v>66</v>
      </c>
      <c r="E49" s="402"/>
      <c r="F49" s="402"/>
      <c r="G49" s="402"/>
      <c r="H49" s="402"/>
      <c r="I49" s="402"/>
      <c r="J49" s="402"/>
      <c r="K49" s="402"/>
      <c r="L49" s="402"/>
      <c r="M49" s="402"/>
      <c r="N49" s="402"/>
      <c r="O49" s="402"/>
      <c r="P49" s="402"/>
      <c r="Q49" s="402"/>
      <c r="R49" s="402"/>
      <c r="S49" s="402"/>
      <c r="T49" s="403"/>
    </row>
    <row r="50" spans="1:20" ht="21" customHeight="1">
      <c r="A50" s="531" t="s">
        <v>67</v>
      </c>
      <c r="B50" s="532"/>
      <c r="C50" s="532"/>
      <c r="D50" s="532"/>
      <c r="E50" s="532"/>
      <c r="F50" s="532"/>
      <c r="G50" s="532"/>
      <c r="H50" s="532"/>
      <c r="I50" s="532"/>
      <c r="J50" s="532"/>
      <c r="K50" s="532"/>
      <c r="L50" s="83"/>
      <c r="M50" s="397" t="s">
        <v>68</v>
      </c>
      <c r="N50" s="397"/>
      <c r="O50" s="397"/>
      <c r="P50" s="397"/>
      <c r="Q50" s="397"/>
      <c r="R50" s="397"/>
      <c r="S50" s="397"/>
      <c r="T50" s="398"/>
    </row>
    <row r="51" spans="1:20" ht="22.2" customHeight="1">
      <c r="A51" s="78" t="s">
        <v>69</v>
      </c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85"/>
    </row>
    <row r="52" spans="1:20" ht="23.4" customHeight="1">
      <c r="A52" s="78" t="s">
        <v>70</v>
      </c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85"/>
    </row>
    <row r="53" spans="1:20" ht="18">
      <c r="A53" s="78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85"/>
    </row>
    <row r="54" spans="1:20" ht="18">
      <c r="A54" s="78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85"/>
    </row>
    <row r="55" spans="1:20" ht="18">
      <c r="A55" s="152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83"/>
      <c r="O55" s="83" t="s">
        <v>71</v>
      </c>
      <c r="P55" s="139" t="s">
        <v>72</v>
      </c>
      <c r="Q55" s="135" t="s">
        <v>73</v>
      </c>
      <c r="R55" s="134"/>
      <c r="S55" s="408"/>
      <c r="T55" s="409"/>
    </row>
    <row r="56" spans="1:20" ht="18">
      <c r="A56" s="152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83"/>
      <c r="O56" s="420" t="s">
        <v>63</v>
      </c>
      <c r="P56" s="420"/>
      <c r="Q56" s="420"/>
      <c r="R56" s="420"/>
      <c r="S56" s="420"/>
      <c r="T56" s="84"/>
    </row>
    <row r="57" spans="1:20" ht="18">
      <c r="A57" s="152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83"/>
      <c r="O57" s="420" t="s">
        <v>74</v>
      </c>
      <c r="P57" s="420"/>
      <c r="Q57" s="420"/>
      <c r="R57" s="83"/>
      <c r="S57" s="153"/>
      <c r="T57" s="157"/>
    </row>
    <row r="58" spans="1:20" ht="18">
      <c r="A58" s="152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83"/>
      <c r="O58" s="420" t="s">
        <v>75</v>
      </c>
      <c r="P58" s="420"/>
      <c r="Q58" s="420"/>
      <c r="R58" s="83"/>
      <c r="S58" s="153"/>
      <c r="T58" s="157"/>
    </row>
    <row r="59" spans="1:20" ht="18">
      <c r="A59" s="78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85"/>
    </row>
    <row r="60" spans="1:20" ht="18">
      <c r="A60" s="86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26"/>
      <c r="N60" s="26"/>
      <c r="O60" s="26"/>
      <c r="P60" s="26"/>
      <c r="Q60" s="26"/>
      <c r="R60" s="79"/>
      <c r="S60" s="79"/>
      <c r="T60" s="85"/>
    </row>
    <row r="61" spans="1:20" ht="18">
      <c r="A61" s="86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26"/>
      <c r="N61" s="26"/>
      <c r="O61" s="26"/>
      <c r="P61" s="26"/>
      <c r="Q61" s="26"/>
      <c r="R61" s="79"/>
      <c r="S61" s="79"/>
      <c r="T61" s="85"/>
    </row>
    <row r="62" spans="1:20" ht="18">
      <c r="A62" s="86" t="s">
        <v>76</v>
      </c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85"/>
    </row>
    <row r="63" spans="1:20" ht="18">
      <c r="A63" s="393" t="s">
        <v>77</v>
      </c>
      <c r="B63" s="394"/>
      <c r="C63" s="394"/>
      <c r="D63" s="394"/>
      <c r="E63" s="394"/>
      <c r="F63" s="394"/>
      <c r="G63" s="83"/>
      <c r="H63" s="83"/>
      <c r="I63" s="83"/>
      <c r="J63" s="83"/>
      <c r="K63" s="524" t="s">
        <v>78</v>
      </c>
      <c r="L63" s="524"/>
      <c r="M63" s="524"/>
      <c r="N63" s="524"/>
      <c r="O63" s="524"/>
      <c r="P63" s="480" t="s">
        <v>79</v>
      </c>
      <c r="Q63" s="480"/>
      <c r="R63" s="480"/>
      <c r="S63" s="480"/>
      <c r="T63" s="481"/>
    </row>
    <row r="64" spans="1:20" ht="18">
      <c r="A64" s="152" t="s">
        <v>80</v>
      </c>
      <c r="B64" s="153"/>
      <c r="C64" s="153"/>
      <c r="D64" s="153" t="s">
        <v>81</v>
      </c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7"/>
    </row>
    <row r="65" spans="1:20" ht="18">
      <c r="A65" s="152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7"/>
    </row>
    <row r="66" spans="1:20" ht="18">
      <c r="A66" s="152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83" t="s">
        <v>71</v>
      </c>
      <c r="P66" s="139" t="s">
        <v>78</v>
      </c>
      <c r="Q66" s="135" t="s">
        <v>82</v>
      </c>
      <c r="R66" s="134"/>
      <c r="S66" s="408"/>
      <c r="T66" s="409"/>
    </row>
    <row r="67" spans="1:20" ht="18">
      <c r="A67" s="152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420" t="s">
        <v>83</v>
      </c>
      <c r="P67" s="420"/>
      <c r="Q67" s="420"/>
      <c r="R67" s="83"/>
      <c r="S67" s="153"/>
      <c r="T67" s="157"/>
    </row>
    <row r="68" spans="1:20" ht="18">
      <c r="A68" s="152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420" t="s">
        <v>84</v>
      </c>
      <c r="P68" s="420"/>
      <c r="Q68" s="420"/>
      <c r="R68" s="83"/>
      <c r="S68" s="153"/>
      <c r="T68" s="157"/>
    </row>
    <row r="69" spans="1:20" ht="18">
      <c r="A69" s="154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420" t="s">
        <v>75</v>
      </c>
      <c r="P69" s="420"/>
      <c r="Q69" s="420"/>
      <c r="R69" s="83"/>
      <c r="S69" s="153"/>
      <c r="T69" s="157"/>
    </row>
    <row r="70" spans="1:20" ht="18">
      <c r="A70" s="154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83"/>
      <c r="S70" s="153"/>
      <c r="T70" s="157"/>
    </row>
    <row r="71" spans="1:20" ht="18">
      <c r="A71" s="154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83"/>
      <c r="S71" s="153"/>
      <c r="T71" s="157"/>
    </row>
    <row r="72" spans="1:20" ht="18">
      <c r="A72" s="87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153"/>
      <c r="P72" s="153"/>
      <c r="Q72" s="153"/>
      <c r="R72" s="83"/>
      <c r="S72" s="153"/>
      <c r="T72" s="157"/>
    </row>
    <row r="73" spans="1:20" ht="18">
      <c r="A73" s="86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153"/>
      <c r="T73" s="157"/>
    </row>
    <row r="74" spans="1:20" ht="20.399999999999999" customHeight="1">
      <c r="A74" s="395" t="s">
        <v>85</v>
      </c>
      <c r="B74" s="396"/>
      <c r="C74" s="396"/>
      <c r="D74" s="396"/>
      <c r="E74" s="79"/>
      <c r="F74" s="404" t="s">
        <v>66</v>
      </c>
      <c r="G74" s="404"/>
      <c r="H74" s="404"/>
      <c r="I74" s="404"/>
      <c r="J74" s="404"/>
      <c r="K74" s="404"/>
      <c r="L74" s="404"/>
      <c r="M74" s="404"/>
      <c r="N74" s="404"/>
      <c r="O74" s="404"/>
      <c r="P74" s="404"/>
      <c r="Q74" s="404"/>
      <c r="R74" s="404"/>
      <c r="S74" s="404"/>
      <c r="T74" s="405"/>
    </row>
    <row r="75" spans="1:20" ht="21.6" customHeight="1">
      <c r="A75" s="393" t="s">
        <v>86</v>
      </c>
      <c r="B75" s="394"/>
      <c r="C75" s="394"/>
      <c r="D75" s="394"/>
      <c r="E75" s="394"/>
      <c r="F75" s="394"/>
      <c r="G75" s="83"/>
      <c r="H75" s="83"/>
      <c r="I75" s="83"/>
      <c r="J75" s="83"/>
      <c r="K75" s="153"/>
      <c r="L75" s="153"/>
      <c r="M75" s="153"/>
      <c r="N75" s="153"/>
      <c r="O75" s="153"/>
      <c r="P75" s="153"/>
      <c r="Q75" s="153"/>
      <c r="R75" s="153"/>
      <c r="S75" s="153"/>
      <c r="T75" s="157"/>
    </row>
    <row r="76" spans="1:20" ht="18">
      <c r="A76" s="152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7"/>
    </row>
    <row r="77" spans="1:20" ht="18">
      <c r="A77" s="152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83"/>
      <c r="O77" s="153"/>
      <c r="P77" s="153"/>
      <c r="Q77" s="153"/>
      <c r="R77" s="83"/>
      <c r="S77" s="153"/>
      <c r="T77" s="157"/>
    </row>
    <row r="78" spans="1:20" ht="18">
      <c r="A78" s="152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83"/>
      <c r="O78" s="83" t="s">
        <v>71</v>
      </c>
      <c r="P78" s="139" t="s">
        <v>78</v>
      </c>
      <c r="Q78" s="135" t="s">
        <v>73</v>
      </c>
      <c r="R78" s="134"/>
      <c r="S78" s="408"/>
      <c r="T78" s="409"/>
    </row>
    <row r="79" spans="1:20" ht="18">
      <c r="A79" s="155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83"/>
      <c r="O79" s="420" t="s">
        <v>83</v>
      </c>
      <c r="P79" s="420"/>
      <c r="Q79" s="420"/>
      <c r="R79" s="420"/>
      <c r="S79" s="420"/>
      <c r="T79" s="157"/>
    </row>
    <row r="80" spans="1:20" ht="18">
      <c r="A80" s="155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83"/>
      <c r="O80" s="420" t="s">
        <v>84</v>
      </c>
      <c r="P80" s="420"/>
      <c r="Q80" s="420"/>
      <c r="R80" s="420"/>
      <c r="S80" s="420"/>
      <c r="T80" s="157"/>
    </row>
    <row r="81" spans="1:20" ht="18">
      <c r="A81" s="155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83"/>
      <c r="O81" s="420" t="s">
        <v>75</v>
      </c>
      <c r="P81" s="420"/>
      <c r="Q81" s="420"/>
      <c r="R81" s="83"/>
      <c r="S81" s="83"/>
      <c r="T81" s="157"/>
    </row>
    <row r="82" spans="1:20" ht="18">
      <c r="A82" s="155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79"/>
      <c r="O82" s="79"/>
      <c r="P82" s="79"/>
      <c r="Q82" s="79"/>
      <c r="R82" s="79"/>
      <c r="S82" s="79"/>
      <c r="T82" s="157"/>
    </row>
    <row r="83" spans="1:20">
      <c r="A83" s="156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26"/>
      <c r="O83" s="26"/>
      <c r="P83" s="26"/>
      <c r="Q83" s="26"/>
      <c r="R83" s="26"/>
      <c r="S83" s="26"/>
      <c r="T83" s="127"/>
    </row>
    <row r="84" spans="1:20">
      <c r="A84" s="156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26"/>
      <c r="O84" s="26"/>
      <c r="P84" s="26"/>
      <c r="Q84" s="26"/>
      <c r="R84" s="26"/>
      <c r="S84" s="26"/>
      <c r="T84" s="127"/>
    </row>
    <row r="85" spans="1:20">
      <c r="A85" s="90" t="s">
        <v>87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127"/>
    </row>
    <row r="86" spans="1:20">
      <c r="A86" s="90" t="s">
        <v>88</v>
      </c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127"/>
    </row>
    <row r="87" spans="1:20">
      <c r="A87" s="90" t="s">
        <v>89</v>
      </c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127"/>
    </row>
    <row r="88" spans="1:20" ht="15" thickBot="1">
      <c r="A88" s="94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128"/>
    </row>
    <row r="89" spans="1:20" ht="15" thickBo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</row>
    <row r="90" spans="1:20" ht="15.6">
      <c r="A90" s="400" t="s">
        <v>90</v>
      </c>
      <c r="B90" s="401"/>
      <c r="C90" s="401"/>
      <c r="D90" s="401"/>
      <c r="E90" s="478" t="s">
        <v>91</v>
      </c>
      <c r="F90" s="478"/>
      <c r="G90" s="478"/>
      <c r="H90" s="478"/>
      <c r="I90" s="478"/>
      <c r="J90" s="478"/>
      <c r="K90" s="478"/>
      <c r="L90" s="478"/>
      <c r="M90" s="479"/>
      <c r="N90" s="92"/>
      <c r="O90" s="489" t="s">
        <v>92</v>
      </c>
      <c r="P90" s="490"/>
      <c r="Q90" s="490"/>
      <c r="R90" s="145"/>
      <c r="S90" s="414">
        <f>S38</f>
        <v>2</v>
      </c>
      <c r="T90" s="415"/>
    </row>
    <row r="91" spans="1:20" ht="15.6">
      <c r="A91" s="474" t="s">
        <v>93</v>
      </c>
      <c r="B91" s="475"/>
      <c r="C91" s="475"/>
      <c r="D91" s="475"/>
      <c r="E91" s="475"/>
      <c r="F91" s="475"/>
      <c r="G91" s="475"/>
      <c r="H91" s="475"/>
      <c r="I91" s="475"/>
      <c r="J91" s="475"/>
      <c r="K91" s="475"/>
      <c r="L91" s="475"/>
      <c r="M91" s="476"/>
      <c r="N91" s="49"/>
      <c r="O91" s="421" t="s">
        <v>94</v>
      </c>
      <c r="P91" s="422"/>
      <c r="Q91" s="422"/>
      <c r="R91" s="146"/>
      <c r="S91" s="416">
        <f>S39</f>
        <v>10</v>
      </c>
      <c r="T91" s="417"/>
    </row>
    <row r="92" spans="1:20" ht="15.6">
      <c r="A92" s="172"/>
      <c r="B92" s="173"/>
      <c r="C92" s="173"/>
      <c r="D92" s="173"/>
      <c r="E92" s="173"/>
      <c r="F92" s="107"/>
      <c r="G92" s="107"/>
      <c r="H92" s="107"/>
      <c r="I92" s="107"/>
      <c r="J92" s="107"/>
      <c r="K92" s="107"/>
      <c r="L92" s="107"/>
      <c r="M92" s="174"/>
      <c r="N92" s="50"/>
      <c r="O92" s="421" t="s">
        <v>95</v>
      </c>
      <c r="P92" s="422"/>
      <c r="Q92" s="422"/>
      <c r="R92" s="146"/>
      <c r="S92" s="416">
        <f>S40</f>
        <v>40</v>
      </c>
      <c r="T92" s="417"/>
    </row>
    <row r="93" spans="1:20" ht="16.2" thickBot="1">
      <c r="A93" s="175"/>
      <c r="B93" s="176"/>
      <c r="C93" s="176"/>
      <c r="D93" s="176"/>
      <c r="E93" s="176"/>
      <c r="F93" s="114"/>
      <c r="G93" s="114"/>
      <c r="H93" s="114"/>
      <c r="I93" s="114"/>
      <c r="J93" s="114"/>
      <c r="K93" s="114"/>
      <c r="L93" s="114"/>
      <c r="M93" s="177"/>
      <c r="N93" s="93"/>
      <c r="O93" s="494" t="s">
        <v>96</v>
      </c>
      <c r="P93" s="495"/>
      <c r="Q93" s="495"/>
      <c r="R93" s="147"/>
      <c r="S93" s="418">
        <f>S41</f>
        <v>28.000000000000004</v>
      </c>
      <c r="T93" s="419"/>
    </row>
    <row r="94" spans="1:20" ht="16.2" thickBot="1">
      <c r="A94" s="477"/>
      <c r="B94" s="477"/>
      <c r="C94" s="477"/>
      <c r="D94" s="144"/>
      <c r="E94" s="144"/>
      <c r="F94" s="23"/>
      <c r="G94" s="23"/>
      <c r="H94" s="23"/>
      <c r="I94" s="23"/>
      <c r="J94" s="23"/>
      <c r="K94" s="23"/>
      <c r="L94" s="23"/>
      <c r="M94" s="23"/>
      <c r="N94" s="23"/>
      <c r="O94" s="491" t="s">
        <v>97</v>
      </c>
      <c r="P94" s="492"/>
      <c r="Q94" s="493"/>
      <c r="R94" s="148"/>
      <c r="S94" s="463">
        <f>SUM(S90:T93)</f>
        <v>80</v>
      </c>
      <c r="T94" s="464"/>
    </row>
    <row r="95" spans="1:20" ht="13.2" customHeight="1" thickBot="1">
      <c r="A95" s="23"/>
      <c r="B95" s="23"/>
      <c r="C95" s="23"/>
      <c r="D95" s="23"/>
      <c r="E95" s="23"/>
      <c r="F95" s="24"/>
      <c r="G95" s="23"/>
      <c r="H95" s="23"/>
      <c r="I95" s="23"/>
      <c r="J95" s="23"/>
      <c r="K95" s="23"/>
      <c r="L95" s="23"/>
      <c r="M95" s="23"/>
      <c r="N95" s="23"/>
      <c r="O95" s="23"/>
      <c r="P95" s="1"/>
      <c r="Q95" s="1"/>
      <c r="R95" s="482"/>
      <c r="S95" s="482"/>
      <c r="T95" s="482"/>
    </row>
    <row r="96" spans="1:20" ht="16.2" thickBot="1">
      <c r="A96" s="77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468" t="s">
        <v>98</v>
      </c>
      <c r="N96" s="469"/>
      <c r="O96" s="470"/>
      <c r="P96" s="121" t="s">
        <v>99</v>
      </c>
      <c r="Q96" s="465" t="s">
        <v>100</v>
      </c>
      <c r="R96" s="466"/>
      <c r="S96" s="467"/>
      <c r="T96" s="96" t="s">
        <v>101</v>
      </c>
    </row>
    <row r="97" spans="1:20" ht="17.399999999999999">
      <c r="A97" s="72" t="s">
        <v>102</v>
      </c>
      <c r="B97" s="486" t="s">
        <v>113</v>
      </c>
      <c r="C97" s="487"/>
      <c r="D97" s="487"/>
      <c r="E97" s="487"/>
      <c r="F97" s="487"/>
      <c r="G97" s="487"/>
      <c r="H97" s="487"/>
      <c r="I97" s="487"/>
      <c r="J97" s="487"/>
      <c r="K97" s="487"/>
      <c r="L97" s="23"/>
      <c r="M97" s="366">
        <f>S92</f>
        <v>40</v>
      </c>
      <c r="N97" s="367"/>
      <c r="O97" s="368"/>
      <c r="P97" s="496" t="s">
        <v>103</v>
      </c>
      <c r="Q97" s="496"/>
      <c r="R97" s="496"/>
      <c r="S97" s="496"/>
      <c r="T97" s="497"/>
    </row>
    <row r="98" spans="1:20" ht="17.399999999999999">
      <c r="A98" s="119" t="s">
        <v>104</v>
      </c>
      <c r="B98" s="120"/>
      <c r="C98" s="120"/>
      <c r="D98" s="120"/>
      <c r="E98" s="35"/>
      <c r="F98" s="35"/>
      <c r="G98" s="30"/>
      <c r="H98" s="30"/>
      <c r="I98" s="30"/>
      <c r="J98" s="30"/>
      <c r="K98" s="30"/>
      <c r="L98" s="23"/>
      <c r="M98" s="333"/>
      <c r="N98" s="334"/>
      <c r="O98" s="335"/>
      <c r="P98" s="174"/>
      <c r="Q98" s="471"/>
      <c r="R98" s="472"/>
      <c r="S98" s="473"/>
      <c r="T98" s="97"/>
    </row>
    <row r="99" spans="1:20" ht="17.399999999999999">
      <c r="A99" s="72" t="s">
        <v>102</v>
      </c>
      <c r="B99" s="488"/>
      <c r="C99" s="487"/>
      <c r="D99" s="487"/>
      <c r="E99" s="487"/>
      <c r="F99" s="487"/>
      <c r="G99" s="487"/>
      <c r="H99" s="487"/>
      <c r="I99" s="487"/>
      <c r="J99" s="487"/>
      <c r="K99" s="487"/>
      <c r="L99" s="28"/>
      <c r="M99" s="336">
        <f>S93</f>
        <v>28.000000000000004</v>
      </c>
      <c r="N99" s="337"/>
      <c r="O99" s="338"/>
      <c r="P99" s="483" t="s">
        <v>105</v>
      </c>
      <c r="Q99" s="483"/>
      <c r="R99" s="483"/>
      <c r="S99" s="483"/>
      <c r="T99" s="484"/>
    </row>
    <row r="100" spans="1:20" ht="17.399999999999999">
      <c r="A100" s="119" t="s">
        <v>106</v>
      </c>
      <c r="B100" s="120"/>
      <c r="C100" s="120"/>
      <c r="D100" s="120"/>
      <c r="E100" s="30"/>
      <c r="F100" s="30"/>
      <c r="G100" s="30"/>
      <c r="H100" s="30"/>
      <c r="I100" s="30"/>
      <c r="J100" s="30"/>
      <c r="K100" s="30"/>
      <c r="L100" s="28"/>
      <c r="M100" s="333"/>
      <c r="N100" s="334"/>
      <c r="O100" s="335"/>
      <c r="P100" s="174"/>
      <c r="Q100" s="339"/>
      <c r="R100" s="340"/>
      <c r="S100" s="341"/>
      <c r="T100" s="98"/>
    </row>
    <row r="101" spans="1:20" ht="18">
      <c r="A101" s="485" t="s">
        <v>96</v>
      </c>
      <c r="B101" s="480"/>
      <c r="C101" s="480"/>
      <c r="D101" s="480"/>
      <c r="E101" s="30"/>
      <c r="F101" s="30"/>
      <c r="G101" s="30"/>
      <c r="H101" s="30"/>
      <c r="I101" s="30"/>
      <c r="J101" s="26"/>
      <c r="K101" s="26"/>
      <c r="L101" s="28"/>
      <c r="M101" s="333"/>
      <c r="N101" s="334"/>
      <c r="O101" s="335"/>
      <c r="P101" s="174"/>
      <c r="Q101" s="339"/>
      <c r="R101" s="340"/>
      <c r="S101" s="341"/>
      <c r="T101" s="97"/>
    </row>
    <row r="102" spans="1:20" ht="17.399999999999999">
      <c r="A102" s="72" t="s">
        <v>102</v>
      </c>
      <c r="B102" s="486" t="s">
        <v>113</v>
      </c>
      <c r="C102" s="487"/>
      <c r="D102" s="487"/>
      <c r="E102" s="487"/>
      <c r="F102" s="487"/>
      <c r="G102" s="487"/>
      <c r="H102" s="487"/>
      <c r="I102" s="487"/>
      <c r="J102" s="487"/>
      <c r="K102" s="487"/>
      <c r="L102" s="28"/>
      <c r="M102" s="336">
        <f>S90</f>
        <v>2</v>
      </c>
      <c r="N102" s="337"/>
      <c r="O102" s="338"/>
      <c r="P102" s="483"/>
      <c r="Q102" s="483"/>
      <c r="R102" s="483"/>
      <c r="S102" s="483"/>
      <c r="T102" s="484"/>
    </row>
    <row r="103" spans="1:20" ht="17.399999999999999">
      <c r="A103" s="119" t="s">
        <v>106</v>
      </c>
      <c r="B103" s="120"/>
      <c r="C103" s="120"/>
      <c r="D103" s="120"/>
      <c r="E103" s="30"/>
      <c r="F103" s="30"/>
      <c r="G103" s="30"/>
      <c r="H103" s="30"/>
      <c r="I103" s="30"/>
      <c r="J103" s="30"/>
      <c r="K103" s="30"/>
      <c r="L103" s="28"/>
      <c r="M103" s="333"/>
      <c r="N103" s="334"/>
      <c r="O103" s="335"/>
      <c r="P103" s="174"/>
      <c r="Q103" s="339"/>
      <c r="R103" s="340"/>
      <c r="S103" s="341"/>
      <c r="T103" s="98"/>
    </row>
    <row r="104" spans="1:20" ht="18">
      <c r="A104" s="485" t="s">
        <v>92</v>
      </c>
      <c r="B104" s="480"/>
      <c r="C104" s="480"/>
      <c r="D104" s="480"/>
      <c r="E104" s="480"/>
      <c r="F104" s="480"/>
      <c r="G104" s="480"/>
      <c r="H104" s="480"/>
      <c r="I104" s="480"/>
      <c r="J104" s="480"/>
      <c r="K104" s="480"/>
      <c r="L104" s="28"/>
      <c r="M104" s="333"/>
      <c r="N104" s="334"/>
      <c r="O104" s="335"/>
      <c r="P104" s="174"/>
      <c r="Q104" s="339"/>
      <c r="R104" s="340"/>
      <c r="S104" s="341"/>
      <c r="T104" s="97"/>
    </row>
    <row r="105" spans="1:20" ht="17.399999999999999">
      <c r="A105" s="72" t="s">
        <v>102</v>
      </c>
      <c r="B105" s="358" t="e">
        <f>M105wachemdev</f>
        <v>#NAME?</v>
      </c>
      <c r="C105" s="358"/>
      <c r="D105" s="358"/>
      <c r="E105" s="358"/>
      <c r="F105" s="358"/>
      <c r="G105" s="358"/>
      <c r="H105" s="358"/>
      <c r="I105" s="358"/>
      <c r="J105" s="358"/>
      <c r="K105" s="358"/>
      <c r="L105" s="29"/>
      <c r="M105" s="336">
        <f>Feuil2!BN19</f>
        <v>65.699999999999989</v>
      </c>
      <c r="N105" s="337"/>
      <c r="O105" s="338"/>
      <c r="P105" s="205" t="s">
        <v>49</v>
      </c>
      <c r="Q105" s="342" t="s">
        <v>49</v>
      </c>
      <c r="R105" s="343"/>
      <c r="S105" s="344"/>
      <c r="T105" s="100" t="s">
        <v>49</v>
      </c>
    </row>
    <row r="106" spans="1:20" ht="17.399999999999999">
      <c r="A106" s="359" t="s">
        <v>107</v>
      </c>
      <c r="B106" s="360"/>
      <c r="C106" s="360"/>
      <c r="D106" s="399" t="str">
        <f>Feuil2!BP19</f>
        <v>محجوب عبد الحفيظ</v>
      </c>
      <c r="E106" s="346"/>
      <c r="F106" s="346"/>
      <c r="G106" s="346"/>
      <c r="H106" s="346"/>
      <c r="I106" s="346"/>
      <c r="J106" s="346"/>
      <c r="K106" s="362"/>
      <c r="L106" s="29"/>
      <c r="M106" s="390"/>
      <c r="N106" s="391"/>
      <c r="O106" s="392"/>
      <c r="P106" s="206"/>
      <c r="Q106" s="339"/>
      <c r="R106" s="340"/>
      <c r="S106" s="341"/>
      <c r="T106" s="101"/>
    </row>
    <row r="107" spans="1:20" ht="17.399999999999999">
      <c r="A107" s="115" t="s">
        <v>108</v>
      </c>
      <c r="B107" s="116"/>
      <c r="C107" s="116"/>
      <c r="D107" s="116"/>
      <c r="E107" s="331" t="s">
        <v>109</v>
      </c>
      <c r="F107" s="332"/>
      <c r="G107" s="68"/>
      <c r="H107" s="68"/>
      <c r="I107" s="68"/>
      <c r="J107" s="68"/>
      <c r="K107" s="125"/>
      <c r="L107" s="28"/>
      <c r="M107" s="333"/>
      <c r="N107" s="334"/>
      <c r="O107" s="335"/>
      <c r="P107" s="206"/>
      <c r="Q107" s="339"/>
      <c r="R107" s="340"/>
      <c r="S107" s="341"/>
      <c r="T107" s="101"/>
    </row>
    <row r="108" spans="1:20" ht="17.399999999999999">
      <c r="A108" s="72" t="s">
        <v>102</v>
      </c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28"/>
      <c r="M108" s="336"/>
      <c r="N108" s="337"/>
      <c r="O108" s="338"/>
      <c r="P108" s="205" t="s">
        <v>49</v>
      </c>
      <c r="Q108" s="342" t="s">
        <v>49</v>
      </c>
      <c r="R108" s="343"/>
      <c r="S108" s="344"/>
      <c r="T108" s="100" t="s">
        <v>49</v>
      </c>
    </row>
    <row r="109" spans="1:20" ht="17.399999999999999">
      <c r="A109" s="359" t="s">
        <v>107</v>
      </c>
      <c r="B109" s="360"/>
      <c r="C109" s="361"/>
      <c r="D109" s="345"/>
      <c r="E109" s="541"/>
      <c r="F109" s="541"/>
      <c r="G109" s="541"/>
      <c r="H109" s="346"/>
      <c r="I109" s="346"/>
      <c r="J109" s="346"/>
      <c r="K109" s="362"/>
      <c r="L109" s="28"/>
      <c r="M109" s="390"/>
      <c r="N109" s="391"/>
      <c r="O109" s="392"/>
      <c r="P109" s="206"/>
      <c r="Q109" s="339"/>
      <c r="R109" s="340"/>
      <c r="S109" s="341"/>
      <c r="T109" s="101"/>
    </row>
    <row r="110" spans="1:20" ht="17.399999999999999">
      <c r="A110" s="115" t="s">
        <v>108</v>
      </c>
      <c r="B110" s="116"/>
      <c r="C110" s="116"/>
      <c r="D110" s="116"/>
      <c r="E110" s="331" t="s">
        <v>109</v>
      </c>
      <c r="F110" s="542"/>
      <c r="G110" s="332"/>
      <c r="H110" s="68"/>
      <c r="I110" s="68"/>
      <c r="J110" s="68"/>
      <c r="K110" s="142"/>
      <c r="L110" s="25"/>
      <c r="M110" s="333"/>
      <c r="N110" s="334"/>
      <c r="O110" s="335"/>
      <c r="P110" s="206"/>
      <c r="Q110" s="339"/>
      <c r="R110" s="340"/>
      <c r="S110" s="341"/>
      <c r="T110" s="101"/>
    </row>
    <row r="111" spans="1:20" ht="17.399999999999999">
      <c r="A111" s="72" t="s">
        <v>102</v>
      </c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25"/>
      <c r="M111" s="336"/>
      <c r="N111" s="337"/>
      <c r="O111" s="338"/>
      <c r="P111" s="205" t="s">
        <v>49</v>
      </c>
      <c r="Q111" s="342" t="s">
        <v>49</v>
      </c>
      <c r="R111" s="343"/>
      <c r="S111" s="344"/>
      <c r="T111" s="100" t="s">
        <v>49</v>
      </c>
    </row>
    <row r="112" spans="1:20" ht="17.399999999999999">
      <c r="A112" s="359" t="s">
        <v>107</v>
      </c>
      <c r="B112" s="360"/>
      <c r="C112" s="361"/>
      <c r="D112" s="345"/>
      <c r="E112" s="346"/>
      <c r="F112" s="346"/>
      <c r="G112" s="346"/>
      <c r="H112" s="346"/>
      <c r="I112" s="346"/>
      <c r="J112" s="346"/>
      <c r="K112" s="362"/>
      <c r="L112" s="23"/>
      <c r="M112" s="390"/>
      <c r="N112" s="391"/>
      <c r="O112" s="392"/>
      <c r="P112" s="207"/>
      <c r="Q112" s="339"/>
      <c r="R112" s="340"/>
      <c r="S112" s="341"/>
      <c r="T112" s="102"/>
    </row>
    <row r="113" spans="1:20" ht="17.399999999999999">
      <c r="A113" s="115" t="s">
        <v>108</v>
      </c>
      <c r="B113" s="116"/>
      <c r="C113" s="116"/>
      <c r="D113" s="116"/>
      <c r="E113" s="331" t="s">
        <v>110</v>
      </c>
      <c r="F113" s="332"/>
      <c r="G113" s="68"/>
      <c r="H113" s="68"/>
      <c r="I113" s="68"/>
      <c r="J113" s="68"/>
      <c r="K113" s="125"/>
      <c r="L113" s="23"/>
      <c r="M113" s="333"/>
      <c r="N113" s="334"/>
      <c r="O113" s="335"/>
      <c r="P113" s="206"/>
      <c r="Q113" s="339"/>
      <c r="R113" s="340"/>
      <c r="S113" s="341"/>
      <c r="T113" s="101"/>
    </row>
    <row r="114" spans="1:20" ht="17.399999999999999">
      <c r="A114" s="72" t="s">
        <v>102</v>
      </c>
      <c r="B114" s="358"/>
      <c r="C114" s="358"/>
      <c r="D114" s="358"/>
      <c r="E114" s="358"/>
      <c r="F114" s="358"/>
      <c r="G114" s="358"/>
      <c r="H114" s="358"/>
      <c r="I114" s="358"/>
      <c r="J114" s="358"/>
      <c r="K114" s="73"/>
      <c r="L114" s="25"/>
      <c r="M114" s="336"/>
      <c r="N114" s="337"/>
      <c r="O114" s="338"/>
      <c r="P114" s="205" t="s">
        <v>49</v>
      </c>
      <c r="Q114" s="342" t="s">
        <v>49</v>
      </c>
      <c r="R114" s="343"/>
      <c r="S114" s="344"/>
      <c r="T114" s="100" t="s">
        <v>49</v>
      </c>
    </row>
    <row r="115" spans="1:20" ht="17.399999999999999">
      <c r="A115" s="359" t="s">
        <v>107</v>
      </c>
      <c r="B115" s="360"/>
      <c r="C115" s="361"/>
      <c r="D115" s="345"/>
      <c r="E115" s="346"/>
      <c r="F115" s="346"/>
      <c r="G115" s="346"/>
      <c r="H115" s="346"/>
      <c r="I115" s="346"/>
      <c r="J115" s="346"/>
      <c r="K115" s="362"/>
      <c r="L115" s="23"/>
      <c r="M115" s="390"/>
      <c r="N115" s="391"/>
      <c r="O115" s="392"/>
      <c r="P115" s="207"/>
      <c r="Q115" s="339"/>
      <c r="R115" s="340"/>
      <c r="S115" s="341"/>
      <c r="T115" s="102"/>
    </row>
    <row r="116" spans="1:20" ht="17.399999999999999">
      <c r="A116" s="115" t="s">
        <v>108</v>
      </c>
      <c r="B116" s="116"/>
      <c r="C116" s="116"/>
      <c r="D116" s="116"/>
      <c r="E116" s="331" t="s">
        <v>110</v>
      </c>
      <c r="F116" s="332"/>
      <c r="G116" s="68"/>
      <c r="H116" s="68"/>
      <c r="I116" s="68"/>
      <c r="J116" s="68"/>
      <c r="K116" s="125"/>
      <c r="L116" s="23"/>
      <c r="M116" s="333"/>
      <c r="N116" s="334"/>
      <c r="O116" s="335"/>
      <c r="P116" s="206"/>
      <c r="Q116" s="339"/>
      <c r="R116" s="340"/>
      <c r="S116" s="341"/>
      <c r="T116" s="101"/>
    </row>
    <row r="117" spans="1:20" ht="17.399999999999999">
      <c r="A117" s="72" t="s">
        <v>102</v>
      </c>
      <c r="B117" s="358"/>
      <c r="C117" s="358"/>
      <c r="D117" s="358"/>
      <c r="E117" s="358"/>
      <c r="F117" s="358"/>
      <c r="G117" s="358"/>
      <c r="H117" s="358"/>
      <c r="I117" s="358"/>
      <c r="J117" s="358"/>
      <c r="K117" s="203"/>
      <c r="L117" s="25"/>
      <c r="M117" s="336"/>
      <c r="N117" s="337"/>
      <c r="O117" s="338"/>
      <c r="P117" s="205" t="s">
        <v>49</v>
      </c>
      <c r="Q117" s="342" t="s">
        <v>49</v>
      </c>
      <c r="R117" s="343"/>
      <c r="S117" s="344"/>
      <c r="T117" s="100" t="s">
        <v>49</v>
      </c>
    </row>
    <row r="118" spans="1:20" ht="17.399999999999999">
      <c r="A118" s="359" t="s">
        <v>107</v>
      </c>
      <c r="B118" s="360"/>
      <c r="C118" s="361"/>
      <c r="D118" s="345"/>
      <c r="E118" s="346"/>
      <c r="F118" s="346"/>
      <c r="G118" s="346"/>
      <c r="H118" s="346"/>
      <c r="I118" s="346"/>
      <c r="J118" s="346"/>
      <c r="K118" s="362"/>
      <c r="L118" s="25"/>
      <c r="M118" s="390"/>
      <c r="N118" s="391"/>
      <c r="O118" s="392"/>
      <c r="P118" s="206"/>
      <c r="Q118" s="339"/>
      <c r="R118" s="340"/>
      <c r="S118" s="341"/>
      <c r="T118" s="101"/>
    </row>
    <row r="119" spans="1:20" ht="17.399999999999999">
      <c r="A119" s="115" t="s">
        <v>108</v>
      </c>
      <c r="B119" s="116"/>
      <c r="C119" s="116"/>
      <c r="D119" s="116"/>
      <c r="E119" s="331" t="s">
        <v>110</v>
      </c>
      <c r="F119" s="332"/>
      <c r="G119" s="68"/>
      <c r="H119" s="68"/>
      <c r="I119" s="68"/>
      <c r="J119" s="68"/>
      <c r="K119" s="125"/>
      <c r="L119" s="23"/>
      <c r="M119" s="333"/>
      <c r="N119" s="334"/>
      <c r="O119" s="335"/>
      <c r="P119" s="206"/>
      <c r="Q119" s="339"/>
      <c r="R119" s="340"/>
      <c r="S119" s="341"/>
      <c r="T119" s="101"/>
    </row>
    <row r="120" spans="1:20" ht="17.399999999999999">
      <c r="A120" s="72" t="s">
        <v>102</v>
      </c>
      <c r="B120" s="358"/>
      <c r="C120" s="358"/>
      <c r="D120" s="358"/>
      <c r="E120" s="358"/>
      <c r="F120" s="358"/>
      <c r="G120" s="358"/>
      <c r="H120" s="358"/>
      <c r="I120" s="358"/>
      <c r="J120" s="358"/>
      <c r="K120" s="203"/>
      <c r="L120" s="23"/>
      <c r="M120" s="336"/>
      <c r="N120" s="337"/>
      <c r="O120" s="338"/>
      <c r="P120" s="205" t="s">
        <v>49</v>
      </c>
      <c r="Q120" s="342" t="s">
        <v>49</v>
      </c>
      <c r="R120" s="343"/>
      <c r="S120" s="344"/>
      <c r="T120" s="100" t="s">
        <v>49</v>
      </c>
    </row>
    <row r="121" spans="1:20" ht="17.399999999999999">
      <c r="A121" s="359" t="s">
        <v>107</v>
      </c>
      <c r="B121" s="360"/>
      <c r="C121" s="361"/>
      <c r="D121" s="345"/>
      <c r="E121" s="346"/>
      <c r="F121" s="346"/>
      <c r="G121" s="346"/>
      <c r="H121" s="346"/>
      <c r="I121" s="346"/>
      <c r="J121" s="346"/>
      <c r="K121" s="362"/>
      <c r="L121" s="25"/>
      <c r="M121" s="333"/>
      <c r="N121" s="334"/>
      <c r="O121" s="335"/>
      <c r="P121" s="174"/>
      <c r="Q121" s="339"/>
      <c r="R121" s="340"/>
      <c r="S121" s="341"/>
      <c r="T121" s="103"/>
    </row>
    <row r="122" spans="1:20" ht="17.399999999999999">
      <c r="A122" s="115" t="s">
        <v>108</v>
      </c>
      <c r="B122" s="116"/>
      <c r="C122" s="116"/>
      <c r="D122" s="116"/>
      <c r="E122" s="331" t="s">
        <v>110</v>
      </c>
      <c r="F122" s="332"/>
      <c r="G122" s="68"/>
      <c r="H122" s="68"/>
      <c r="I122" s="68"/>
      <c r="J122" s="68"/>
      <c r="K122" s="125"/>
      <c r="L122" s="25"/>
      <c r="M122" s="333"/>
      <c r="N122" s="334"/>
      <c r="O122" s="335"/>
      <c r="P122" s="174"/>
      <c r="Q122" s="339"/>
      <c r="R122" s="340"/>
      <c r="S122" s="341"/>
      <c r="T122" s="99"/>
    </row>
    <row r="123" spans="1:20" ht="17.399999999999999">
      <c r="A123" s="72" t="s">
        <v>102</v>
      </c>
      <c r="B123" s="358"/>
      <c r="C123" s="358"/>
      <c r="D123" s="358"/>
      <c r="E123" s="358"/>
      <c r="F123" s="358"/>
      <c r="G123" s="358"/>
      <c r="H123" s="358"/>
      <c r="I123" s="358"/>
      <c r="J123" s="358"/>
      <c r="K123" s="203"/>
      <c r="L123" s="25"/>
      <c r="M123" s="336"/>
      <c r="N123" s="337"/>
      <c r="O123" s="338"/>
      <c r="P123" s="205" t="s">
        <v>49</v>
      </c>
      <c r="Q123" s="342" t="s">
        <v>49</v>
      </c>
      <c r="R123" s="343"/>
      <c r="S123" s="344"/>
      <c r="T123" s="100" t="s">
        <v>49</v>
      </c>
    </row>
    <row r="124" spans="1:20" ht="17.399999999999999">
      <c r="A124" s="359" t="s">
        <v>107</v>
      </c>
      <c r="B124" s="360"/>
      <c r="C124" s="361"/>
      <c r="D124" s="345"/>
      <c r="E124" s="346"/>
      <c r="F124" s="346"/>
      <c r="G124" s="346"/>
      <c r="H124" s="346"/>
      <c r="I124" s="346"/>
      <c r="J124" s="346"/>
      <c r="K124" s="362"/>
      <c r="L124" s="25"/>
      <c r="M124" s="333"/>
      <c r="N124" s="334"/>
      <c r="O124" s="335"/>
      <c r="P124" s="174"/>
      <c r="Q124" s="339"/>
      <c r="R124" s="340"/>
      <c r="S124" s="341"/>
      <c r="T124" s="99"/>
    </row>
    <row r="125" spans="1:20" ht="22.8">
      <c r="A125" s="115" t="s">
        <v>108</v>
      </c>
      <c r="B125" s="116"/>
      <c r="C125" s="116"/>
      <c r="D125" s="116"/>
      <c r="E125" s="331" t="s">
        <v>110</v>
      </c>
      <c r="F125" s="332"/>
      <c r="G125" s="68"/>
      <c r="H125" s="68"/>
      <c r="I125" s="68"/>
      <c r="J125" s="68"/>
      <c r="K125" s="125"/>
      <c r="L125" s="23"/>
      <c r="M125" s="333"/>
      <c r="N125" s="334"/>
      <c r="O125" s="335"/>
      <c r="P125" s="208"/>
      <c r="Q125" s="339"/>
      <c r="R125" s="340"/>
      <c r="S125" s="341"/>
      <c r="T125" s="104"/>
    </row>
    <row r="126" spans="1:20" ht="17.399999999999999">
      <c r="A126" s="72" t="s">
        <v>102</v>
      </c>
      <c r="B126" s="358"/>
      <c r="C126" s="358"/>
      <c r="D126" s="358"/>
      <c r="E126" s="358"/>
      <c r="F126" s="358"/>
      <c r="G126" s="358"/>
      <c r="H126" s="358"/>
      <c r="I126" s="358"/>
      <c r="J126" s="358"/>
      <c r="K126" s="203"/>
      <c r="L126" s="23"/>
      <c r="M126" s="336"/>
      <c r="N126" s="337"/>
      <c r="O126" s="338"/>
      <c r="P126" s="205" t="s">
        <v>49</v>
      </c>
      <c r="Q126" s="342" t="s">
        <v>49</v>
      </c>
      <c r="R126" s="343"/>
      <c r="S126" s="344"/>
      <c r="T126" s="100" t="s">
        <v>49</v>
      </c>
    </row>
    <row r="127" spans="1:20" ht="17.399999999999999">
      <c r="A127" s="359" t="s">
        <v>107</v>
      </c>
      <c r="B127" s="360"/>
      <c r="C127" s="361"/>
      <c r="D127" s="348"/>
      <c r="E127" s="348"/>
      <c r="F127" s="348"/>
      <c r="G127" s="348"/>
      <c r="H127" s="348"/>
      <c r="I127" s="348"/>
      <c r="J127" s="348"/>
      <c r="K127" s="348"/>
      <c r="L127" s="25"/>
      <c r="M127" s="333"/>
      <c r="N127" s="334"/>
      <c r="O127" s="335"/>
      <c r="P127" s="174"/>
      <c r="Q127" s="339"/>
      <c r="R127" s="340"/>
      <c r="S127" s="341"/>
      <c r="T127" s="103"/>
    </row>
    <row r="128" spans="1:20" ht="17.399999999999999">
      <c r="A128" s="204" t="s">
        <v>108</v>
      </c>
      <c r="B128" s="116"/>
      <c r="C128" s="116"/>
      <c r="D128" s="116"/>
      <c r="E128" s="518" t="s">
        <v>110</v>
      </c>
      <c r="F128" s="518"/>
      <c r="G128" s="68"/>
      <c r="H128" s="68"/>
      <c r="I128" s="68"/>
      <c r="J128" s="68"/>
      <c r="K128" s="125"/>
      <c r="L128" s="25"/>
      <c r="M128" s="333"/>
      <c r="N128" s="334"/>
      <c r="O128" s="335"/>
      <c r="P128" s="107"/>
      <c r="Q128" s="340"/>
      <c r="R128" s="340"/>
      <c r="S128" s="340"/>
      <c r="T128" s="112"/>
    </row>
    <row r="129" spans="1:20" s="1" customFormat="1" ht="17.399999999999999">
      <c r="A129" s="72" t="s">
        <v>102</v>
      </c>
      <c r="B129" s="358"/>
      <c r="C129" s="358"/>
      <c r="D129" s="358"/>
      <c r="E129" s="358"/>
      <c r="F129" s="358"/>
      <c r="G129" s="358"/>
      <c r="H129" s="358"/>
      <c r="I129" s="358"/>
      <c r="J129" s="358"/>
      <c r="K129" s="203"/>
      <c r="L129" s="23"/>
      <c r="M129" s="336"/>
      <c r="N129" s="337"/>
      <c r="O129" s="338"/>
      <c r="P129" s="205" t="s">
        <v>49</v>
      </c>
      <c r="Q129" s="342" t="s">
        <v>49</v>
      </c>
      <c r="R129" s="343"/>
      <c r="S129" s="344"/>
      <c r="T129" s="100" t="s">
        <v>49</v>
      </c>
    </row>
    <row r="130" spans="1:20" s="1" customFormat="1" ht="17.399999999999999">
      <c r="A130" s="359" t="s">
        <v>107</v>
      </c>
      <c r="B130" s="360"/>
      <c r="C130" s="361"/>
      <c r="D130" s="348"/>
      <c r="E130" s="348"/>
      <c r="F130" s="348"/>
      <c r="G130" s="348"/>
      <c r="H130" s="348"/>
      <c r="I130" s="348"/>
      <c r="J130" s="348"/>
      <c r="K130" s="348"/>
      <c r="L130" s="25"/>
      <c r="M130" s="333"/>
      <c r="N130" s="334"/>
      <c r="O130" s="335"/>
      <c r="P130" s="174"/>
      <c r="Q130" s="339"/>
      <c r="R130" s="340"/>
      <c r="S130" s="341"/>
      <c r="T130" s="103"/>
    </row>
    <row r="131" spans="1:20" s="1" customFormat="1" ht="17.399999999999999">
      <c r="A131" s="204" t="s">
        <v>108</v>
      </c>
      <c r="B131" s="116"/>
      <c r="C131" s="116"/>
      <c r="D131" s="116"/>
      <c r="E131" s="540" t="s">
        <v>110</v>
      </c>
      <c r="F131" s="540"/>
      <c r="G131" s="68"/>
      <c r="H131" s="68"/>
      <c r="I131" s="68"/>
      <c r="J131" s="68"/>
      <c r="K131" s="125"/>
      <c r="L131" s="25"/>
      <c r="M131" s="333"/>
      <c r="N131" s="334"/>
      <c r="O131" s="335"/>
      <c r="P131" s="107"/>
      <c r="Q131" s="340"/>
      <c r="R131" s="340"/>
      <c r="S131" s="340"/>
      <c r="T131" s="112"/>
    </row>
    <row r="132" spans="1:20" s="1" customFormat="1" ht="17.399999999999999">
      <c r="A132" s="72" t="s">
        <v>102</v>
      </c>
      <c r="B132" s="358"/>
      <c r="C132" s="358"/>
      <c r="D132" s="358"/>
      <c r="E132" s="358"/>
      <c r="F132" s="358"/>
      <c r="G132" s="358"/>
      <c r="H132" s="358"/>
      <c r="I132" s="358"/>
      <c r="J132" s="358"/>
      <c r="K132" s="203"/>
      <c r="L132" s="23"/>
      <c r="M132" s="336"/>
      <c r="N132" s="337"/>
      <c r="O132" s="338"/>
      <c r="P132" s="205" t="s">
        <v>49</v>
      </c>
      <c r="Q132" s="342" t="s">
        <v>49</v>
      </c>
      <c r="R132" s="343"/>
      <c r="S132" s="344"/>
      <c r="T132" s="100" t="s">
        <v>49</v>
      </c>
    </row>
    <row r="133" spans="1:20" s="1" customFormat="1" ht="17.399999999999999">
      <c r="A133" s="359" t="s">
        <v>107</v>
      </c>
      <c r="B133" s="360"/>
      <c r="C133" s="361"/>
      <c r="D133" s="345"/>
      <c r="E133" s="346"/>
      <c r="F133" s="346"/>
      <c r="G133" s="346"/>
      <c r="H133" s="346"/>
      <c r="I133" s="346"/>
      <c r="J133" s="346"/>
      <c r="K133" s="362"/>
      <c r="L133" s="25"/>
      <c r="M133" s="333"/>
      <c r="N133" s="334"/>
      <c r="O133" s="335"/>
      <c r="P133" s="174"/>
      <c r="Q133" s="339"/>
      <c r="R133" s="340"/>
      <c r="S133" s="341"/>
      <c r="T133" s="103"/>
    </row>
    <row r="134" spans="1:20" s="1" customFormat="1" ht="18" thickBot="1">
      <c r="A134" s="117" t="s">
        <v>108</v>
      </c>
      <c r="B134" s="118"/>
      <c r="C134" s="118"/>
      <c r="D134" s="118"/>
      <c r="E134" s="364" t="s">
        <v>110</v>
      </c>
      <c r="F134" s="365"/>
      <c r="G134" s="74"/>
      <c r="H134" s="74"/>
      <c r="I134" s="74"/>
      <c r="J134" s="74"/>
      <c r="K134" s="126"/>
      <c r="L134" s="76"/>
      <c r="M134" s="355"/>
      <c r="N134" s="356"/>
      <c r="O134" s="357"/>
      <c r="P134" s="177"/>
      <c r="Q134" s="352"/>
      <c r="R134" s="353"/>
      <c r="S134" s="354"/>
      <c r="T134" s="105"/>
    </row>
    <row r="135" spans="1:20" ht="23.4" thickBot="1">
      <c r="A135" s="31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5"/>
      <c r="M135" s="355">
        <f>SUM(M97:O134)</f>
        <v>135.69999999999999</v>
      </c>
      <c r="N135" s="356"/>
      <c r="O135" s="357"/>
      <c r="P135" s="106"/>
      <c r="Q135" s="107"/>
      <c r="R135" s="106"/>
      <c r="S135" s="106"/>
      <c r="T135" s="106"/>
    </row>
    <row r="136" spans="1:20" ht="17.399999999999999">
      <c r="A136" s="77" t="s">
        <v>102</v>
      </c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4"/>
      <c r="M136" s="366"/>
      <c r="N136" s="367">
        <v>0</v>
      </c>
      <c r="O136" s="368">
        <v>0</v>
      </c>
      <c r="P136" s="123" t="s">
        <v>49</v>
      </c>
      <c r="Q136" s="349" t="s">
        <v>49</v>
      </c>
      <c r="R136" s="350"/>
      <c r="S136" s="351"/>
      <c r="T136" s="124" t="s">
        <v>49</v>
      </c>
    </row>
    <row r="137" spans="1:20" ht="17.399999999999999">
      <c r="A137" s="359" t="s">
        <v>107</v>
      </c>
      <c r="B137" s="360"/>
      <c r="C137" s="361"/>
      <c r="D137" s="345"/>
      <c r="E137" s="346"/>
      <c r="F137" s="346"/>
      <c r="G137" s="346"/>
      <c r="H137" s="346"/>
      <c r="I137" s="346"/>
      <c r="J137" s="346"/>
      <c r="K137" s="347"/>
      <c r="L137" s="23"/>
      <c r="M137" s="333"/>
      <c r="N137" s="334"/>
      <c r="O137" s="335"/>
      <c r="P137" s="107"/>
      <c r="Q137" s="339"/>
      <c r="R137" s="340"/>
      <c r="S137" s="341"/>
      <c r="T137" s="109"/>
    </row>
    <row r="138" spans="1:20" ht="17.399999999999999">
      <c r="A138" s="115" t="s">
        <v>108</v>
      </c>
      <c r="B138" s="116"/>
      <c r="C138" s="116"/>
      <c r="D138" s="116"/>
      <c r="E138" s="331" t="s">
        <v>112</v>
      </c>
      <c r="F138" s="332"/>
      <c r="G138" s="68"/>
      <c r="H138" s="68"/>
      <c r="I138" s="68"/>
      <c r="J138" s="68"/>
      <c r="K138" s="127"/>
      <c r="L138" s="25"/>
      <c r="M138" s="333"/>
      <c r="N138" s="334"/>
      <c r="O138" s="335"/>
      <c r="P138" s="107"/>
      <c r="Q138" s="339"/>
      <c r="R138" s="340"/>
      <c r="S138" s="341"/>
      <c r="T138" s="110"/>
    </row>
    <row r="139" spans="1:20" ht="17.399999999999999">
      <c r="A139" s="72" t="s">
        <v>102</v>
      </c>
      <c r="B139" s="358"/>
      <c r="C139" s="358"/>
      <c r="D139" s="358"/>
      <c r="E139" s="358"/>
      <c r="F139" s="358"/>
      <c r="G139" s="358"/>
      <c r="H139" s="358"/>
      <c r="I139" s="358"/>
      <c r="J139" s="358"/>
      <c r="K139" s="358"/>
      <c r="L139" s="25"/>
      <c r="M139" s="336">
        <v>0</v>
      </c>
      <c r="N139" s="337">
        <v>0</v>
      </c>
      <c r="O139" s="338">
        <v>0</v>
      </c>
      <c r="P139" s="113" t="s">
        <v>49</v>
      </c>
      <c r="Q139" s="342" t="s">
        <v>49</v>
      </c>
      <c r="R139" s="343"/>
      <c r="S139" s="344"/>
      <c r="T139" s="108" t="s">
        <v>49</v>
      </c>
    </row>
    <row r="140" spans="1:20" ht="17.399999999999999">
      <c r="A140" s="359" t="s">
        <v>107</v>
      </c>
      <c r="B140" s="360"/>
      <c r="C140" s="361"/>
      <c r="D140" s="345"/>
      <c r="E140" s="346"/>
      <c r="F140" s="346"/>
      <c r="G140" s="346"/>
      <c r="H140" s="346"/>
      <c r="I140" s="346"/>
      <c r="J140" s="346"/>
      <c r="K140" s="347"/>
      <c r="L140" s="23"/>
      <c r="M140" s="333"/>
      <c r="N140" s="334"/>
      <c r="O140" s="335"/>
      <c r="P140" s="107"/>
      <c r="Q140" s="339"/>
      <c r="R140" s="340"/>
      <c r="S140" s="341"/>
      <c r="T140" s="109"/>
    </row>
    <row r="141" spans="1:20" ht="17.399999999999999">
      <c r="A141" s="115" t="s">
        <v>108</v>
      </c>
      <c r="B141" s="116"/>
      <c r="C141" s="116"/>
      <c r="D141" s="116"/>
      <c r="E141" s="331" t="s">
        <v>112</v>
      </c>
      <c r="F141" s="332"/>
      <c r="G141" s="68"/>
      <c r="H141" s="68"/>
      <c r="I141" s="68"/>
      <c r="J141" s="68"/>
      <c r="K141" s="127"/>
      <c r="L141" s="23"/>
      <c r="M141" s="333"/>
      <c r="N141" s="334"/>
      <c r="O141" s="335"/>
      <c r="P141" s="107"/>
      <c r="Q141" s="339"/>
      <c r="R141" s="340"/>
      <c r="S141" s="341"/>
      <c r="T141" s="110"/>
    </row>
    <row r="142" spans="1:20" ht="17.399999999999999">
      <c r="A142" s="72" t="s">
        <v>102</v>
      </c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23"/>
      <c r="M142" s="336">
        <v>0</v>
      </c>
      <c r="N142" s="337">
        <v>0</v>
      </c>
      <c r="O142" s="338">
        <v>0</v>
      </c>
      <c r="P142" s="113" t="s">
        <v>49</v>
      </c>
      <c r="Q142" s="342" t="s">
        <v>49</v>
      </c>
      <c r="R142" s="343"/>
      <c r="S142" s="344"/>
      <c r="T142" s="108" t="s">
        <v>49</v>
      </c>
    </row>
    <row r="143" spans="1:20" ht="17.399999999999999">
      <c r="A143" s="359" t="s">
        <v>107</v>
      </c>
      <c r="B143" s="360"/>
      <c r="C143" s="361"/>
      <c r="D143" s="345"/>
      <c r="E143" s="346"/>
      <c r="F143" s="346"/>
      <c r="G143" s="346"/>
      <c r="H143" s="346"/>
      <c r="I143" s="346"/>
      <c r="J143" s="346"/>
      <c r="K143" s="347"/>
      <c r="L143" s="23"/>
      <c r="M143" s="333"/>
      <c r="N143" s="334"/>
      <c r="O143" s="335"/>
      <c r="P143" s="107"/>
      <c r="Q143" s="339"/>
      <c r="R143" s="340"/>
      <c r="S143" s="341"/>
      <c r="T143" s="109"/>
    </row>
    <row r="144" spans="1:20" ht="17.399999999999999">
      <c r="A144" s="115" t="s">
        <v>108</v>
      </c>
      <c r="B144" s="116"/>
      <c r="C144" s="116"/>
      <c r="D144" s="116"/>
      <c r="E144" s="331" t="s">
        <v>112</v>
      </c>
      <c r="F144" s="332"/>
      <c r="G144" s="68"/>
      <c r="H144" s="68"/>
      <c r="I144" s="68"/>
      <c r="J144" s="68"/>
      <c r="K144" s="127"/>
      <c r="L144" s="23"/>
      <c r="M144" s="333"/>
      <c r="N144" s="334"/>
      <c r="O144" s="335"/>
      <c r="P144" s="107"/>
      <c r="Q144" s="339"/>
      <c r="R144" s="340"/>
      <c r="S144" s="341"/>
      <c r="T144" s="110"/>
    </row>
    <row r="145" spans="1:20" ht="17.399999999999999">
      <c r="A145" s="72" t="s">
        <v>102</v>
      </c>
      <c r="B145" s="358"/>
      <c r="C145" s="358"/>
      <c r="D145" s="358"/>
      <c r="E145" s="358"/>
      <c r="F145" s="358"/>
      <c r="G145" s="358"/>
      <c r="H145" s="358"/>
      <c r="I145" s="358"/>
      <c r="J145" s="358"/>
      <c r="K145" s="358" t="s">
        <v>111</v>
      </c>
      <c r="L145" s="23"/>
      <c r="M145" s="336">
        <v>0</v>
      </c>
      <c r="N145" s="337">
        <v>0</v>
      </c>
      <c r="O145" s="338">
        <v>0</v>
      </c>
      <c r="P145" s="113" t="s">
        <v>49</v>
      </c>
      <c r="Q145" s="342" t="s">
        <v>49</v>
      </c>
      <c r="R145" s="343"/>
      <c r="S145" s="344"/>
      <c r="T145" s="108" t="s">
        <v>49</v>
      </c>
    </row>
    <row r="146" spans="1:20" ht="17.399999999999999">
      <c r="A146" s="359" t="s">
        <v>107</v>
      </c>
      <c r="B146" s="360"/>
      <c r="C146" s="361"/>
      <c r="D146" s="345"/>
      <c r="E146" s="346"/>
      <c r="F146" s="346"/>
      <c r="G146" s="346"/>
      <c r="H146" s="346"/>
      <c r="I146" s="346"/>
      <c r="J146" s="346"/>
      <c r="K146" s="347"/>
      <c r="L146" s="23"/>
      <c r="M146" s="333"/>
      <c r="N146" s="334"/>
      <c r="O146" s="335"/>
      <c r="P146" s="107"/>
      <c r="Q146" s="339"/>
      <c r="R146" s="340"/>
      <c r="S146" s="341"/>
      <c r="T146" s="109"/>
    </row>
    <row r="147" spans="1:20" ht="17.399999999999999">
      <c r="A147" s="115" t="s">
        <v>108</v>
      </c>
      <c r="B147" s="116"/>
      <c r="C147" s="116"/>
      <c r="D147" s="116"/>
      <c r="E147" s="331" t="s">
        <v>112</v>
      </c>
      <c r="F147" s="332"/>
      <c r="G147" s="68"/>
      <c r="H147" s="68"/>
      <c r="I147" s="68"/>
      <c r="J147" s="68"/>
      <c r="K147" s="127"/>
      <c r="L147" s="23"/>
      <c r="M147" s="333"/>
      <c r="N147" s="334"/>
      <c r="O147" s="335"/>
      <c r="P147" s="107"/>
      <c r="Q147" s="339"/>
      <c r="R147" s="340"/>
      <c r="S147" s="341"/>
      <c r="T147" s="110"/>
    </row>
    <row r="148" spans="1:20" ht="17.399999999999999">
      <c r="A148" s="72" t="s">
        <v>102</v>
      </c>
      <c r="B148" s="358"/>
      <c r="C148" s="358"/>
      <c r="D148" s="358"/>
      <c r="E148" s="358"/>
      <c r="F148" s="358"/>
      <c r="G148" s="358"/>
      <c r="H148" s="358"/>
      <c r="I148" s="358"/>
      <c r="J148" s="358"/>
      <c r="K148" s="358" t="s">
        <v>111</v>
      </c>
      <c r="L148" s="23"/>
      <c r="M148" s="336">
        <v>0</v>
      </c>
      <c r="N148" s="337">
        <v>0</v>
      </c>
      <c r="O148" s="338">
        <v>0</v>
      </c>
      <c r="P148" s="113" t="s">
        <v>49</v>
      </c>
      <c r="Q148" s="342" t="s">
        <v>49</v>
      </c>
      <c r="R148" s="343"/>
      <c r="S148" s="344"/>
      <c r="T148" s="108" t="s">
        <v>49</v>
      </c>
    </row>
    <row r="149" spans="1:20" ht="17.399999999999999">
      <c r="A149" s="359" t="s">
        <v>107</v>
      </c>
      <c r="B149" s="360"/>
      <c r="C149" s="361"/>
      <c r="D149" s="345"/>
      <c r="E149" s="346"/>
      <c r="F149" s="346"/>
      <c r="G149" s="346"/>
      <c r="H149" s="346"/>
      <c r="I149" s="346"/>
      <c r="J149" s="346"/>
      <c r="K149" s="347"/>
      <c r="L149" s="23"/>
      <c r="M149" s="333"/>
      <c r="N149" s="334"/>
      <c r="O149" s="335"/>
      <c r="P149" s="107"/>
      <c r="Q149" s="339"/>
      <c r="R149" s="340"/>
      <c r="S149" s="341"/>
      <c r="T149" s="109"/>
    </row>
    <row r="150" spans="1:20" ht="17.399999999999999">
      <c r="A150" s="115" t="s">
        <v>108</v>
      </c>
      <c r="B150" s="116"/>
      <c r="C150" s="116"/>
      <c r="D150" s="116"/>
      <c r="E150" s="331" t="s">
        <v>112</v>
      </c>
      <c r="F150" s="332"/>
      <c r="G150" s="68"/>
      <c r="H150" s="68"/>
      <c r="I150" s="68"/>
      <c r="J150" s="68"/>
      <c r="K150" s="127"/>
      <c r="L150" s="23"/>
      <c r="M150" s="333"/>
      <c r="N150" s="334"/>
      <c r="O150" s="335"/>
      <c r="P150" s="107"/>
      <c r="Q150" s="339"/>
      <c r="R150" s="340"/>
      <c r="S150" s="341"/>
      <c r="T150" s="110"/>
    </row>
    <row r="151" spans="1:20" ht="17.399999999999999">
      <c r="A151" s="72" t="s">
        <v>102</v>
      </c>
      <c r="B151" s="358"/>
      <c r="C151" s="358"/>
      <c r="D151" s="358"/>
      <c r="E151" s="358"/>
      <c r="F151" s="358"/>
      <c r="G151" s="358"/>
      <c r="H151" s="358"/>
      <c r="I151" s="358"/>
      <c r="J151" s="358"/>
      <c r="K151" s="358" t="s">
        <v>111</v>
      </c>
      <c r="L151" s="23"/>
      <c r="M151" s="336">
        <v>0</v>
      </c>
      <c r="N151" s="337">
        <v>0</v>
      </c>
      <c r="O151" s="338">
        <v>0</v>
      </c>
      <c r="P151" s="113" t="s">
        <v>49</v>
      </c>
      <c r="Q151" s="342" t="s">
        <v>49</v>
      </c>
      <c r="R151" s="343"/>
      <c r="S151" s="344"/>
      <c r="T151" s="108" t="s">
        <v>49</v>
      </c>
    </row>
    <row r="152" spans="1:20" ht="17.399999999999999">
      <c r="A152" s="359" t="s">
        <v>107</v>
      </c>
      <c r="B152" s="360"/>
      <c r="C152" s="361"/>
      <c r="D152" s="345"/>
      <c r="E152" s="346"/>
      <c r="F152" s="346"/>
      <c r="G152" s="346"/>
      <c r="H152" s="346"/>
      <c r="I152" s="346"/>
      <c r="J152" s="346"/>
      <c r="K152" s="347"/>
      <c r="L152" s="23"/>
      <c r="M152" s="333"/>
      <c r="N152" s="334"/>
      <c r="O152" s="335"/>
      <c r="P152" s="107"/>
      <c r="Q152" s="339"/>
      <c r="R152" s="340"/>
      <c r="S152" s="341"/>
      <c r="T152" s="109"/>
    </row>
    <row r="153" spans="1:20" ht="17.399999999999999">
      <c r="A153" s="115" t="s">
        <v>108</v>
      </c>
      <c r="B153" s="116"/>
      <c r="C153" s="116"/>
      <c r="D153" s="116"/>
      <c r="E153" s="331"/>
      <c r="F153" s="332"/>
      <c r="G153" s="68"/>
      <c r="H153" s="68"/>
      <c r="I153" s="68"/>
      <c r="J153" s="68"/>
      <c r="K153" s="127"/>
      <c r="L153" s="23"/>
      <c r="M153" s="333"/>
      <c r="N153" s="334"/>
      <c r="O153" s="335"/>
      <c r="P153" s="107"/>
      <c r="Q153" s="339"/>
      <c r="R153" s="340"/>
      <c r="S153" s="341"/>
      <c r="T153" s="110"/>
    </row>
    <row r="154" spans="1:20" ht="17.399999999999999">
      <c r="A154" s="72" t="s">
        <v>102</v>
      </c>
      <c r="B154" s="358"/>
      <c r="C154" s="358"/>
      <c r="D154" s="358"/>
      <c r="E154" s="358"/>
      <c r="F154" s="358"/>
      <c r="G154" s="358"/>
      <c r="H154" s="358"/>
      <c r="I154" s="358"/>
      <c r="J154" s="358"/>
      <c r="K154" s="358"/>
      <c r="L154" s="23"/>
      <c r="M154" s="336">
        <v>0</v>
      </c>
      <c r="N154" s="337">
        <v>0</v>
      </c>
      <c r="O154" s="338">
        <v>0</v>
      </c>
      <c r="P154" s="113" t="s">
        <v>49</v>
      </c>
      <c r="Q154" s="342" t="s">
        <v>49</v>
      </c>
      <c r="R154" s="343"/>
      <c r="S154" s="344"/>
      <c r="T154" s="108" t="s">
        <v>49</v>
      </c>
    </row>
    <row r="155" spans="1:20" ht="17.399999999999999">
      <c r="A155" s="359" t="s">
        <v>107</v>
      </c>
      <c r="B155" s="360"/>
      <c r="C155" s="361"/>
      <c r="D155" s="345"/>
      <c r="E155" s="346"/>
      <c r="F155" s="346"/>
      <c r="G155" s="346"/>
      <c r="H155" s="346"/>
      <c r="I155" s="346"/>
      <c r="J155" s="346"/>
      <c r="K155" s="347"/>
      <c r="L155" s="23"/>
      <c r="M155" s="333"/>
      <c r="N155" s="334"/>
      <c r="O155" s="335"/>
      <c r="P155" s="107"/>
      <c r="Q155" s="339"/>
      <c r="R155" s="340"/>
      <c r="S155" s="341"/>
      <c r="T155" s="109"/>
    </row>
    <row r="156" spans="1:20" ht="17.399999999999999">
      <c r="A156" s="115" t="s">
        <v>108</v>
      </c>
      <c r="B156" s="116"/>
      <c r="C156" s="116"/>
      <c r="D156" s="116"/>
      <c r="E156" s="331"/>
      <c r="F156" s="332"/>
      <c r="G156" s="68"/>
      <c r="H156" s="68"/>
      <c r="I156" s="68"/>
      <c r="J156" s="68"/>
      <c r="K156" s="127"/>
      <c r="L156" s="23"/>
      <c r="M156" s="333"/>
      <c r="N156" s="334"/>
      <c r="O156" s="335"/>
      <c r="P156" s="107"/>
      <c r="Q156" s="339"/>
      <c r="R156" s="340"/>
      <c r="S156" s="341"/>
      <c r="T156" s="110"/>
    </row>
    <row r="157" spans="1:20" ht="17.399999999999999">
      <c r="A157" s="72" t="s">
        <v>102</v>
      </c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23"/>
      <c r="M157" s="336">
        <v>0</v>
      </c>
      <c r="N157" s="337">
        <v>0</v>
      </c>
      <c r="O157" s="338">
        <v>0</v>
      </c>
      <c r="P157" s="113" t="s">
        <v>49</v>
      </c>
      <c r="Q157" s="342" t="s">
        <v>49</v>
      </c>
      <c r="R157" s="343"/>
      <c r="S157" s="344"/>
      <c r="T157" s="108" t="s">
        <v>49</v>
      </c>
    </row>
    <row r="158" spans="1:20" ht="17.399999999999999">
      <c r="A158" s="359" t="s">
        <v>107</v>
      </c>
      <c r="B158" s="360"/>
      <c r="C158" s="361"/>
      <c r="D158" s="345"/>
      <c r="E158" s="346"/>
      <c r="F158" s="346"/>
      <c r="G158" s="346"/>
      <c r="H158" s="346"/>
      <c r="I158" s="346"/>
      <c r="J158" s="346"/>
      <c r="K158" s="347"/>
      <c r="L158" s="23"/>
      <c r="M158" s="333"/>
      <c r="N158" s="334"/>
      <c r="O158" s="335"/>
      <c r="P158" s="107"/>
      <c r="Q158" s="339"/>
      <c r="R158" s="340"/>
      <c r="S158" s="341"/>
      <c r="T158" s="109"/>
    </row>
    <row r="159" spans="1:20" ht="17.399999999999999">
      <c r="A159" s="115" t="s">
        <v>108</v>
      </c>
      <c r="B159" s="116"/>
      <c r="C159" s="116"/>
      <c r="D159" s="116"/>
      <c r="E159" s="331"/>
      <c r="F159" s="332"/>
      <c r="G159" s="68"/>
      <c r="H159" s="68"/>
      <c r="I159" s="68"/>
      <c r="J159" s="68"/>
      <c r="K159" s="127"/>
      <c r="L159" s="23"/>
      <c r="M159" s="333"/>
      <c r="N159" s="334"/>
      <c r="O159" s="335"/>
      <c r="P159" s="107"/>
      <c r="Q159" s="339"/>
      <c r="R159" s="340"/>
      <c r="S159" s="341"/>
      <c r="T159" s="110"/>
    </row>
    <row r="160" spans="1:20" ht="17.399999999999999">
      <c r="A160" s="72" t="s">
        <v>102</v>
      </c>
      <c r="B160" s="358"/>
      <c r="C160" s="358"/>
      <c r="D160" s="358"/>
      <c r="E160" s="358"/>
      <c r="F160" s="358"/>
      <c r="G160" s="358"/>
      <c r="H160" s="358"/>
      <c r="I160" s="358"/>
      <c r="J160" s="358"/>
      <c r="K160" s="358"/>
      <c r="L160" s="23"/>
      <c r="M160" s="336">
        <v>0</v>
      </c>
      <c r="N160" s="337"/>
      <c r="O160" s="338"/>
      <c r="P160" s="113" t="s">
        <v>49</v>
      </c>
      <c r="Q160" s="342" t="s">
        <v>49</v>
      </c>
      <c r="R160" s="343"/>
      <c r="S160" s="344"/>
      <c r="T160" s="108" t="s">
        <v>49</v>
      </c>
    </row>
    <row r="161" spans="1:20" ht="17.399999999999999">
      <c r="A161" s="359" t="s">
        <v>107</v>
      </c>
      <c r="B161" s="360"/>
      <c r="C161" s="361"/>
      <c r="D161" s="345"/>
      <c r="E161" s="346"/>
      <c r="F161" s="346"/>
      <c r="G161" s="346"/>
      <c r="H161" s="346"/>
      <c r="I161" s="346"/>
      <c r="J161" s="346"/>
      <c r="K161" s="347"/>
      <c r="L161" s="23"/>
      <c r="M161" s="333"/>
      <c r="N161" s="334"/>
      <c r="O161" s="335"/>
      <c r="P161" s="107"/>
      <c r="Q161" s="339"/>
      <c r="R161" s="340"/>
      <c r="S161" s="341"/>
      <c r="T161" s="109"/>
    </row>
    <row r="162" spans="1:20" ht="17.399999999999999">
      <c r="A162" s="115" t="s">
        <v>108</v>
      </c>
      <c r="B162" s="116"/>
      <c r="C162" s="116"/>
      <c r="D162" s="116"/>
      <c r="E162" s="331"/>
      <c r="F162" s="332"/>
      <c r="G162" s="68"/>
      <c r="H162" s="68"/>
      <c r="I162" s="68"/>
      <c r="J162" s="68"/>
      <c r="K162" s="127"/>
      <c r="L162" s="23"/>
      <c r="M162" s="333"/>
      <c r="N162" s="334"/>
      <c r="O162" s="335"/>
      <c r="P162" s="107"/>
      <c r="Q162" s="339"/>
      <c r="R162" s="340"/>
      <c r="S162" s="341"/>
      <c r="T162" s="110"/>
    </row>
    <row r="163" spans="1:20" ht="17.399999999999999">
      <c r="A163" s="72" t="s">
        <v>102</v>
      </c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23"/>
      <c r="M163" s="336">
        <v>0</v>
      </c>
      <c r="N163" s="337">
        <v>0</v>
      </c>
      <c r="O163" s="338">
        <v>0</v>
      </c>
      <c r="P163" s="113" t="s">
        <v>49</v>
      </c>
      <c r="Q163" s="342" t="s">
        <v>49</v>
      </c>
      <c r="R163" s="343"/>
      <c r="S163" s="344"/>
      <c r="T163" s="108" t="s">
        <v>49</v>
      </c>
    </row>
    <row r="164" spans="1:20" ht="17.399999999999999">
      <c r="A164" s="359" t="s">
        <v>107</v>
      </c>
      <c r="B164" s="360"/>
      <c r="C164" s="361"/>
      <c r="D164" s="345"/>
      <c r="E164" s="346"/>
      <c r="F164" s="346"/>
      <c r="G164" s="346"/>
      <c r="H164" s="346"/>
      <c r="I164" s="346"/>
      <c r="J164" s="346"/>
      <c r="K164" s="347"/>
      <c r="L164" s="23"/>
      <c r="M164" s="333"/>
      <c r="N164" s="334"/>
      <c r="O164" s="335"/>
      <c r="P164" s="107"/>
      <c r="Q164" s="339"/>
      <c r="R164" s="340"/>
      <c r="S164" s="341"/>
      <c r="T164" s="109"/>
    </row>
    <row r="165" spans="1:20" ht="17.399999999999999">
      <c r="A165" s="115" t="s">
        <v>108</v>
      </c>
      <c r="B165" s="116"/>
      <c r="C165" s="116"/>
      <c r="D165" s="116"/>
      <c r="E165" s="331"/>
      <c r="F165" s="332"/>
      <c r="G165" s="68"/>
      <c r="H165" s="68"/>
      <c r="I165" s="68"/>
      <c r="J165" s="68"/>
      <c r="K165" s="127"/>
      <c r="L165" s="23"/>
      <c r="M165" s="333"/>
      <c r="N165" s="334"/>
      <c r="O165" s="335"/>
      <c r="P165" s="107"/>
      <c r="Q165" s="339"/>
      <c r="R165" s="340"/>
      <c r="S165" s="341"/>
      <c r="T165" s="110"/>
    </row>
    <row r="166" spans="1:20" ht="17.399999999999999">
      <c r="A166" s="72" t="s">
        <v>102</v>
      </c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23"/>
      <c r="M166" s="336">
        <v>0</v>
      </c>
      <c r="N166" s="337">
        <v>0</v>
      </c>
      <c r="O166" s="338">
        <v>0</v>
      </c>
      <c r="P166" s="113" t="s">
        <v>49</v>
      </c>
      <c r="Q166" s="342" t="s">
        <v>49</v>
      </c>
      <c r="R166" s="343"/>
      <c r="S166" s="344"/>
      <c r="T166" s="108" t="s">
        <v>49</v>
      </c>
    </row>
    <row r="167" spans="1:20" ht="17.399999999999999">
      <c r="A167" s="359" t="s">
        <v>107</v>
      </c>
      <c r="B167" s="360"/>
      <c r="C167" s="361"/>
      <c r="D167" s="345"/>
      <c r="E167" s="346"/>
      <c r="F167" s="346"/>
      <c r="G167" s="346"/>
      <c r="H167" s="346"/>
      <c r="I167" s="346"/>
      <c r="J167" s="346"/>
      <c r="K167" s="347"/>
      <c r="L167" s="23"/>
      <c r="M167" s="333"/>
      <c r="N167" s="334"/>
      <c r="O167" s="335"/>
      <c r="P167" s="107"/>
      <c r="Q167" s="339"/>
      <c r="R167" s="340"/>
      <c r="S167" s="341"/>
      <c r="T167" s="109"/>
    </row>
    <row r="168" spans="1:20" ht="17.399999999999999">
      <c r="A168" s="115" t="s">
        <v>108</v>
      </c>
      <c r="B168" s="116"/>
      <c r="C168" s="116"/>
      <c r="D168" s="116"/>
      <c r="E168" s="331"/>
      <c r="F168" s="332"/>
      <c r="G168" s="68"/>
      <c r="H168" s="68"/>
      <c r="I168" s="68"/>
      <c r="J168" s="68"/>
      <c r="K168" s="127"/>
      <c r="L168" s="23"/>
      <c r="M168" s="333"/>
      <c r="N168" s="334"/>
      <c r="O168" s="335"/>
      <c r="P168" s="107"/>
      <c r="Q168" s="339"/>
      <c r="R168" s="340"/>
      <c r="S168" s="341"/>
      <c r="T168" s="110"/>
    </row>
    <row r="169" spans="1:20" ht="17.399999999999999">
      <c r="A169" s="72" t="s">
        <v>102</v>
      </c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23"/>
      <c r="M169" s="336">
        <v>0</v>
      </c>
      <c r="N169" s="337"/>
      <c r="O169" s="338"/>
      <c r="P169" s="113" t="s">
        <v>49</v>
      </c>
      <c r="Q169" s="342" t="s">
        <v>49</v>
      </c>
      <c r="R169" s="343"/>
      <c r="S169" s="344"/>
      <c r="T169" s="108" t="s">
        <v>49</v>
      </c>
    </row>
    <row r="170" spans="1:20" ht="17.399999999999999">
      <c r="A170" s="359" t="s">
        <v>107</v>
      </c>
      <c r="B170" s="360"/>
      <c r="C170" s="361"/>
      <c r="D170" s="345"/>
      <c r="E170" s="346"/>
      <c r="F170" s="346"/>
      <c r="G170" s="346"/>
      <c r="H170" s="346"/>
      <c r="I170" s="346"/>
      <c r="J170" s="346"/>
      <c r="K170" s="347"/>
      <c r="L170" s="23"/>
      <c r="M170" s="333"/>
      <c r="N170" s="334"/>
      <c r="O170" s="335"/>
      <c r="P170" s="107"/>
      <c r="Q170" s="339"/>
      <c r="R170" s="340"/>
      <c r="S170" s="341"/>
      <c r="T170" s="109"/>
    </row>
    <row r="171" spans="1:20" ht="17.399999999999999">
      <c r="A171" s="115" t="s">
        <v>108</v>
      </c>
      <c r="B171" s="116"/>
      <c r="C171" s="116"/>
      <c r="D171" s="116"/>
      <c r="E171" s="331"/>
      <c r="F171" s="332"/>
      <c r="G171" s="68"/>
      <c r="H171" s="68"/>
      <c r="I171" s="68"/>
      <c r="J171" s="68"/>
      <c r="K171" s="127"/>
      <c r="L171" s="23"/>
      <c r="M171" s="333"/>
      <c r="N171" s="334"/>
      <c r="O171" s="335"/>
      <c r="P171" s="107"/>
      <c r="Q171" s="339"/>
      <c r="R171" s="340"/>
      <c r="S171" s="341"/>
      <c r="T171" s="110"/>
    </row>
    <row r="172" spans="1:20" ht="17.399999999999999">
      <c r="A172" s="72" t="s">
        <v>102</v>
      </c>
      <c r="B172" s="358"/>
      <c r="C172" s="358"/>
      <c r="D172" s="358"/>
      <c r="E172" s="358"/>
      <c r="F172" s="358"/>
      <c r="G172" s="358"/>
      <c r="H172" s="358"/>
      <c r="I172" s="358"/>
      <c r="J172" s="358"/>
      <c r="K172" s="358"/>
      <c r="L172" s="23"/>
      <c r="M172" s="336">
        <v>0</v>
      </c>
      <c r="N172" s="337">
        <v>0</v>
      </c>
      <c r="O172" s="338">
        <v>0</v>
      </c>
      <c r="P172" s="113" t="s">
        <v>49</v>
      </c>
      <c r="Q172" s="342" t="s">
        <v>49</v>
      </c>
      <c r="R172" s="343"/>
      <c r="S172" s="344"/>
      <c r="T172" s="108" t="s">
        <v>49</v>
      </c>
    </row>
    <row r="173" spans="1:20" ht="17.399999999999999">
      <c r="A173" s="359" t="s">
        <v>107</v>
      </c>
      <c r="B173" s="360"/>
      <c r="C173" s="361"/>
      <c r="D173" s="348"/>
      <c r="E173" s="348"/>
      <c r="F173" s="348"/>
      <c r="G173" s="348"/>
      <c r="H173" s="348"/>
      <c r="I173" s="348"/>
      <c r="J173" s="348"/>
      <c r="K173" s="348"/>
      <c r="L173" s="25"/>
      <c r="M173" s="333"/>
      <c r="N173" s="334"/>
      <c r="O173" s="335"/>
      <c r="P173" s="107"/>
      <c r="Q173" s="339"/>
      <c r="R173" s="340"/>
      <c r="S173" s="341"/>
      <c r="T173" s="109"/>
    </row>
    <row r="174" spans="1:20" ht="17.399999999999999">
      <c r="A174" s="204" t="s">
        <v>108</v>
      </c>
      <c r="B174" s="116"/>
      <c r="C174" s="116"/>
      <c r="D174" s="116"/>
      <c r="E174" s="363"/>
      <c r="F174" s="363"/>
      <c r="G174" s="68"/>
      <c r="H174" s="68"/>
      <c r="I174" s="68"/>
      <c r="J174" s="68"/>
      <c r="K174" s="125"/>
      <c r="L174" s="25"/>
      <c r="M174" s="333"/>
      <c r="N174" s="334"/>
      <c r="O174" s="335"/>
      <c r="P174" s="107"/>
      <c r="Q174" s="340"/>
      <c r="R174" s="340"/>
      <c r="S174" s="340"/>
      <c r="T174" s="112"/>
    </row>
    <row r="175" spans="1:20" ht="17.399999999999999">
      <c r="A175" s="72" t="s">
        <v>102</v>
      </c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23"/>
      <c r="M175" s="336">
        <v>0</v>
      </c>
      <c r="N175" s="337">
        <v>0</v>
      </c>
      <c r="O175" s="338">
        <v>0</v>
      </c>
      <c r="P175" s="113" t="s">
        <v>49</v>
      </c>
      <c r="Q175" s="342" t="s">
        <v>49</v>
      </c>
      <c r="R175" s="343"/>
      <c r="S175" s="344"/>
      <c r="T175" s="108" t="s">
        <v>49</v>
      </c>
    </row>
    <row r="176" spans="1:20" ht="17.399999999999999">
      <c r="A176" s="359" t="s">
        <v>107</v>
      </c>
      <c r="B176" s="360"/>
      <c r="C176" s="361"/>
      <c r="D176" s="348"/>
      <c r="E176" s="348"/>
      <c r="F176" s="348"/>
      <c r="G176" s="348"/>
      <c r="H176" s="348"/>
      <c r="I176" s="348"/>
      <c r="J176" s="348"/>
      <c r="K176" s="348"/>
      <c r="L176" s="23"/>
      <c r="M176" s="333"/>
      <c r="N176" s="334"/>
      <c r="O176" s="335"/>
      <c r="P176" s="107"/>
      <c r="Q176" s="339"/>
      <c r="R176" s="340"/>
      <c r="S176" s="341"/>
      <c r="T176" s="109"/>
    </row>
    <row r="177" spans="1:20" ht="18" thickBot="1">
      <c r="A177" s="204" t="s">
        <v>108</v>
      </c>
      <c r="B177" s="116"/>
      <c r="C177" s="116"/>
      <c r="D177" s="116"/>
      <c r="E177" s="363"/>
      <c r="F177" s="363"/>
      <c r="G177" s="68"/>
      <c r="H177" s="68"/>
      <c r="I177" s="68"/>
      <c r="J177" s="74"/>
      <c r="K177" s="128"/>
      <c r="L177" s="23"/>
      <c r="M177" s="333"/>
      <c r="N177" s="334"/>
      <c r="O177" s="335"/>
      <c r="P177" s="107"/>
      <c r="Q177" s="339"/>
      <c r="R177" s="340"/>
      <c r="S177" s="341"/>
      <c r="T177" s="110"/>
    </row>
    <row r="178" spans="1:20" ht="17.399999999999999">
      <c r="A178" s="72" t="s">
        <v>102</v>
      </c>
      <c r="B178" s="358"/>
      <c r="C178" s="358"/>
      <c r="D178" s="358"/>
      <c r="E178" s="358"/>
      <c r="F178" s="358"/>
      <c r="G178" s="358"/>
      <c r="H178" s="358"/>
      <c r="I178" s="358"/>
      <c r="J178" s="358"/>
      <c r="K178" s="358"/>
      <c r="L178" s="23"/>
      <c r="M178" s="336">
        <v>0</v>
      </c>
      <c r="N178" s="337">
        <v>0</v>
      </c>
      <c r="O178" s="338">
        <v>0</v>
      </c>
      <c r="P178" s="113" t="s">
        <v>49</v>
      </c>
      <c r="Q178" s="342" t="s">
        <v>49</v>
      </c>
      <c r="R178" s="343"/>
      <c r="S178" s="344"/>
      <c r="T178" s="108" t="s">
        <v>49</v>
      </c>
    </row>
    <row r="179" spans="1:20" ht="17.399999999999999">
      <c r="A179" s="359" t="s">
        <v>107</v>
      </c>
      <c r="B179" s="360"/>
      <c r="C179" s="361"/>
      <c r="D179" s="345"/>
      <c r="E179" s="346"/>
      <c r="F179" s="346"/>
      <c r="G179" s="346"/>
      <c r="H179" s="346"/>
      <c r="I179" s="346"/>
      <c r="J179" s="346"/>
      <c r="K179" s="362"/>
      <c r="L179" s="23"/>
      <c r="M179" s="333"/>
      <c r="N179" s="334"/>
      <c r="O179" s="335"/>
      <c r="P179" s="107"/>
      <c r="Q179" s="339"/>
      <c r="R179" s="340"/>
      <c r="S179" s="341"/>
      <c r="T179" s="109"/>
    </row>
    <row r="180" spans="1:20" ht="18" thickBot="1">
      <c r="A180" s="117" t="s">
        <v>108</v>
      </c>
      <c r="B180" s="118"/>
      <c r="C180" s="118"/>
      <c r="D180" s="118"/>
      <c r="E180" s="364" t="s">
        <v>110</v>
      </c>
      <c r="F180" s="365"/>
      <c r="G180" s="74"/>
      <c r="H180" s="74"/>
      <c r="I180" s="74"/>
      <c r="J180" s="74"/>
      <c r="K180" s="126"/>
      <c r="L180" s="76"/>
      <c r="M180" s="355"/>
      <c r="N180" s="356"/>
      <c r="O180" s="357"/>
      <c r="P180" s="177"/>
      <c r="Q180" s="352"/>
      <c r="R180" s="353"/>
      <c r="S180" s="354"/>
      <c r="T180" s="105"/>
    </row>
    <row r="181" spans="1:20" ht="18" thickBot="1">
      <c r="A181" s="72"/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23"/>
      <c r="M181" s="333">
        <f>SUM(M143:O180)</f>
        <v>0</v>
      </c>
      <c r="N181" s="334"/>
      <c r="O181" s="335"/>
      <c r="P181" s="113"/>
      <c r="Q181" s="342"/>
      <c r="R181" s="343"/>
      <c r="S181" s="344"/>
      <c r="T181" s="108"/>
    </row>
    <row r="182" spans="1:20" ht="17.399999999999999">
      <c r="A182" s="77" t="s">
        <v>102</v>
      </c>
      <c r="B182" s="519"/>
      <c r="C182" s="519"/>
      <c r="D182" s="519"/>
      <c r="E182" s="519"/>
      <c r="F182" s="519"/>
      <c r="G182" s="519"/>
      <c r="H182" s="519"/>
      <c r="I182" s="519"/>
      <c r="J182" s="519"/>
      <c r="K182" s="519"/>
      <c r="L182" s="34"/>
      <c r="M182" s="366"/>
      <c r="N182" s="367">
        <v>0</v>
      </c>
      <c r="O182" s="368">
        <v>0</v>
      </c>
      <c r="P182" s="123" t="s">
        <v>49</v>
      </c>
      <c r="Q182" s="349" t="s">
        <v>49</v>
      </c>
      <c r="R182" s="350"/>
      <c r="S182" s="351"/>
      <c r="T182" s="124" t="s">
        <v>49</v>
      </c>
    </row>
    <row r="183" spans="1:20" ht="17.399999999999999">
      <c r="A183" s="359" t="s">
        <v>107</v>
      </c>
      <c r="B183" s="360"/>
      <c r="C183" s="361"/>
      <c r="D183" s="345"/>
      <c r="E183" s="346"/>
      <c r="F183" s="346"/>
      <c r="G183" s="346"/>
      <c r="H183" s="346"/>
      <c r="I183" s="346"/>
      <c r="J183" s="346"/>
      <c r="K183" s="347"/>
      <c r="L183" s="23"/>
      <c r="M183" s="333"/>
      <c r="N183" s="334"/>
      <c r="O183" s="335"/>
      <c r="P183" s="107"/>
      <c r="Q183" s="339"/>
      <c r="R183" s="340"/>
      <c r="S183" s="341"/>
      <c r="T183" s="109"/>
    </row>
    <row r="184" spans="1:20" ht="17.399999999999999">
      <c r="A184" s="115" t="s">
        <v>108</v>
      </c>
      <c r="B184" s="116"/>
      <c r="C184" s="116"/>
      <c r="D184" s="116"/>
      <c r="E184" s="331" t="s">
        <v>112</v>
      </c>
      <c r="F184" s="332"/>
      <c r="G184" s="68"/>
      <c r="H184" s="68"/>
      <c r="I184" s="68"/>
      <c r="J184" s="68"/>
      <c r="K184" s="127"/>
      <c r="L184" s="25"/>
      <c r="M184" s="333"/>
      <c r="N184" s="334"/>
      <c r="O184" s="335"/>
      <c r="P184" s="107"/>
      <c r="Q184" s="339"/>
      <c r="R184" s="340"/>
      <c r="S184" s="341"/>
      <c r="T184" s="110"/>
    </row>
    <row r="185" spans="1:20" ht="17.399999999999999">
      <c r="A185" s="72" t="s">
        <v>102</v>
      </c>
      <c r="B185" s="358"/>
      <c r="C185" s="358"/>
      <c r="D185" s="358"/>
      <c r="E185" s="358"/>
      <c r="F185" s="358"/>
      <c r="G185" s="358"/>
      <c r="H185" s="358"/>
      <c r="I185" s="358"/>
      <c r="J185" s="358"/>
      <c r="K185" s="358"/>
      <c r="L185" s="25"/>
      <c r="M185" s="336">
        <v>0</v>
      </c>
      <c r="N185" s="337">
        <v>0</v>
      </c>
      <c r="O185" s="338">
        <v>0</v>
      </c>
      <c r="P185" s="113" t="s">
        <v>49</v>
      </c>
      <c r="Q185" s="342" t="s">
        <v>49</v>
      </c>
      <c r="R185" s="343"/>
      <c r="S185" s="344"/>
      <c r="T185" s="108" t="s">
        <v>49</v>
      </c>
    </row>
    <row r="186" spans="1:20" ht="17.399999999999999">
      <c r="A186" s="359" t="s">
        <v>107</v>
      </c>
      <c r="B186" s="360"/>
      <c r="C186" s="361"/>
      <c r="D186" s="345"/>
      <c r="E186" s="346"/>
      <c r="F186" s="346"/>
      <c r="G186" s="346"/>
      <c r="H186" s="346"/>
      <c r="I186" s="346"/>
      <c r="J186" s="346"/>
      <c r="K186" s="347"/>
      <c r="L186" s="23"/>
      <c r="M186" s="333"/>
      <c r="N186" s="334"/>
      <c r="O186" s="335"/>
      <c r="P186" s="107"/>
      <c r="Q186" s="339"/>
      <c r="R186" s="340"/>
      <c r="S186" s="341"/>
      <c r="T186" s="109"/>
    </row>
    <row r="187" spans="1:20" ht="17.399999999999999">
      <c r="A187" s="115" t="s">
        <v>108</v>
      </c>
      <c r="B187" s="116"/>
      <c r="C187" s="116"/>
      <c r="D187" s="116"/>
      <c r="E187" s="331" t="s">
        <v>112</v>
      </c>
      <c r="F187" s="332"/>
      <c r="G187" s="68"/>
      <c r="H187" s="68"/>
      <c r="I187" s="68"/>
      <c r="J187" s="68"/>
      <c r="K187" s="127"/>
      <c r="L187" s="23"/>
      <c r="M187" s="333"/>
      <c r="N187" s="334"/>
      <c r="O187" s="335"/>
      <c r="P187" s="107"/>
      <c r="Q187" s="339"/>
      <c r="R187" s="340"/>
      <c r="S187" s="341"/>
      <c r="T187" s="110"/>
    </row>
    <row r="188" spans="1:20" ht="17.399999999999999">
      <c r="A188" s="72" t="s">
        <v>102</v>
      </c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23"/>
      <c r="M188" s="336">
        <v>0</v>
      </c>
      <c r="N188" s="337">
        <v>0</v>
      </c>
      <c r="O188" s="338">
        <v>0</v>
      </c>
      <c r="P188" s="113" t="s">
        <v>49</v>
      </c>
      <c r="Q188" s="342" t="s">
        <v>49</v>
      </c>
      <c r="R188" s="343"/>
      <c r="S188" s="344"/>
      <c r="T188" s="108" t="s">
        <v>49</v>
      </c>
    </row>
    <row r="189" spans="1:20" ht="17.399999999999999">
      <c r="A189" s="359" t="s">
        <v>107</v>
      </c>
      <c r="B189" s="360"/>
      <c r="C189" s="361"/>
      <c r="D189" s="345"/>
      <c r="E189" s="346"/>
      <c r="F189" s="346"/>
      <c r="G189" s="346"/>
      <c r="H189" s="346"/>
      <c r="I189" s="346"/>
      <c r="J189" s="346"/>
      <c r="K189" s="347"/>
      <c r="L189" s="23"/>
      <c r="M189" s="333"/>
      <c r="N189" s="334"/>
      <c r="O189" s="335"/>
      <c r="P189" s="107"/>
      <c r="Q189" s="339"/>
      <c r="R189" s="340"/>
      <c r="S189" s="341"/>
      <c r="T189" s="109"/>
    </row>
    <row r="190" spans="1:20" ht="17.399999999999999">
      <c r="A190" s="115" t="s">
        <v>108</v>
      </c>
      <c r="B190" s="116"/>
      <c r="C190" s="116"/>
      <c r="D190" s="116"/>
      <c r="E190" s="331" t="s">
        <v>112</v>
      </c>
      <c r="F190" s="332"/>
      <c r="G190" s="68"/>
      <c r="H190" s="68"/>
      <c r="I190" s="68"/>
      <c r="J190" s="68"/>
      <c r="K190" s="127"/>
      <c r="L190" s="23"/>
      <c r="M190" s="333"/>
      <c r="N190" s="334"/>
      <c r="O190" s="335"/>
      <c r="P190" s="107"/>
      <c r="Q190" s="339"/>
      <c r="R190" s="340"/>
      <c r="S190" s="341"/>
      <c r="T190" s="110"/>
    </row>
    <row r="191" spans="1:20" ht="17.399999999999999">
      <c r="A191" s="72" t="s">
        <v>102</v>
      </c>
      <c r="B191" s="358"/>
      <c r="C191" s="358"/>
      <c r="D191" s="358"/>
      <c r="E191" s="358"/>
      <c r="F191" s="358"/>
      <c r="G191" s="358"/>
      <c r="H191" s="358"/>
      <c r="I191" s="358"/>
      <c r="J191" s="358"/>
      <c r="K191" s="358" t="s">
        <v>111</v>
      </c>
      <c r="L191" s="23"/>
      <c r="M191" s="336">
        <v>0</v>
      </c>
      <c r="N191" s="337">
        <v>0</v>
      </c>
      <c r="O191" s="338">
        <v>0</v>
      </c>
      <c r="P191" s="113" t="s">
        <v>49</v>
      </c>
      <c r="Q191" s="342" t="s">
        <v>49</v>
      </c>
      <c r="R191" s="343"/>
      <c r="S191" s="344"/>
      <c r="T191" s="108" t="s">
        <v>49</v>
      </c>
    </row>
    <row r="192" spans="1:20" ht="17.399999999999999">
      <c r="A192" s="359" t="s">
        <v>107</v>
      </c>
      <c r="B192" s="360"/>
      <c r="C192" s="361"/>
      <c r="D192" s="345"/>
      <c r="E192" s="346"/>
      <c r="F192" s="346"/>
      <c r="G192" s="346"/>
      <c r="H192" s="346"/>
      <c r="I192" s="346"/>
      <c r="J192" s="346"/>
      <c r="K192" s="347"/>
      <c r="L192" s="23"/>
      <c r="M192" s="333"/>
      <c r="N192" s="334"/>
      <c r="O192" s="335"/>
      <c r="P192" s="107"/>
      <c r="Q192" s="339"/>
      <c r="R192" s="340"/>
      <c r="S192" s="341"/>
      <c r="T192" s="109"/>
    </row>
    <row r="193" spans="1:20" ht="17.399999999999999">
      <c r="A193" s="115" t="s">
        <v>108</v>
      </c>
      <c r="B193" s="116"/>
      <c r="C193" s="116"/>
      <c r="D193" s="116"/>
      <c r="E193" s="331" t="s">
        <v>112</v>
      </c>
      <c r="F193" s="332"/>
      <c r="G193" s="68"/>
      <c r="H193" s="68"/>
      <c r="I193" s="68"/>
      <c r="J193" s="68"/>
      <c r="K193" s="127"/>
      <c r="L193" s="23"/>
      <c r="M193" s="333"/>
      <c r="N193" s="334"/>
      <c r="O193" s="335"/>
      <c r="P193" s="107"/>
      <c r="Q193" s="339"/>
      <c r="R193" s="340"/>
      <c r="S193" s="341"/>
      <c r="T193" s="110"/>
    </row>
    <row r="194" spans="1:20" ht="17.399999999999999">
      <c r="A194" s="72" t="s">
        <v>102</v>
      </c>
      <c r="B194" s="358"/>
      <c r="C194" s="358"/>
      <c r="D194" s="358"/>
      <c r="E194" s="358"/>
      <c r="F194" s="358"/>
      <c r="G194" s="358"/>
      <c r="H194" s="358"/>
      <c r="I194" s="358"/>
      <c r="J194" s="358"/>
      <c r="K194" s="358" t="s">
        <v>111</v>
      </c>
      <c r="L194" s="23"/>
      <c r="M194" s="336">
        <v>0</v>
      </c>
      <c r="N194" s="337">
        <v>0</v>
      </c>
      <c r="O194" s="338">
        <v>0</v>
      </c>
      <c r="P194" s="113" t="s">
        <v>49</v>
      </c>
      <c r="Q194" s="342" t="s">
        <v>49</v>
      </c>
      <c r="R194" s="343"/>
      <c r="S194" s="344"/>
      <c r="T194" s="108" t="s">
        <v>49</v>
      </c>
    </row>
    <row r="195" spans="1:20" ht="17.399999999999999">
      <c r="A195" s="359" t="s">
        <v>107</v>
      </c>
      <c r="B195" s="360"/>
      <c r="C195" s="361"/>
      <c r="D195" s="345"/>
      <c r="E195" s="346"/>
      <c r="F195" s="346"/>
      <c r="G195" s="346"/>
      <c r="H195" s="346"/>
      <c r="I195" s="346"/>
      <c r="J195" s="346"/>
      <c r="K195" s="347"/>
      <c r="L195" s="23"/>
      <c r="M195" s="333"/>
      <c r="N195" s="334"/>
      <c r="O195" s="335"/>
      <c r="P195" s="107"/>
      <c r="Q195" s="339"/>
      <c r="R195" s="340"/>
      <c r="S195" s="341"/>
      <c r="T195" s="109"/>
    </row>
    <row r="196" spans="1:20" ht="17.399999999999999">
      <c r="A196" s="115" t="s">
        <v>108</v>
      </c>
      <c r="B196" s="116"/>
      <c r="C196" s="116"/>
      <c r="D196" s="116"/>
      <c r="E196" s="331" t="s">
        <v>112</v>
      </c>
      <c r="F196" s="332"/>
      <c r="G196" s="68"/>
      <c r="H196" s="68"/>
      <c r="I196" s="68"/>
      <c r="J196" s="68"/>
      <c r="K196" s="127"/>
      <c r="L196" s="23"/>
      <c r="M196" s="333"/>
      <c r="N196" s="334"/>
      <c r="O196" s="335"/>
      <c r="P196" s="107"/>
      <c r="Q196" s="339"/>
      <c r="R196" s="340"/>
      <c r="S196" s="341"/>
      <c r="T196" s="110"/>
    </row>
    <row r="197" spans="1:20" ht="17.399999999999999">
      <c r="A197" s="72" t="s">
        <v>102</v>
      </c>
      <c r="B197" s="358"/>
      <c r="C197" s="358"/>
      <c r="D197" s="358"/>
      <c r="E197" s="358"/>
      <c r="F197" s="358"/>
      <c r="G197" s="358"/>
      <c r="H197" s="358"/>
      <c r="I197" s="358"/>
      <c r="J197" s="358"/>
      <c r="K197" s="358" t="s">
        <v>111</v>
      </c>
      <c r="L197" s="23"/>
      <c r="M197" s="336">
        <v>0</v>
      </c>
      <c r="N197" s="337">
        <v>0</v>
      </c>
      <c r="O197" s="338">
        <v>0</v>
      </c>
      <c r="P197" s="113" t="s">
        <v>49</v>
      </c>
      <c r="Q197" s="342" t="s">
        <v>49</v>
      </c>
      <c r="R197" s="343"/>
      <c r="S197" s="344"/>
      <c r="T197" s="108" t="s">
        <v>49</v>
      </c>
    </row>
    <row r="198" spans="1:20" ht="17.399999999999999">
      <c r="A198" s="359" t="s">
        <v>107</v>
      </c>
      <c r="B198" s="360"/>
      <c r="C198" s="361"/>
      <c r="D198" s="345"/>
      <c r="E198" s="346"/>
      <c r="F198" s="346"/>
      <c r="G198" s="346"/>
      <c r="H198" s="346"/>
      <c r="I198" s="346"/>
      <c r="J198" s="346"/>
      <c r="K198" s="347"/>
      <c r="L198" s="23"/>
      <c r="M198" s="333"/>
      <c r="N198" s="334"/>
      <c r="O198" s="335"/>
      <c r="P198" s="107"/>
      <c r="Q198" s="339"/>
      <c r="R198" s="340"/>
      <c r="S198" s="341"/>
      <c r="T198" s="109"/>
    </row>
    <row r="199" spans="1:20" ht="17.399999999999999">
      <c r="A199" s="115" t="s">
        <v>108</v>
      </c>
      <c r="B199" s="116"/>
      <c r="C199" s="116"/>
      <c r="D199" s="116"/>
      <c r="E199" s="331"/>
      <c r="F199" s="332"/>
      <c r="G199" s="68"/>
      <c r="H199" s="68"/>
      <c r="I199" s="68"/>
      <c r="J199" s="68"/>
      <c r="K199" s="127"/>
      <c r="L199" s="23"/>
      <c r="M199" s="333"/>
      <c r="N199" s="334"/>
      <c r="O199" s="335"/>
      <c r="P199" s="107"/>
      <c r="Q199" s="339"/>
      <c r="R199" s="340"/>
      <c r="S199" s="341"/>
      <c r="T199" s="110"/>
    </row>
    <row r="200" spans="1:20" ht="17.399999999999999">
      <c r="A200" s="72" t="s">
        <v>102</v>
      </c>
      <c r="B200" s="358"/>
      <c r="C200" s="358"/>
      <c r="D200" s="358"/>
      <c r="E200" s="358"/>
      <c r="F200" s="358"/>
      <c r="G200" s="358"/>
      <c r="H200" s="358"/>
      <c r="I200" s="358"/>
      <c r="J200" s="358"/>
      <c r="K200" s="358"/>
      <c r="L200" s="23"/>
      <c r="M200" s="336">
        <v>0</v>
      </c>
      <c r="N200" s="337">
        <v>0</v>
      </c>
      <c r="O200" s="338">
        <v>0</v>
      </c>
      <c r="P200" s="113" t="s">
        <v>49</v>
      </c>
      <c r="Q200" s="342" t="s">
        <v>49</v>
      </c>
      <c r="R200" s="343"/>
      <c r="S200" s="344"/>
      <c r="T200" s="108" t="s">
        <v>49</v>
      </c>
    </row>
    <row r="201" spans="1:20" ht="17.399999999999999">
      <c r="A201" s="359" t="s">
        <v>107</v>
      </c>
      <c r="B201" s="360"/>
      <c r="C201" s="361"/>
      <c r="D201" s="345"/>
      <c r="E201" s="346"/>
      <c r="F201" s="346"/>
      <c r="G201" s="346"/>
      <c r="H201" s="346"/>
      <c r="I201" s="346"/>
      <c r="J201" s="346"/>
      <c r="K201" s="347"/>
      <c r="L201" s="23"/>
      <c r="M201" s="333"/>
      <c r="N201" s="334"/>
      <c r="O201" s="335"/>
      <c r="P201" s="107"/>
      <c r="Q201" s="339"/>
      <c r="R201" s="340"/>
      <c r="S201" s="341"/>
      <c r="T201" s="109"/>
    </row>
    <row r="202" spans="1:20" ht="17.399999999999999">
      <c r="A202" s="115" t="s">
        <v>108</v>
      </c>
      <c r="B202" s="116"/>
      <c r="C202" s="116"/>
      <c r="D202" s="116"/>
      <c r="E202" s="331"/>
      <c r="F202" s="332"/>
      <c r="G202" s="68"/>
      <c r="H202" s="68"/>
      <c r="I202" s="68"/>
      <c r="J202" s="68"/>
      <c r="K202" s="127"/>
      <c r="L202" s="23"/>
      <c r="M202" s="333"/>
      <c r="N202" s="334"/>
      <c r="O202" s="335"/>
      <c r="P202" s="107"/>
      <c r="Q202" s="339"/>
      <c r="R202" s="340"/>
      <c r="S202" s="341"/>
      <c r="T202" s="110"/>
    </row>
    <row r="203" spans="1:20" ht="17.399999999999999">
      <c r="A203" s="72" t="s">
        <v>102</v>
      </c>
      <c r="B203" s="358"/>
      <c r="C203" s="358"/>
      <c r="D203" s="358"/>
      <c r="E203" s="358"/>
      <c r="F203" s="358"/>
      <c r="G203" s="358"/>
      <c r="H203" s="358"/>
      <c r="I203" s="358"/>
      <c r="J203" s="358"/>
      <c r="K203" s="358"/>
      <c r="L203" s="23"/>
      <c r="M203" s="336">
        <v>0</v>
      </c>
      <c r="N203" s="337">
        <v>0</v>
      </c>
      <c r="O203" s="338">
        <v>0</v>
      </c>
      <c r="P203" s="113" t="s">
        <v>49</v>
      </c>
      <c r="Q203" s="342" t="s">
        <v>49</v>
      </c>
      <c r="R203" s="343"/>
      <c r="S203" s="344"/>
      <c r="T203" s="108" t="s">
        <v>49</v>
      </c>
    </row>
    <row r="204" spans="1:20" ht="17.399999999999999">
      <c r="A204" s="359" t="s">
        <v>107</v>
      </c>
      <c r="B204" s="360"/>
      <c r="C204" s="361"/>
      <c r="D204" s="345"/>
      <c r="E204" s="346"/>
      <c r="F204" s="346"/>
      <c r="G204" s="346"/>
      <c r="H204" s="346"/>
      <c r="I204" s="346"/>
      <c r="J204" s="346"/>
      <c r="K204" s="347"/>
      <c r="L204" s="23"/>
      <c r="M204" s="333"/>
      <c r="N204" s="334"/>
      <c r="O204" s="335"/>
      <c r="P204" s="107"/>
      <c r="Q204" s="339"/>
      <c r="R204" s="340"/>
      <c r="S204" s="341"/>
      <c r="T204" s="109"/>
    </row>
    <row r="205" spans="1:20" ht="17.399999999999999">
      <c r="A205" s="115" t="s">
        <v>108</v>
      </c>
      <c r="B205" s="116"/>
      <c r="C205" s="116"/>
      <c r="D205" s="116"/>
      <c r="E205" s="331"/>
      <c r="F205" s="332"/>
      <c r="G205" s="68"/>
      <c r="H205" s="68"/>
      <c r="I205" s="68"/>
      <c r="J205" s="68"/>
      <c r="K205" s="127"/>
      <c r="L205" s="23"/>
      <c r="M205" s="333"/>
      <c r="N205" s="334"/>
      <c r="O205" s="335"/>
      <c r="P205" s="107"/>
      <c r="Q205" s="339"/>
      <c r="R205" s="340"/>
      <c r="S205" s="341"/>
      <c r="T205" s="110"/>
    </row>
    <row r="206" spans="1:20" ht="17.399999999999999">
      <c r="A206" s="72" t="s">
        <v>102</v>
      </c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23"/>
      <c r="M206" s="336">
        <v>0</v>
      </c>
      <c r="N206" s="337"/>
      <c r="O206" s="338"/>
      <c r="P206" s="113" t="s">
        <v>49</v>
      </c>
      <c r="Q206" s="342" t="s">
        <v>49</v>
      </c>
      <c r="R206" s="343"/>
      <c r="S206" s="344"/>
      <c r="T206" s="108" t="s">
        <v>49</v>
      </c>
    </row>
    <row r="207" spans="1:20" ht="17.399999999999999">
      <c r="A207" s="359" t="s">
        <v>107</v>
      </c>
      <c r="B207" s="360"/>
      <c r="C207" s="361"/>
      <c r="D207" s="345"/>
      <c r="E207" s="346"/>
      <c r="F207" s="346"/>
      <c r="G207" s="346"/>
      <c r="H207" s="346"/>
      <c r="I207" s="346"/>
      <c r="J207" s="346"/>
      <c r="K207" s="347"/>
      <c r="L207" s="23"/>
      <c r="M207" s="333"/>
      <c r="N207" s="334"/>
      <c r="O207" s="335"/>
      <c r="P207" s="107"/>
      <c r="Q207" s="339"/>
      <c r="R207" s="340"/>
      <c r="S207" s="341"/>
      <c r="T207" s="109"/>
    </row>
    <row r="208" spans="1:20" ht="17.399999999999999">
      <c r="A208" s="115" t="s">
        <v>108</v>
      </c>
      <c r="B208" s="116"/>
      <c r="C208" s="116"/>
      <c r="D208" s="116"/>
      <c r="E208" s="331"/>
      <c r="F208" s="332"/>
      <c r="G208" s="68"/>
      <c r="H208" s="68"/>
      <c r="I208" s="68"/>
      <c r="J208" s="68"/>
      <c r="K208" s="127"/>
      <c r="L208" s="23"/>
      <c r="M208" s="333"/>
      <c r="N208" s="334"/>
      <c r="O208" s="335"/>
      <c r="P208" s="107"/>
      <c r="Q208" s="339"/>
      <c r="R208" s="340"/>
      <c r="S208" s="341"/>
      <c r="T208" s="110"/>
    </row>
    <row r="209" spans="1:20" ht="17.399999999999999">
      <c r="A209" s="72" t="s">
        <v>102</v>
      </c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23"/>
      <c r="M209" s="336">
        <v>0</v>
      </c>
      <c r="N209" s="337">
        <v>0</v>
      </c>
      <c r="O209" s="338">
        <v>0</v>
      </c>
      <c r="P209" s="113" t="s">
        <v>49</v>
      </c>
      <c r="Q209" s="342" t="s">
        <v>49</v>
      </c>
      <c r="R209" s="343"/>
      <c r="S209" s="344"/>
      <c r="T209" s="108" t="s">
        <v>49</v>
      </c>
    </row>
    <row r="210" spans="1:20" ht="17.399999999999999">
      <c r="A210" s="359" t="s">
        <v>107</v>
      </c>
      <c r="B210" s="360"/>
      <c r="C210" s="361"/>
      <c r="D210" s="345"/>
      <c r="E210" s="346"/>
      <c r="F210" s="346"/>
      <c r="G210" s="346"/>
      <c r="H210" s="346"/>
      <c r="I210" s="346"/>
      <c r="J210" s="346"/>
      <c r="K210" s="347"/>
      <c r="L210" s="23"/>
      <c r="M210" s="333"/>
      <c r="N210" s="334"/>
      <c r="O210" s="335"/>
      <c r="P210" s="107"/>
      <c r="Q210" s="339"/>
      <c r="R210" s="340"/>
      <c r="S210" s="341"/>
      <c r="T210" s="109"/>
    </row>
    <row r="211" spans="1:20" ht="17.399999999999999">
      <c r="A211" s="115" t="s">
        <v>108</v>
      </c>
      <c r="B211" s="116"/>
      <c r="C211" s="116"/>
      <c r="D211" s="116"/>
      <c r="E211" s="331"/>
      <c r="F211" s="332"/>
      <c r="G211" s="68"/>
      <c r="H211" s="68"/>
      <c r="I211" s="68"/>
      <c r="J211" s="68"/>
      <c r="K211" s="127"/>
      <c r="L211" s="23"/>
      <c r="M211" s="333"/>
      <c r="N211" s="334"/>
      <c r="O211" s="335"/>
      <c r="P211" s="107"/>
      <c r="Q211" s="339"/>
      <c r="R211" s="340"/>
      <c r="S211" s="341"/>
      <c r="T211" s="110"/>
    </row>
    <row r="212" spans="1:20" ht="17.399999999999999">
      <c r="A212" s="72" t="s">
        <v>102</v>
      </c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23"/>
      <c r="M212" s="336">
        <v>0</v>
      </c>
      <c r="N212" s="337">
        <v>0</v>
      </c>
      <c r="O212" s="338">
        <v>0</v>
      </c>
      <c r="P212" s="113" t="s">
        <v>49</v>
      </c>
      <c r="Q212" s="342" t="s">
        <v>49</v>
      </c>
      <c r="R212" s="343"/>
      <c r="S212" s="344"/>
      <c r="T212" s="108" t="s">
        <v>49</v>
      </c>
    </row>
    <row r="213" spans="1:20" ht="17.399999999999999">
      <c r="A213" s="359" t="s">
        <v>107</v>
      </c>
      <c r="B213" s="360"/>
      <c r="C213" s="361"/>
      <c r="D213" s="345"/>
      <c r="E213" s="346"/>
      <c r="F213" s="346"/>
      <c r="G213" s="346"/>
      <c r="H213" s="346"/>
      <c r="I213" s="346"/>
      <c r="J213" s="346"/>
      <c r="K213" s="347"/>
      <c r="L213" s="23"/>
      <c r="M213" s="333"/>
      <c r="N213" s="334"/>
      <c r="O213" s="335"/>
      <c r="P213" s="107"/>
      <c r="Q213" s="339"/>
      <c r="R213" s="340"/>
      <c r="S213" s="341"/>
      <c r="T213" s="109"/>
    </row>
    <row r="214" spans="1:20" ht="17.399999999999999">
      <c r="A214" s="115" t="s">
        <v>108</v>
      </c>
      <c r="B214" s="116"/>
      <c r="C214" s="116"/>
      <c r="D214" s="116"/>
      <c r="E214" s="331"/>
      <c r="F214" s="332"/>
      <c r="G214" s="68"/>
      <c r="H214" s="68"/>
      <c r="I214" s="68"/>
      <c r="J214" s="68"/>
      <c r="K214" s="127"/>
      <c r="L214" s="23"/>
      <c r="M214" s="333"/>
      <c r="N214" s="334"/>
      <c r="O214" s="335"/>
      <c r="P214" s="107"/>
      <c r="Q214" s="339"/>
      <c r="R214" s="340"/>
      <c r="S214" s="341"/>
      <c r="T214" s="110"/>
    </row>
    <row r="215" spans="1:20" ht="17.399999999999999">
      <c r="A215" s="72" t="s">
        <v>102</v>
      </c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23"/>
      <c r="M215" s="336">
        <v>0</v>
      </c>
      <c r="N215" s="337"/>
      <c r="O215" s="338"/>
      <c r="P215" s="113" t="s">
        <v>49</v>
      </c>
      <c r="Q215" s="342" t="s">
        <v>49</v>
      </c>
      <c r="R215" s="343"/>
      <c r="S215" s="344"/>
      <c r="T215" s="108" t="s">
        <v>49</v>
      </c>
    </row>
    <row r="216" spans="1:20" ht="17.399999999999999">
      <c r="A216" s="359" t="s">
        <v>107</v>
      </c>
      <c r="B216" s="360"/>
      <c r="C216" s="361"/>
      <c r="D216" s="345"/>
      <c r="E216" s="346"/>
      <c r="F216" s="346"/>
      <c r="G216" s="346"/>
      <c r="H216" s="346"/>
      <c r="I216" s="346"/>
      <c r="J216" s="346"/>
      <c r="K216" s="347"/>
      <c r="L216" s="23"/>
      <c r="M216" s="333"/>
      <c r="N216" s="334"/>
      <c r="O216" s="335"/>
      <c r="P216" s="107"/>
      <c r="Q216" s="339"/>
      <c r="R216" s="340"/>
      <c r="S216" s="341"/>
      <c r="T216" s="109"/>
    </row>
    <row r="217" spans="1:20" ht="17.399999999999999">
      <c r="A217" s="115" t="s">
        <v>108</v>
      </c>
      <c r="B217" s="116"/>
      <c r="C217" s="116"/>
      <c r="D217" s="116"/>
      <c r="E217" s="331"/>
      <c r="F217" s="332"/>
      <c r="G217" s="68"/>
      <c r="H217" s="68"/>
      <c r="I217" s="68"/>
      <c r="J217" s="68"/>
      <c r="K217" s="127"/>
      <c r="L217" s="23"/>
      <c r="M217" s="333"/>
      <c r="N217" s="334"/>
      <c r="O217" s="335"/>
      <c r="P217" s="107"/>
      <c r="Q217" s="339"/>
      <c r="R217" s="340"/>
      <c r="S217" s="341"/>
      <c r="T217" s="110"/>
    </row>
    <row r="218" spans="1:20" ht="17.399999999999999">
      <c r="A218" s="72" t="s">
        <v>102</v>
      </c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23"/>
      <c r="M218" s="336">
        <v>0</v>
      </c>
      <c r="N218" s="337">
        <v>0</v>
      </c>
      <c r="O218" s="338">
        <v>0</v>
      </c>
      <c r="P218" s="113" t="s">
        <v>49</v>
      </c>
      <c r="Q218" s="342" t="s">
        <v>49</v>
      </c>
      <c r="R218" s="343"/>
      <c r="S218" s="344"/>
      <c r="T218" s="108" t="s">
        <v>49</v>
      </c>
    </row>
    <row r="219" spans="1:20" ht="17.399999999999999">
      <c r="A219" s="359" t="s">
        <v>107</v>
      </c>
      <c r="B219" s="360"/>
      <c r="C219" s="361"/>
      <c r="D219" s="543"/>
      <c r="E219" s="541"/>
      <c r="F219" s="541"/>
      <c r="G219" s="541"/>
      <c r="H219" s="541"/>
      <c r="I219" s="541"/>
      <c r="J219" s="541"/>
      <c r="K219" s="544"/>
      <c r="L219" s="25"/>
      <c r="M219" s="333"/>
      <c r="N219" s="334"/>
      <c r="O219" s="335"/>
      <c r="P219" s="107"/>
      <c r="Q219" s="339"/>
      <c r="R219" s="340"/>
      <c r="S219" s="341"/>
      <c r="T219" s="109"/>
    </row>
    <row r="220" spans="1:20" ht="17.399999999999999">
      <c r="A220" s="115" t="s">
        <v>108</v>
      </c>
      <c r="B220" s="116"/>
      <c r="C220" s="116"/>
      <c r="D220" s="116"/>
      <c r="E220" s="363"/>
      <c r="F220" s="363"/>
      <c r="G220" s="68"/>
      <c r="H220" s="68"/>
      <c r="I220" s="68"/>
      <c r="J220" s="68"/>
      <c r="K220" s="125"/>
      <c r="L220" s="25"/>
      <c r="M220" s="333"/>
      <c r="N220" s="334"/>
      <c r="O220" s="335"/>
      <c r="P220" s="107"/>
      <c r="Q220" s="340"/>
      <c r="R220" s="340"/>
      <c r="S220" s="340"/>
      <c r="T220" s="110"/>
    </row>
    <row r="221" spans="1:20" ht="17.399999999999999">
      <c r="A221" s="72" t="s">
        <v>102</v>
      </c>
      <c r="B221" s="358"/>
      <c r="C221" s="358"/>
      <c r="D221" s="358"/>
      <c r="E221" s="358"/>
      <c r="F221" s="358"/>
      <c r="G221" s="358"/>
      <c r="H221" s="358"/>
      <c r="I221" s="358"/>
      <c r="J221" s="358"/>
      <c r="K221" s="358"/>
      <c r="L221" s="23"/>
      <c r="M221" s="336">
        <v>0</v>
      </c>
      <c r="N221" s="337">
        <v>0</v>
      </c>
      <c r="O221" s="338">
        <v>0</v>
      </c>
      <c r="P221" s="113" t="s">
        <v>49</v>
      </c>
      <c r="Q221" s="342" t="s">
        <v>49</v>
      </c>
      <c r="R221" s="343"/>
      <c r="S221" s="344"/>
      <c r="T221" s="108" t="s">
        <v>49</v>
      </c>
    </row>
    <row r="222" spans="1:20" ht="17.399999999999999">
      <c r="A222" s="359" t="s">
        <v>107</v>
      </c>
      <c r="B222" s="360"/>
      <c r="C222" s="361"/>
      <c r="D222" s="345"/>
      <c r="E222" s="346"/>
      <c r="F222" s="346"/>
      <c r="G222" s="346"/>
      <c r="H222" s="346"/>
      <c r="I222" s="346"/>
      <c r="J222" s="346"/>
      <c r="K222" s="347"/>
      <c r="L222" s="23"/>
      <c r="M222" s="333"/>
      <c r="N222" s="334"/>
      <c r="O222" s="335"/>
      <c r="P222" s="107"/>
      <c r="Q222" s="339"/>
      <c r="R222" s="340"/>
      <c r="S222" s="341"/>
      <c r="T222" s="109"/>
    </row>
    <row r="223" spans="1:20" ht="18" thickBot="1">
      <c r="A223" s="117" t="s">
        <v>108</v>
      </c>
      <c r="B223" s="118"/>
      <c r="C223" s="118"/>
      <c r="D223" s="118"/>
      <c r="E223" s="364"/>
      <c r="F223" s="365"/>
      <c r="G223" s="74"/>
      <c r="H223" s="74"/>
      <c r="I223" s="74"/>
      <c r="J223" s="74"/>
      <c r="K223" s="128"/>
      <c r="L223" s="23"/>
      <c r="M223" s="333"/>
      <c r="N223" s="334"/>
      <c r="O223" s="335"/>
      <c r="P223" s="107"/>
      <c r="Q223" s="339"/>
      <c r="R223" s="340"/>
      <c r="S223" s="341"/>
      <c r="T223" s="110"/>
    </row>
    <row r="224" spans="1:20" ht="17.399999999999999">
      <c r="A224" s="72" t="s">
        <v>102</v>
      </c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23"/>
      <c r="M224" s="336">
        <v>0</v>
      </c>
      <c r="N224" s="337">
        <v>0</v>
      </c>
      <c r="O224" s="338">
        <v>0</v>
      </c>
      <c r="P224" s="113" t="s">
        <v>49</v>
      </c>
      <c r="Q224" s="342" t="s">
        <v>49</v>
      </c>
      <c r="R224" s="343"/>
      <c r="S224" s="344"/>
      <c r="T224" s="108" t="s">
        <v>49</v>
      </c>
    </row>
    <row r="225" spans="1:20" ht="17.399999999999999">
      <c r="A225" s="359" t="s">
        <v>107</v>
      </c>
      <c r="B225" s="360"/>
      <c r="C225" s="361"/>
      <c r="D225" s="345"/>
      <c r="E225" s="346"/>
      <c r="F225" s="346"/>
      <c r="G225" s="346"/>
      <c r="H225" s="346"/>
      <c r="I225" s="346"/>
      <c r="J225" s="346"/>
      <c r="K225" s="362"/>
      <c r="L225" s="23"/>
      <c r="M225" s="333"/>
      <c r="N225" s="334"/>
      <c r="O225" s="335"/>
      <c r="P225" s="107"/>
      <c r="Q225" s="339"/>
      <c r="R225" s="340"/>
      <c r="S225" s="341"/>
      <c r="T225" s="109"/>
    </row>
    <row r="226" spans="1:20" ht="18" thickBot="1">
      <c r="A226" s="117" t="s">
        <v>108</v>
      </c>
      <c r="B226" s="118"/>
      <c r="C226" s="118"/>
      <c r="D226" s="118"/>
      <c r="E226" s="364"/>
      <c r="F226" s="365"/>
      <c r="G226" s="74"/>
      <c r="H226" s="74"/>
      <c r="I226" s="74"/>
      <c r="J226" s="74"/>
      <c r="K226" s="126"/>
      <c r="L226" s="75"/>
      <c r="M226" s="355"/>
      <c r="N226" s="356"/>
      <c r="O226" s="357"/>
      <c r="P226" s="114"/>
      <c r="Q226" s="352"/>
      <c r="R226" s="353"/>
      <c r="S226" s="354"/>
      <c r="T226" s="111"/>
    </row>
    <row r="227" spans="1:20" ht="18" thickBot="1">
      <c r="A227" s="72"/>
      <c r="B227" s="358"/>
      <c r="C227" s="358"/>
      <c r="D227" s="358"/>
      <c r="E227" s="358"/>
      <c r="F227" s="358"/>
      <c r="G227" s="358"/>
      <c r="H227" s="358"/>
      <c r="I227" s="358"/>
      <c r="J227" s="358"/>
      <c r="K227" s="358"/>
      <c r="L227" s="23"/>
      <c r="M227" s="355">
        <f>SUM(M189:O226)</f>
        <v>0</v>
      </c>
      <c r="N227" s="356"/>
      <c r="O227" s="357"/>
      <c r="P227" s="113"/>
      <c r="Q227" s="342"/>
      <c r="R227" s="343"/>
      <c r="S227" s="344"/>
      <c r="T227" s="108"/>
    </row>
    <row r="228" spans="1:20" ht="17.399999999999999">
      <c r="A228" s="77" t="s">
        <v>102</v>
      </c>
      <c r="B228" s="519"/>
      <c r="C228" s="519"/>
      <c r="D228" s="519"/>
      <c r="E228" s="519"/>
      <c r="F228" s="519"/>
      <c r="G228" s="519"/>
      <c r="H228" s="519"/>
      <c r="I228" s="519"/>
      <c r="J228" s="519"/>
      <c r="K228" s="519"/>
      <c r="L228" s="34"/>
      <c r="M228" s="366"/>
      <c r="N228" s="367">
        <v>0</v>
      </c>
      <c r="O228" s="368">
        <v>0</v>
      </c>
      <c r="P228" s="123" t="s">
        <v>49</v>
      </c>
      <c r="Q228" s="349" t="s">
        <v>49</v>
      </c>
      <c r="R228" s="350"/>
      <c r="S228" s="351"/>
      <c r="T228" s="124" t="s">
        <v>49</v>
      </c>
    </row>
    <row r="229" spans="1:20" ht="17.399999999999999">
      <c r="A229" s="359" t="s">
        <v>107</v>
      </c>
      <c r="B229" s="360"/>
      <c r="C229" s="361"/>
      <c r="D229" s="345"/>
      <c r="E229" s="346"/>
      <c r="F229" s="346"/>
      <c r="G229" s="346"/>
      <c r="H229" s="346"/>
      <c r="I229" s="346"/>
      <c r="J229" s="346"/>
      <c r="K229" s="347"/>
      <c r="L229" s="23"/>
      <c r="M229" s="333"/>
      <c r="N229" s="334"/>
      <c r="O229" s="335"/>
      <c r="P229" s="107"/>
      <c r="Q229" s="339"/>
      <c r="R229" s="340"/>
      <c r="S229" s="341"/>
      <c r="T229" s="109"/>
    </row>
    <row r="230" spans="1:20" ht="17.399999999999999">
      <c r="A230" s="115" t="s">
        <v>108</v>
      </c>
      <c r="B230" s="116"/>
      <c r="C230" s="116"/>
      <c r="D230" s="116"/>
      <c r="E230" s="331" t="s">
        <v>112</v>
      </c>
      <c r="F230" s="332"/>
      <c r="G230" s="68"/>
      <c r="H230" s="68"/>
      <c r="I230" s="68"/>
      <c r="J230" s="68"/>
      <c r="K230" s="127"/>
      <c r="L230" s="25"/>
      <c r="M230" s="333"/>
      <c r="N230" s="334"/>
      <c r="O230" s="335"/>
      <c r="P230" s="107"/>
      <c r="Q230" s="339"/>
      <c r="R230" s="340"/>
      <c r="S230" s="341"/>
      <c r="T230" s="110"/>
    </row>
    <row r="231" spans="1:20" ht="17.399999999999999">
      <c r="A231" s="72" t="s">
        <v>102</v>
      </c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25"/>
      <c r="M231" s="336">
        <v>0</v>
      </c>
      <c r="N231" s="337">
        <v>0</v>
      </c>
      <c r="O231" s="338">
        <v>0</v>
      </c>
      <c r="P231" s="113" t="s">
        <v>49</v>
      </c>
      <c r="Q231" s="342" t="s">
        <v>49</v>
      </c>
      <c r="R231" s="343"/>
      <c r="S231" s="344"/>
      <c r="T231" s="108" t="s">
        <v>49</v>
      </c>
    </row>
    <row r="232" spans="1:20" ht="17.399999999999999">
      <c r="A232" s="359" t="s">
        <v>107</v>
      </c>
      <c r="B232" s="360"/>
      <c r="C232" s="361"/>
      <c r="D232" s="345"/>
      <c r="E232" s="346"/>
      <c r="F232" s="346"/>
      <c r="G232" s="346"/>
      <c r="H232" s="346"/>
      <c r="I232" s="346"/>
      <c r="J232" s="346"/>
      <c r="K232" s="347"/>
      <c r="L232" s="23"/>
      <c r="M232" s="333"/>
      <c r="N232" s="334"/>
      <c r="O232" s="335"/>
      <c r="P232" s="107"/>
      <c r="Q232" s="339"/>
      <c r="R232" s="340"/>
      <c r="S232" s="341"/>
      <c r="T232" s="109"/>
    </row>
    <row r="233" spans="1:20" ht="17.399999999999999">
      <c r="A233" s="115" t="s">
        <v>108</v>
      </c>
      <c r="B233" s="116"/>
      <c r="C233" s="116"/>
      <c r="D233" s="116"/>
      <c r="E233" s="331" t="s">
        <v>112</v>
      </c>
      <c r="F233" s="332"/>
      <c r="G233" s="68"/>
      <c r="H233" s="68"/>
      <c r="I233" s="68"/>
      <c r="J233" s="68"/>
      <c r="K233" s="127"/>
      <c r="L233" s="23"/>
      <c r="M233" s="333"/>
      <c r="N233" s="334"/>
      <c r="O233" s="335"/>
      <c r="P233" s="107"/>
      <c r="Q233" s="339"/>
      <c r="R233" s="340"/>
      <c r="S233" s="341"/>
      <c r="T233" s="110"/>
    </row>
    <row r="234" spans="1:20" ht="17.399999999999999">
      <c r="A234" s="72" t="s">
        <v>102</v>
      </c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23"/>
      <c r="M234" s="336">
        <v>0</v>
      </c>
      <c r="N234" s="337">
        <v>0</v>
      </c>
      <c r="O234" s="338">
        <v>0</v>
      </c>
      <c r="P234" s="113" t="s">
        <v>49</v>
      </c>
      <c r="Q234" s="342" t="s">
        <v>49</v>
      </c>
      <c r="R234" s="343"/>
      <c r="S234" s="344"/>
      <c r="T234" s="108" t="s">
        <v>49</v>
      </c>
    </row>
    <row r="235" spans="1:20" ht="17.399999999999999">
      <c r="A235" s="359" t="s">
        <v>107</v>
      </c>
      <c r="B235" s="360"/>
      <c r="C235" s="361"/>
      <c r="D235" s="345"/>
      <c r="E235" s="346"/>
      <c r="F235" s="346"/>
      <c r="G235" s="346"/>
      <c r="H235" s="346"/>
      <c r="I235" s="346"/>
      <c r="J235" s="346"/>
      <c r="K235" s="347"/>
      <c r="L235" s="23"/>
      <c r="M235" s="333"/>
      <c r="N235" s="334"/>
      <c r="O235" s="335"/>
      <c r="P235" s="107"/>
      <c r="Q235" s="339"/>
      <c r="R235" s="340"/>
      <c r="S235" s="341"/>
      <c r="T235" s="109"/>
    </row>
    <row r="236" spans="1:20" ht="17.399999999999999">
      <c r="A236" s="115" t="s">
        <v>108</v>
      </c>
      <c r="B236" s="116"/>
      <c r="C236" s="116"/>
      <c r="D236" s="116"/>
      <c r="E236" s="331" t="s">
        <v>112</v>
      </c>
      <c r="F236" s="332"/>
      <c r="G236" s="68"/>
      <c r="H236" s="68"/>
      <c r="I236" s="68"/>
      <c r="J236" s="68"/>
      <c r="K236" s="127"/>
      <c r="L236" s="23"/>
      <c r="M236" s="333"/>
      <c r="N236" s="334"/>
      <c r="O236" s="335"/>
      <c r="P236" s="107"/>
      <c r="Q236" s="339"/>
      <c r="R236" s="340"/>
      <c r="S236" s="341"/>
      <c r="T236" s="110"/>
    </row>
    <row r="237" spans="1:20" ht="17.399999999999999">
      <c r="A237" s="72" t="s">
        <v>102</v>
      </c>
      <c r="B237" s="358"/>
      <c r="C237" s="358"/>
      <c r="D237" s="358"/>
      <c r="E237" s="358"/>
      <c r="F237" s="358"/>
      <c r="G237" s="358"/>
      <c r="H237" s="358"/>
      <c r="I237" s="358"/>
      <c r="J237" s="358"/>
      <c r="K237" s="358" t="s">
        <v>111</v>
      </c>
      <c r="L237" s="23"/>
      <c r="M237" s="336">
        <v>0</v>
      </c>
      <c r="N237" s="337">
        <v>0</v>
      </c>
      <c r="O237" s="338">
        <v>0</v>
      </c>
      <c r="P237" s="113" t="s">
        <v>49</v>
      </c>
      <c r="Q237" s="342" t="s">
        <v>49</v>
      </c>
      <c r="R237" s="343"/>
      <c r="S237" s="344"/>
      <c r="T237" s="108" t="s">
        <v>49</v>
      </c>
    </row>
    <row r="238" spans="1:20" ht="17.399999999999999">
      <c r="A238" s="359" t="s">
        <v>107</v>
      </c>
      <c r="B238" s="360"/>
      <c r="C238" s="361"/>
      <c r="D238" s="345"/>
      <c r="E238" s="346"/>
      <c r="F238" s="346"/>
      <c r="G238" s="346"/>
      <c r="H238" s="346"/>
      <c r="I238" s="346"/>
      <c r="J238" s="346"/>
      <c r="K238" s="347"/>
      <c r="L238" s="23"/>
      <c r="M238" s="333"/>
      <c r="N238" s="334"/>
      <c r="O238" s="335"/>
      <c r="P238" s="107"/>
      <c r="Q238" s="339"/>
      <c r="R238" s="340"/>
      <c r="S238" s="341"/>
      <c r="T238" s="109"/>
    </row>
    <row r="239" spans="1:20" ht="17.399999999999999">
      <c r="A239" s="115" t="s">
        <v>108</v>
      </c>
      <c r="B239" s="116"/>
      <c r="C239" s="116"/>
      <c r="D239" s="116"/>
      <c r="E239" s="331" t="s">
        <v>112</v>
      </c>
      <c r="F239" s="332"/>
      <c r="G239" s="68"/>
      <c r="H239" s="68"/>
      <c r="I239" s="68"/>
      <c r="J239" s="68"/>
      <c r="K239" s="127"/>
      <c r="L239" s="23"/>
      <c r="M239" s="333"/>
      <c r="N239" s="334"/>
      <c r="O239" s="335"/>
      <c r="P239" s="107"/>
      <c r="Q239" s="339"/>
      <c r="R239" s="340"/>
      <c r="S239" s="341"/>
      <c r="T239" s="110"/>
    </row>
    <row r="240" spans="1:20" ht="17.399999999999999">
      <c r="A240" s="72" t="s">
        <v>102</v>
      </c>
      <c r="B240" s="358"/>
      <c r="C240" s="358"/>
      <c r="D240" s="358"/>
      <c r="E240" s="358"/>
      <c r="F240" s="358"/>
      <c r="G240" s="358"/>
      <c r="H240" s="358"/>
      <c r="I240" s="358"/>
      <c r="J240" s="358"/>
      <c r="K240" s="358" t="s">
        <v>111</v>
      </c>
      <c r="L240" s="23"/>
      <c r="M240" s="336">
        <v>0</v>
      </c>
      <c r="N240" s="337">
        <v>0</v>
      </c>
      <c r="O240" s="338">
        <v>0</v>
      </c>
      <c r="P240" s="113" t="s">
        <v>49</v>
      </c>
      <c r="Q240" s="342" t="s">
        <v>49</v>
      </c>
      <c r="R240" s="343"/>
      <c r="S240" s="344"/>
      <c r="T240" s="108" t="s">
        <v>49</v>
      </c>
    </row>
    <row r="241" spans="1:20" ht="17.399999999999999">
      <c r="A241" s="359" t="s">
        <v>107</v>
      </c>
      <c r="B241" s="360"/>
      <c r="C241" s="361"/>
      <c r="D241" s="345"/>
      <c r="E241" s="346"/>
      <c r="F241" s="346"/>
      <c r="G241" s="346"/>
      <c r="H241" s="346"/>
      <c r="I241" s="346"/>
      <c r="J241" s="346"/>
      <c r="K241" s="347"/>
      <c r="L241" s="23"/>
      <c r="M241" s="333"/>
      <c r="N241" s="334"/>
      <c r="O241" s="335"/>
      <c r="P241" s="107"/>
      <c r="Q241" s="339"/>
      <c r="R241" s="340"/>
      <c r="S241" s="341"/>
      <c r="T241" s="109"/>
    </row>
    <row r="242" spans="1:20" ht="17.399999999999999">
      <c r="A242" s="115" t="s">
        <v>108</v>
      </c>
      <c r="B242" s="116"/>
      <c r="C242" s="116"/>
      <c r="D242" s="116"/>
      <c r="E242" s="331" t="s">
        <v>112</v>
      </c>
      <c r="F242" s="332"/>
      <c r="G242" s="68"/>
      <c r="H242" s="68"/>
      <c r="I242" s="68"/>
      <c r="J242" s="68"/>
      <c r="K242" s="127"/>
      <c r="L242" s="23"/>
      <c r="M242" s="333"/>
      <c r="N242" s="334"/>
      <c r="O242" s="335"/>
      <c r="P242" s="107"/>
      <c r="Q242" s="339"/>
      <c r="R242" s="340"/>
      <c r="S242" s="341"/>
      <c r="T242" s="110"/>
    </row>
    <row r="243" spans="1:20" ht="17.399999999999999">
      <c r="A243" s="72" t="s">
        <v>102</v>
      </c>
      <c r="B243" s="358"/>
      <c r="C243" s="358"/>
      <c r="D243" s="358"/>
      <c r="E243" s="358"/>
      <c r="F243" s="358"/>
      <c r="G243" s="358"/>
      <c r="H243" s="358"/>
      <c r="I243" s="358"/>
      <c r="J243" s="358"/>
      <c r="K243" s="358" t="s">
        <v>111</v>
      </c>
      <c r="L243" s="23"/>
      <c r="M243" s="336">
        <v>0</v>
      </c>
      <c r="N243" s="337">
        <v>0</v>
      </c>
      <c r="O243" s="338">
        <v>0</v>
      </c>
      <c r="P243" s="113" t="s">
        <v>49</v>
      </c>
      <c r="Q243" s="342" t="s">
        <v>49</v>
      </c>
      <c r="R243" s="343"/>
      <c r="S243" s="344"/>
      <c r="T243" s="108" t="s">
        <v>49</v>
      </c>
    </row>
    <row r="244" spans="1:20" ht="17.399999999999999">
      <c r="A244" s="359" t="s">
        <v>107</v>
      </c>
      <c r="B244" s="360"/>
      <c r="C244" s="361"/>
      <c r="D244" s="345"/>
      <c r="E244" s="346"/>
      <c r="F244" s="346"/>
      <c r="G244" s="346"/>
      <c r="H244" s="346"/>
      <c r="I244" s="346"/>
      <c r="J244" s="346"/>
      <c r="K244" s="347"/>
      <c r="L244" s="23"/>
      <c r="M244" s="333"/>
      <c r="N244" s="334"/>
      <c r="O244" s="335"/>
      <c r="P244" s="107"/>
      <c r="Q244" s="339"/>
      <c r="R244" s="340"/>
      <c r="S244" s="341"/>
      <c r="T244" s="109"/>
    </row>
    <row r="245" spans="1:20" ht="17.399999999999999">
      <c r="A245" s="115" t="s">
        <v>108</v>
      </c>
      <c r="B245" s="116"/>
      <c r="C245" s="116"/>
      <c r="D245" s="116"/>
      <c r="E245" s="331"/>
      <c r="F245" s="332"/>
      <c r="G245" s="68"/>
      <c r="H245" s="68"/>
      <c r="I245" s="68"/>
      <c r="J245" s="68"/>
      <c r="K245" s="127"/>
      <c r="L245" s="23"/>
      <c r="M245" s="333"/>
      <c r="N245" s="334"/>
      <c r="O245" s="335"/>
      <c r="P245" s="107"/>
      <c r="Q245" s="339"/>
      <c r="R245" s="340"/>
      <c r="S245" s="341"/>
      <c r="T245" s="110"/>
    </row>
    <row r="246" spans="1:20" ht="17.399999999999999">
      <c r="A246" s="72" t="s">
        <v>102</v>
      </c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23"/>
      <c r="M246" s="336">
        <v>0</v>
      </c>
      <c r="N246" s="337">
        <v>0</v>
      </c>
      <c r="O246" s="338">
        <v>0</v>
      </c>
      <c r="P246" s="113" t="s">
        <v>49</v>
      </c>
      <c r="Q246" s="342" t="s">
        <v>49</v>
      </c>
      <c r="R246" s="343"/>
      <c r="S246" s="344"/>
      <c r="T246" s="108" t="s">
        <v>49</v>
      </c>
    </row>
    <row r="247" spans="1:20" ht="17.399999999999999">
      <c r="A247" s="359" t="s">
        <v>107</v>
      </c>
      <c r="B247" s="360"/>
      <c r="C247" s="361"/>
      <c r="D247" s="345"/>
      <c r="E247" s="346"/>
      <c r="F247" s="346"/>
      <c r="G247" s="346"/>
      <c r="H247" s="346"/>
      <c r="I247" s="346"/>
      <c r="J247" s="346"/>
      <c r="K247" s="347"/>
      <c r="L247" s="23"/>
      <c r="M247" s="333"/>
      <c r="N247" s="334"/>
      <c r="O247" s="335"/>
      <c r="P247" s="107"/>
      <c r="Q247" s="339"/>
      <c r="R247" s="340"/>
      <c r="S247" s="341"/>
      <c r="T247" s="109"/>
    </row>
    <row r="248" spans="1:20" ht="17.399999999999999">
      <c r="A248" s="115" t="s">
        <v>108</v>
      </c>
      <c r="B248" s="116"/>
      <c r="C248" s="116"/>
      <c r="D248" s="116"/>
      <c r="E248" s="331"/>
      <c r="F248" s="332"/>
      <c r="G248" s="68"/>
      <c r="H248" s="68"/>
      <c r="I248" s="68"/>
      <c r="J248" s="68"/>
      <c r="K248" s="127"/>
      <c r="L248" s="23"/>
      <c r="M248" s="333"/>
      <c r="N248" s="334"/>
      <c r="O248" s="335"/>
      <c r="P248" s="107"/>
      <c r="Q248" s="339"/>
      <c r="R248" s="340"/>
      <c r="S248" s="341"/>
      <c r="T248" s="110"/>
    </row>
    <row r="249" spans="1:20" ht="17.399999999999999">
      <c r="A249" s="72" t="s">
        <v>102</v>
      </c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23"/>
      <c r="M249" s="336">
        <v>0</v>
      </c>
      <c r="N249" s="337">
        <v>0</v>
      </c>
      <c r="O249" s="338">
        <v>0</v>
      </c>
      <c r="P249" s="113" t="s">
        <v>49</v>
      </c>
      <c r="Q249" s="342" t="s">
        <v>49</v>
      </c>
      <c r="R249" s="343"/>
      <c r="S249" s="344"/>
      <c r="T249" s="108" t="s">
        <v>49</v>
      </c>
    </row>
    <row r="250" spans="1:20" ht="17.399999999999999">
      <c r="A250" s="359" t="s">
        <v>107</v>
      </c>
      <c r="B250" s="360"/>
      <c r="C250" s="361"/>
      <c r="D250" s="345"/>
      <c r="E250" s="346"/>
      <c r="F250" s="346"/>
      <c r="G250" s="346"/>
      <c r="H250" s="346"/>
      <c r="I250" s="346"/>
      <c r="J250" s="346"/>
      <c r="K250" s="347"/>
      <c r="L250" s="23"/>
      <c r="M250" s="333"/>
      <c r="N250" s="334"/>
      <c r="O250" s="335"/>
      <c r="P250" s="107"/>
      <c r="Q250" s="339"/>
      <c r="R250" s="340"/>
      <c r="S250" s="341"/>
      <c r="T250" s="109"/>
    </row>
    <row r="251" spans="1:20" ht="17.399999999999999">
      <c r="A251" s="115" t="s">
        <v>108</v>
      </c>
      <c r="B251" s="116"/>
      <c r="C251" s="116"/>
      <c r="D251" s="116"/>
      <c r="E251" s="331"/>
      <c r="F251" s="332"/>
      <c r="G251" s="68"/>
      <c r="H251" s="68"/>
      <c r="I251" s="68"/>
      <c r="J251" s="68"/>
      <c r="K251" s="127"/>
      <c r="L251" s="23"/>
      <c r="M251" s="333"/>
      <c r="N251" s="334"/>
      <c r="O251" s="335"/>
      <c r="P251" s="107"/>
      <c r="Q251" s="339"/>
      <c r="R251" s="340"/>
      <c r="S251" s="341"/>
      <c r="T251" s="110"/>
    </row>
    <row r="252" spans="1:20" ht="17.399999999999999">
      <c r="A252" s="72" t="s">
        <v>102</v>
      </c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23"/>
      <c r="M252" s="336">
        <v>0</v>
      </c>
      <c r="N252" s="337"/>
      <c r="O252" s="338"/>
      <c r="P252" s="113" t="s">
        <v>49</v>
      </c>
      <c r="Q252" s="342" t="s">
        <v>49</v>
      </c>
      <c r="R252" s="343"/>
      <c r="S252" s="344"/>
      <c r="T252" s="108" t="s">
        <v>49</v>
      </c>
    </row>
    <row r="253" spans="1:20" ht="17.399999999999999">
      <c r="A253" s="359" t="s">
        <v>107</v>
      </c>
      <c r="B253" s="360"/>
      <c r="C253" s="361"/>
      <c r="D253" s="345"/>
      <c r="E253" s="346"/>
      <c r="F253" s="346"/>
      <c r="G253" s="346"/>
      <c r="H253" s="346"/>
      <c r="I253" s="346"/>
      <c r="J253" s="346"/>
      <c r="K253" s="347"/>
      <c r="L253" s="23"/>
      <c r="M253" s="333"/>
      <c r="N253" s="334"/>
      <c r="O253" s="335"/>
      <c r="P253" s="107"/>
      <c r="Q253" s="339"/>
      <c r="R253" s="340"/>
      <c r="S253" s="341"/>
      <c r="T253" s="109"/>
    </row>
    <row r="254" spans="1:20" ht="17.399999999999999">
      <c r="A254" s="115" t="s">
        <v>108</v>
      </c>
      <c r="B254" s="116"/>
      <c r="C254" s="116"/>
      <c r="D254" s="116"/>
      <c r="E254" s="331"/>
      <c r="F254" s="332"/>
      <c r="G254" s="68"/>
      <c r="H254" s="68"/>
      <c r="I254" s="68"/>
      <c r="J254" s="68"/>
      <c r="K254" s="127"/>
      <c r="L254" s="23"/>
      <c r="M254" s="333"/>
      <c r="N254" s="334"/>
      <c r="O254" s="335"/>
      <c r="P254" s="107"/>
      <c r="Q254" s="339"/>
      <c r="R254" s="340"/>
      <c r="S254" s="341"/>
      <c r="T254" s="110"/>
    </row>
    <row r="255" spans="1:20" ht="17.399999999999999">
      <c r="A255" s="72" t="s">
        <v>102</v>
      </c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23"/>
      <c r="M255" s="336">
        <v>0</v>
      </c>
      <c r="N255" s="337">
        <v>0</v>
      </c>
      <c r="O255" s="338">
        <v>0</v>
      </c>
      <c r="P255" s="113" t="s">
        <v>49</v>
      </c>
      <c r="Q255" s="342" t="s">
        <v>49</v>
      </c>
      <c r="R255" s="343"/>
      <c r="S255" s="344"/>
      <c r="T255" s="108" t="s">
        <v>49</v>
      </c>
    </row>
    <row r="256" spans="1:20" ht="17.399999999999999">
      <c r="A256" s="359" t="s">
        <v>107</v>
      </c>
      <c r="B256" s="360"/>
      <c r="C256" s="361"/>
      <c r="D256" s="345"/>
      <c r="E256" s="346"/>
      <c r="F256" s="346"/>
      <c r="G256" s="346"/>
      <c r="H256" s="346"/>
      <c r="I256" s="346"/>
      <c r="J256" s="346"/>
      <c r="K256" s="347"/>
      <c r="L256" s="23"/>
      <c r="M256" s="333"/>
      <c r="N256" s="334"/>
      <c r="O256" s="335"/>
      <c r="P256" s="107"/>
      <c r="Q256" s="339"/>
      <c r="R256" s="340"/>
      <c r="S256" s="341"/>
      <c r="T256" s="109"/>
    </row>
    <row r="257" spans="1:20" ht="17.399999999999999">
      <c r="A257" s="115" t="s">
        <v>108</v>
      </c>
      <c r="B257" s="116"/>
      <c r="C257" s="116"/>
      <c r="D257" s="116"/>
      <c r="E257" s="331"/>
      <c r="F257" s="332"/>
      <c r="G257" s="68"/>
      <c r="H257" s="68"/>
      <c r="I257" s="68"/>
      <c r="J257" s="68"/>
      <c r="K257" s="127"/>
      <c r="L257" s="23"/>
      <c r="M257" s="333"/>
      <c r="N257" s="334"/>
      <c r="O257" s="335"/>
      <c r="P257" s="107"/>
      <c r="Q257" s="339"/>
      <c r="R257" s="340"/>
      <c r="S257" s="341"/>
      <c r="T257" s="110"/>
    </row>
    <row r="258" spans="1:20" ht="17.399999999999999">
      <c r="A258" s="72" t="s">
        <v>102</v>
      </c>
      <c r="B258" s="358"/>
      <c r="C258" s="358"/>
      <c r="D258" s="358"/>
      <c r="E258" s="358"/>
      <c r="F258" s="358"/>
      <c r="G258" s="358"/>
      <c r="H258" s="358"/>
      <c r="I258" s="358"/>
      <c r="J258" s="358"/>
      <c r="K258" s="358"/>
      <c r="L258" s="23"/>
      <c r="M258" s="336">
        <v>0</v>
      </c>
      <c r="N258" s="337">
        <v>0</v>
      </c>
      <c r="O258" s="338">
        <v>0</v>
      </c>
      <c r="P258" s="113" t="s">
        <v>49</v>
      </c>
      <c r="Q258" s="342" t="s">
        <v>49</v>
      </c>
      <c r="R258" s="343"/>
      <c r="S258" s="344"/>
      <c r="T258" s="108" t="s">
        <v>49</v>
      </c>
    </row>
    <row r="259" spans="1:20" ht="17.399999999999999">
      <c r="A259" s="359" t="s">
        <v>107</v>
      </c>
      <c r="B259" s="360"/>
      <c r="C259" s="361"/>
      <c r="D259" s="345"/>
      <c r="E259" s="346"/>
      <c r="F259" s="346"/>
      <c r="G259" s="346"/>
      <c r="H259" s="346"/>
      <c r="I259" s="346"/>
      <c r="J259" s="346"/>
      <c r="K259" s="347"/>
      <c r="L259" s="23"/>
      <c r="M259" s="333"/>
      <c r="N259" s="334"/>
      <c r="O259" s="335"/>
      <c r="P259" s="107"/>
      <c r="Q259" s="339"/>
      <c r="R259" s="340"/>
      <c r="S259" s="341"/>
      <c r="T259" s="109"/>
    </row>
    <row r="260" spans="1:20" ht="17.399999999999999">
      <c r="A260" s="115" t="s">
        <v>108</v>
      </c>
      <c r="B260" s="116"/>
      <c r="C260" s="116"/>
      <c r="D260" s="116"/>
      <c r="E260" s="331"/>
      <c r="F260" s="332"/>
      <c r="G260" s="68"/>
      <c r="H260" s="68"/>
      <c r="I260" s="68"/>
      <c r="J260" s="68"/>
      <c r="K260" s="127"/>
      <c r="L260" s="23"/>
      <c r="M260" s="333"/>
      <c r="N260" s="334"/>
      <c r="O260" s="335"/>
      <c r="P260" s="107"/>
      <c r="Q260" s="339"/>
      <c r="R260" s="340"/>
      <c r="S260" s="341"/>
      <c r="T260" s="110"/>
    </row>
    <row r="261" spans="1:20" ht="17.399999999999999">
      <c r="A261" s="72" t="s">
        <v>102</v>
      </c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23"/>
      <c r="M261" s="336">
        <v>0</v>
      </c>
      <c r="N261" s="337"/>
      <c r="O261" s="338"/>
      <c r="P261" s="113" t="s">
        <v>49</v>
      </c>
      <c r="Q261" s="342" t="s">
        <v>49</v>
      </c>
      <c r="R261" s="343"/>
      <c r="S261" s="344"/>
      <c r="T261" s="108" t="s">
        <v>49</v>
      </c>
    </row>
    <row r="262" spans="1:20" ht="17.399999999999999">
      <c r="A262" s="359" t="s">
        <v>107</v>
      </c>
      <c r="B262" s="360"/>
      <c r="C262" s="361"/>
      <c r="D262" s="345"/>
      <c r="E262" s="346"/>
      <c r="F262" s="346"/>
      <c r="G262" s="346"/>
      <c r="H262" s="346"/>
      <c r="I262" s="346"/>
      <c r="J262" s="346"/>
      <c r="K262" s="347"/>
      <c r="L262" s="23"/>
      <c r="M262" s="333"/>
      <c r="N262" s="334"/>
      <c r="O262" s="335"/>
      <c r="P262" s="107"/>
      <c r="Q262" s="339"/>
      <c r="R262" s="340"/>
      <c r="S262" s="341"/>
      <c r="T262" s="109"/>
    </row>
    <row r="263" spans="1:20" ht="17.399999999999999">
      <c r="A263" s="115" t="s">
        <v>108</v>
      </c>
      <c r="B263" s="116"/>
      <c r="C263" s="116"/>
      <c r="D263" s="116"/>
      <c r="E263" s="331"/>
      <c r="F263" s="332"/>
      <c r="G263" s="68"/>
      <c r="H263" s="68"/>
      <c r="I263" s="68"/>
      <c r="J263" s="68"/>
      <c r="K263" s="127"/>
      <c r="L263" s="23"/>
      <c r="M263" s="333"/>
      <c r="N263" s="334"/>
      <c r="O263" s="335"/>
      <c r="P263" s="107"/>
      <c r="Q263" s="339"/>
      <c r="R263" s="340"/>
      <c r="S263" s="341"/>
      <c r="T263" s="110"/>
    </row>
    <row r="264" spans="1:20" ht="17.399999999999999">
      <c r="A264" s="72" t="s">
        <v>102</v>
      </c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23"/>
      <c r="M264" s="336">
        <v>0</v>
      </c>
      <c r="N264" s="337">
        <v>0</v>
      </c>
      <c r="O264" s="338">
        <v>0</v>
      </c>
      <c r="P264" s="113" t="s">
        <v>49</v>
      </c>
      <c r="Q264" s="342" t="s">
        <v>49</v>
      </c>
      <c r="R264" s="343"/>
      <c r="S264" s="344"/>
      <c r="T264" s="108" t="s">
        <v>49</v>
      </c>
    </row>
    <row r="265" spans="1:20" ht="17.399999999999999">
      <c r="A265" s="359" t="s">
        <v>107</v>
      </c>
      <c r="B265" s="360"/>
      <c r="C265" s="361"/>
      <c r="D265" s="543"/>
      <c r="E265" s="541"/>
      <c r="F265" s="541"/>
      <c r="G265" s="541"/>
      <c r="H265" s="541"/>
      <c r="I265" s="541"/>
      <c r="J265" s="541"/>
      <c r="K265" s="544"/>
      <c r="L265" s="25"/>
      <c r="M265" s="333"/>
      <c r="N265" s="334"/>
      <c r="O265" s="335"/>
      <c r="P265" s="107"/>
      <c r="Q265" s="339"/>
      <c r="R265" s="340"/>
      <c r="S265" s="341"/>
      <c r="T265" s="109"/>
    </row>
    <row r="266" spans="1:20" ht="17.399999999999999">
      <c r="A266" s="115" t="s">
        <v>108</v>
      </c>
      <c r="B266" s="116"/>
      <c r="C266" s="116"/>
      <c r="D266" s="116"/>
      <c r="E266" s="363"/>
      <c r="F266" s="363"/>
      <c r="G266" s="68"/>
      <c r="H266" s="68"/>
      <c r="I266" s="68"/>
      <c r="J266" s="68"/>
      <c r="K266" s="125"/>
      <c r="L266" s="25"/>
      <c r="M266" s="333"/>
      <c r="N266" s="334"/>
      <c r="O266" s="335"/>
      <c r="P266" s="107"/>
      <c r="Q266" s="340"/>
      <c r="R266" s="340"/>
      <c r="S266" s="340"/>
      <c r="T266" s="110"/>
    </row>
    <row r="267" spans="1:20" ht="17.399999999999999">
      <c r="A267" s="72" t="s">
        <v>102</v>
      </c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23"/>
      <c r="M267" s="336">
        <v>0</v>
      </c>
      <c r="N267" s="337">
        <v>0</v>
      </c>
      <c r="O267" s="338">
        <v>0</v>
      </c>
      <c r="P267" s="113" t="s">
        <v>49</v>
      </c>
      <c r="Q267" s="342" t="s">
        <v>49</v>
      </c>
      <c r="R267" s="343"/>
      <c r="S267" s="344"/>
      <c r="T267" s="108" t="s">
        <v>49</v>
      </c>
    </row>
    <row r="268" spans="1:20" ht="17.399999999999999">
      <c r="A268" s="359" t="s">
        <v>107</v>
      </c>
      <c r="B268" s="360"/>
      <c r="C268" s="361"/>
      <c r="D268" s="345"/>
      <c r="E268" s="346"/>
      <c r="F268" s="346"/>
      <c r="G268" s="346"/>
      <c r="H268" s="346"/>
      <c r="I268" s="346"/>
      <c r="J268" s="346"/>
      <c r="K268" s="347"/>
      <c r="L268" s="23"/>
      <c r="M268" s="333"/>
      <c r="N268" s="334"/>
      <c r="O268" s="335"/>
      <c r="P268" s="107"/>
      <c r="Q268" s="339"/>
      <c r="R268" s="340"/>
      <c r="S268" s="341"/>
      <c r="T268" s="109"/>
    </row>
    <row r="269" spans="1:20" ht="18" thickBot="1">
      <c r="A269" s="117" t="s">
        <v>108</v>
      </c>
      <c r="B269" s="118"/>
      <c r="C269" s="118"/>
      <c r="D269" s="118"/>
      <c r="E269" s="364"/>
      <c r="F269" s="365"/>
      <c r="G269" s="74"/>
      <c r="H269" s="74"/>
      <c r="I269" s="74"/>
      <c r="J269" s="74"/>
      <c r="K269" s="128"/>
      <c r="L269" s="23"/>
      <c r="M269" s="333"/>
      <c r="N269" s="334"/>
      <c r="O269" s="335"/>
      <c r="P269" s="107"/>
      <c r="Q269" s="339"/>
      <c r="R269" s="340"/>
      <c r="S269" s="341"/>
      <c r="T269" s="110"/>
    </row>
    <row r="270" spans="1:20" ht="17.399999999999999">
      <c r="A270" s="72" t="s">
        <v>102</v>
      </c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23"/>
      <c r="M270" s="336">
        <v>0</v>
      </c>
      <c r="N270" s="337">
        <v>0</v>
      </c>
      <c r="O270" s="338">
        <v>0</v>
      </c>
      <c r="P270" s="113" t="s">
        <v>49</v>
      </c>
      <c r="Q270" s="342" t="s">
        <v>49</v>
      </c>
      <c r="R270" s="343"/>
      <c r="S270" s="344"/>
      <c r="T270" s="108" t="s">
        <v>49</v>
      </c>
    </row>
    <row r="271" spans="1:20" ht="17.399999999999999">
      <c r="A271" s="359" t="s">
        <v>107</v>
      </c>
      <c r="B271" s="360"/>
      <c r="C271" s="361"/>
      <c r="D271" s="345"/>
      <c r="E271" s="346"/>
      <c r="F271" s="346"/>
      <c r="G271" s="346"/>
      <c r="H271" s="346"/>
      <c r="I271" s="346"/>
      <c r="J271" s="346"/>
      <c r="K271" s="362"/>
      <c r="L271" s="23"/>
      <c r="M271" s="333"/>
      <c r="N271" s="334"/>
      <c r="O271" s="335"/>
      <c r="P271" s="107"/>
      <c r="Q271" s="339"/>
      <c r="R271" s="340"/>
      <c r="S271" s="341"/>
      <c r="T271" s="109"/>
    </row>
    <row r="272" spans="1:20" ht="18" thickBot="1">
      <c r="A272" s="117" t="s">
        <v>108</v>
      </c>
      <c r="B272" s="118"/>
      <c r="C272" s="118"/>
      <c r="D272" s="118"/>
      <c r="E272" s="364"/>
      <c r="F272" s="365"/>
      <c r="G272" s="74"/>
      <c r="H272" s="74"/>
      <c r="I272" s="74"/>
      <c r="J272" s="74"/>
      <c r="K272" s="126"/>
      <c r="L272" s="75"/>
      <c r="M272" s="355"/>
      <c r="N272" s="356"/>
      <c r="O272" s="357"/>
      <c r="P272" s="114"/>
      <c r="Q272" s="352"/>
      <c r="R272" s="353"/>
      <c r="S272" s="354"/>
      <c r="T272" s="111"/>
    </row>
    <row r="273" spans="1:20" ht="18" thickBot="1">
      <c r="A273" s="72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23"/>
      <c r="M273" s="355">
        <f>SUM(M235:O272)</f>
        <v>0</v>
      </c>
      <c r="N273" s="356"/>
      <c r="O273" s="357"/>
      <c r="P273" s="113"/>
      <c r="Q273" s="342"/>
      <c r="R273" s="343"/>
      <c r="S273" s="344"/>
      <c r="T273" s="108"/>
    </row>
    <row r="274" spans="1:20" ht="17.399999999999999">
      <c r="A274" s="77" t="s">
        <v>102</v>
      </c>
      <c r="B274" s="519"/>
      <c r="C274" s="519"/>
      <c r="D274" s="519"/>
      <c r="E274" s="519"/>
      <c r="F274" s="519"/>
      <c r="G274" s="519"/>
      <c r="H274" s="519"/>
      <c r="I274" s="519"/>
      <c r="J274" s="519"/>
      <c r="K274" s="519"/>
      <c r="L274" s="34"/>
      <c r="M274" s="366"/>
      <c r="N274" s="367">
        <v>0</v>
      </c>
      <c r="O274" s="368">
        <v>0</v>
      </c>
      <c r="P274" s="123" t="s">
        <v>49</v>
      </c>
      <c r="Q274" s="349" t="s">
        <v>49</v>
      </c>
      <c r="R274" s="350"/>
      <c r="S274" s="351"/>
      <c r="T274" s="124" t="s">
        <v>49</v>
      </c>
    </row>
    <row r="275" spans="1:20" ht="17.399999999999999">
      <c r="A275" s="359" t="s">
        <v>107</v>
      </c>
      <c r="B275" s="360"/>
      <c r="C275" s="361"/>
      <c r="D275" s="345"/>
      <c r="E275" s="346"/>
      <c r="F275" s="346"/>
      <c r="G275" s="346"/>
      <c r="H275" s="346"/>
      <c r="I275" s="346"/>
      <c r="J275" s="346"/>
      <c r="K275" s="347"/>
      <c r="L275" s="23"/>
      <c r="M275" s="333"/>
      <c r="N275" s="334"/>
      <c r="O275" s="335"/>
      <c r="P275" s="107"/>
      <c r="Q275" s="339"/>
      <c r="R275" s="340"/>
      <c r="S275" s="341"/>
      <c r="T275" s="109"/>
    </row>
    <row r="276" spans="1:20" ht="17.399999999999999">
      <c r="A276" s="115" t="s">
        <v>108</v>
      </c>
      <c r="B276" s="116"/>
      <c r="C276" s="116"/>
      <c r="D276" s="116"/>
      <c r="E276" s="331" t="s">
        <v>112</v>
      </c>
      <c r="F276" s="332"/>
      <c r="G276" s="68"/>
      <c r="H276" s="68"/>
      <c r="I276" s="68"/>
      <c r="J276" s="68"/>
      <c r="K276" s="127"/>
      <c r="L276" s="25"/>
      <c r="M276" s="333"/>
      <c r="N276" s="334"/>
      <c r="O276" s="335"/>
      <c r="P276" s="107"/>
      <c r="Q276" s="339"/>
      <c r="R276" s="340"/>
      <c r="S276" s="341"/>
      <c r="T276" s="110"/>
    </row>
    <row r="277" spans="1:20" ht="17.399999999999999">
      <c r="A277" s="72" t="s">
        <v>102</v>
      </c>
      <c r="B277" s="358"/>
      <c r="C277" s="358"/>
      <c r="D277" s="358"/>
      <c r="E277" s="358"/>
      <c r="F277" s="358"/>
      <c r="G277" s="358"/>
      <c r="H277" s="358"/>
      <c r="I277" s="358"/>
      <c r="J277" s="358"/>
      <c r="K277" s="358"/>
      <c r="L277" s="25"/>
      <c r="M277" s="336">
        <v>0</v>
      </c>
      <c r="N277" s="337">
        <v>0</v>
      </c>
      <c r="O277" s="338">
        <v>0</v>
      </c>
      <c r="P277" s="113" t="s">
        <v>49</v>
      </c>
      <c r="Q277" s="342" t="s">
        <v>49</v>
      </c>
      <c r="R277" s="343"/>
      <c r="S277" s="344"/>
      <c r="T277" s="108" t="s">
        <v>49</v>
      </c>
    </row>
    <row r="278" spans="1:20" ht="17.399999999999999">
      <c r="A278" s="359" t="s">
        <v>107</v>
      </c>
      <c r="B278" s="360"/>
      <c r="C278" s="361"/>
      <c r="D278" s="345"/>
      <c r="E278" s="346"/>
      <c r="F278" s="346"/>
      <c r="G278" s="346"/>
      <c r="H278" s="346"/>
      <c r="I278" s="346"/>
      <c r="J278" s="346"/>
      <c r="K278" s="347"/>
      <c r="L278" s="23"/>
      <c r="M278" s="333"/>
      <c r="N278" s="334"/>
      <c r="O278" s="335"/>
      <c r="P278" s="107"/>
      <c r="Q278" s="339"/>
      <c r="R278" s="340"/>
      <c r="S278" s="341"/>
      <c r="T278" s="109"/>
    </row>
    <row r="279" spans="1:20" ht="17.399999999999999">
      <c r="A279" s="115" t="s">
        <v>108</v>
      </c>
      <c r="B279" s="116"/>
      <c r="C279" s="116"/>
      <c r="D279" s="116"/>
      <c r="E279" s="331" t="s">
        <v>112</v>
      </c>
      <c r="F279" s="332"/>
      <c r="G279" s="68"/>
      <c r="H279" s="68"/>
      <c r="I279" s="68"/>
      <c r="J279" s="68"/>
      <c r="K279" s="127"/>
      <c r="L279" s="23"/>
      <c r="M279" s="333"/>
      <c r="N279" s="334"/>
      <c r="O279" s="335"/>
      <c r="P279" s="107"/>
      <c r="Q279" s="339"/>
      <c r="R279" s="340"/>
      <c r="S279" s="341"/>
      <c r="T279" s="110"/>
    </row>
    <row r="280" spans="1:20" ht="17.399999999999999">
      <c r="A280" s="72" t="s">
        <v>102</v>
      </c>
      <c r="B280" s="358"/>
      <c r="C280" s="358"/>
      <c r="D280" s="358"/>
      <c r="E280" s="358"/>
      <c r="F280" s="358"/>
      <c r="G280" s="358"/>
      <c r="H280" s="358"/>
      <c r="I280" s="358"/>
      <c r="J280" s="358"/>
      <c r="K280" s="358"/>
      <c r="L280" s="23"/>
      <c r="M280" s="336">
        <v>0</v>
      </c>
      <c r="N280" s="337">
        <v>0</v>
      </c>
      <c r="O280" s="338">
        <v>0</v>
      </c>
      <c r="P280" s="113" t="s">
        <v>49</v>
      </c>
      <c r="Q280" s="342" t="s">
        <v>49</v>
      </c>
      <c r="R280" s="343"/>
      <c r="S280" s="344"/>
      <c r="T280" s="108" t="s">
        <v>49</v>
      </c>
    </row>
    <row r="281" spans="1:20" ht="17.399999999999999">
      <c r="A281" s="359" t="s">
        <v>107</v>
      </c>
      <c r="B281" s="360"/>
      <c r="C281" s="361"/>
      <c r="D281" s="345"/>
      <c r="E281" s="346"/>
      <c r="F281" s="346"/>
      <c r="G281" s="346"/>
      <c r="H281" s="346"/>
      <c r="I281" s="346"/>
      <c r="J281" s="346"/>
      <c r="K281" s="347"/>
      <c r="L281" s="23"/>
      <c r="M281" s="333"/>
      <c r="N281" s="334"/>
      <c r="O281" s="335"/>
      <c r="P281" s="107"/>
      <c r="Q281" s="339"/>
      <c r="R281" s="340"/>
      <c r="S281" s="341"/>
      <c r="T281" s="109"/>
    </row>
    <row r="282" spans="1:20" ht="17.399999999999999">
      <c r="A282" s="115" t="s">
        <v>108</v>
      </c>
      <c r="B282" s="116"/>
      <c r="C282" s="116"/>
      <c r="D282" s="116"/>
      <c r="E282" s="331" t="s">
        <v>112</v>
      </c>
      <c r="F282" s="332"/>
      <c r="G282" s="68"/>
      <c r="H282" s="68"/>
      <c r="I282" s="68"/>
      <c r="J282" s="68"/>
      <c r="K282" s="127"/>
      <c r="L282" s="23"/>
      <c r="M282" s="333"/>
      <c r="N282" s="334"/>
      <c r="O282" s="335"/>
      <c r="P282" s="107"/>
      <c r="Q282" s="339"/>
      <c r="R282" s="340"/>
      <c r="S282" s="341"/>
      <c r="T282" s="110"/>
    </row>
    <row r="283" spans="1:20" ht="17.399999999999999">
      <c r="A283" s="72" t="s">
        <v>102</v>
      </c>
      <c r="B283" s="358"/>
      <c r="C283" s="358"/>
      <c r="D283" s="358"/>
      <c r="E283" s="358"/>
      <c r="F283" s="358"/>
      <c r="G283" s="358"/>
      <c r="H283" s="358"/>
      <c r="I283" s="358"/>
      <c r="J283" s="358"/>
      <c r="K283" s="358" t="s">
        <v>111</v>
      </c>
      <c r="L283" s="23"/>
      <c r="M283" s="336">
        <v>0</v>
      </c>
      <c r="N283" s="337">
        <v>0</v>
      </c>
      <c r="O283" s="338">
        <v>0</v>
      </c>
      <c r="P283" s="113" t="s">
        <v>49</v>
      </c>
      <c r="Q283" s="342" t="s">
        <v>49</v>
      </c>
      <c r="R283" s="343"/>
      <c r="S283" s="344"/>
      <c r="T283" s="108" t="s">
        <v>49</v>
      </c>
    </row>
    <row r="284" spans="1:20" ht="17.399999999999999">
      <c r="A284" s="359" t="s">
        <v>107</v>
      </c>
      <c r="B284" s="360"/>
      <c r="C284" s="361"/>
      <c r="D284" s="345"/>
      <c r="E284" s="346"/>
      <c r="F284" s="346"/>
      <c r="G284" s="346"/>
      <c r="H284" s="346"/>
      <c r="I284" s="346"/>
      <c r="J284" s="346"/>
      <c r="K284" s="347"/>
      <c r="L284" s="23"/>
      <c r="M284" s="333"/>
      <c r="N284" s="334"/>
      <c r="O284" s="335"/>
      <c r="P284" s="107"/>
      <c r="Q284" s="339"/>
      <c r="R284" s="340"/>
      <c r="S284" s="341"/>
      <c r="T284" s="109"/>
    </row>
    <row r="285" spans="1:20" ht="17.399999999999999">
      <c r="A285" s="115" t="s">
        <v>108</v>
      </c>
      <c r="B285" s="116"/>
      <c r="C285" s="116"/>
      <c r="D285" s="116"/>
      <c r="E285" s="331" t="s">
        <v>112</v>
      </c>
      <c r="F285" s="332"/>
      <c r="G285" s="68"/>
      <c r="H285" s="68"/>
      <c r="I285" s="68"/>
      <c r="J285" s="68"/>
      <c r="K285" s="127"/>
      <c r="L285" s="23"/>
      <c r="M285" s="333"/>
      <c r="N285" s="334"/>
      <c r="O285" s="335"/>
      <c r="P285" s="107"/>
      <c r="Q285" s="339"/>
      <c r="R285" s="340"/>
      <c r="S285" s="341"/>
      <c r="T285" s="110"/>
    </row>
    <row r="286" spans="1:20" ht="17.399999999999999">
      <c r="A286" s="72" t="s">
        <v>102</v>
      </c>
      <c r="B286" s="358"/>
      <c r="C286" s="358"/>
      <c r="D286" s="358"/>
      <c r="E286" s="358"/>
      <c r="F286" s="358"/>
      <c r="G286" s="358"/>
      <c r="H286" s="358"/>
      <c r="I286" s="358"/>
      <c r="J286" s="358"/>
      <c r="K286" s="358" t="s">
        <v>111</v>
      </c>
      <c r="L286" s="23"/>
      <c r="M286" s="336">
        <v>0</v>
      </c>
      <c r="N286" s="337">
        <v>0</v>
      </c>
      <c r="O286" s="338">
        <v>0</v>
      </c>
      <c r="P286" s="113" t="s">
        <v>49</v>
      </c>
      <c r="Q286" s="342" t="s">
        <v>49</v>
      </c>
      <c r="R286" s="343"/>
      <c r="S286" s="344"/>
      <c r="T286" s="108" t="s">
        <v>49</v>
      </c>
    </row>
    <row r="287" spans="1:20" ht="17.399999999999999">
      <c r="A287" s="359" t="s">
        <v>107</v>
      </c>
      <c r="B287" s="360"/>
      <c r="C287" s="361"/>
      <c r="D287" s="345"/>
      <c r="E287" s="346"/>
      <c r="F287" s="346"/>
      <c r="G287" s="346"/>
      <c r="H287" s="346"/>
      <c r="I287" s="346"/>
      <c r="J287" s="346"/>
      <c r="K287" s="347"/>
      <c r="L287" s="23"/>
      <c r="M287" s="333"/>
      <c r="N287" s="334"/>
      <c r="O287" s="335"/>
      <c r="P287" s="107"/>
      <c r="Q287" s="339"/>
      <c r="R287" s="340"/>
      <c r="S287" s="341"/>
      <c r="T287" s="109"/>
    </row>
    <row r="288" spans="1:20" ht="17.399999999999999">
      <c r="A288" s="115" t="s">
        <v>108</v>
      </c>
      <c r="B288" s="116"/>
      <c r="C288" s="116"/>
      <c r="D288" s="116"/>
      <c r="E288" s="331" t="s">
        <v>112</v>
      </c>
      <c r="F288" s="332"/>
      <c r="G288" s="68"/>
      <c r="H288" s="68"/>
      <c r="I288" s="68"/>
      <c r="J288" s="68"/>
      <c r="K288" s="127"/>
      <c r="L288" s="23"/>
      <c r="M288" s="333"/>
      <c r="N288" s="334"/>
      <c r="O288" s="335"/>
      <c r="P288" s="107"/>
      <c r="Q288" s="339"/>
      <c r="R288" s="340"/>
      <c r="S288" s="341"/>
      <c r="T288" s="110"/>
    </row>
    <row r="289" spans="1:20" ht="17.399999999999999">
      <c r="A289" s="72" t="s">
        <v>102</v>
      </c>
      <c r="B289" s="358"/>
      <c r="C289" s="358"/>
      <c r="D289" s="358"/>
      <c r="E289" s="358"/>
      <c r="F289" s="358"/>
      <c r="G289" s="358"/>
      <c r="H289" s="358"/>
      <c r="I289" s="358"/>
      <c r="J289" s="358"/>
      <c r="K289" s="358" t="s">
        <v>111</v>
      </c>
      <c r="L289" s="23"/>
      <c r="M289" s="336">
        <v>0</v>
      </c>
      <c r="N289" s="337">
        <v>0</v>
      </c>
      <c r="O289" s="338">
        <v>0</v>
      </c>
      <c r="P289" s="113" t="s">
        <v>49</v>
      </c>
      <c r="Q289" s="342" t="s">
        <v>49</v>
      </c>
      <c r="R289" s="343"/>
      <c r="S289" s="344"/>
      <c r="T289" s="108" t="s">
        <v>49</v>
      </c>
    </row>
    <row r="290" spans="1:20" ht="17.399999999999999">
      <c r="A290" s="359" t="s">
        <v>107</v>
      </c>
      <c r="B290" s="360"/>
      <c r="C290" s="361"/>
      <c r="D290" s="345"/>
      <c r="E290" s="346"/>
      <c r="F290" s="346"/>
      <c r="G290" s="346"/>
      <c r="H290" s="346"/>
      <c r="I290" s="346"/>
      <c r="J290" s="346"/>
      <c r="K290" s="347"/>
      <c r="L290" s="23"/>
      <c r="M290" s="333"/>
      <c r="N290" s="334"/>
      <c r="O290" s="335"/>
      <c r="P290" s="107"/>
      <c r="Q290" s="339"/>
      <c r="R290" s="340"/>
      <c r="S290" s="341"/>
      <c r="T290" s="109"/>
    </row>
    <row r="291" spans="1:20" ht="17.399999999999999">
      <c r="A291" s="115" t="s">
        <v>108</v>
      </c>
      <c r="B291" s="116"/>
      <c r="C291" s="116"/>
      <c r="D291" s="116"/>
      <c r="E291" s="331"/>
      <c r="F291" s="332"/>
      <c r="G291" s="68"/>
      <c r="H291" s="68"/>
      <c r="I291" s="68"/>
      <c r="J291" s="68"/>
      <c r="K291" s="127"/>
      <c r="L291" s="23"/>
      <c r="M291" s="333"/>
      <c r="N291" s="334"/>
      <c r="O291" s="335"/>
      <c r="P291" s="107"/>
      <c r="Q291" s="339"/>
      <c r="R291" s="340"/>
      <c r="S291" s="341"/>
      <c r="T291" s="110"/>
    </row>
    <row r="292" spans="1:20" ht="17.399999999999999">
      <c r="A292" s="72" t="s">
        <v>102</v>
      </c>
      <c r="B292" s="358"/>
      <c r="C292" s="358"/>
      <c r="D292" s="358"/>
      <c r="E292" s="358"/>
      <c r="F292" s="358"/>
      <c r="G292" s="358"/>
      <c r="H292" s="358"/>
      <c r="I292" s="358"/>
      <c r="J292" s="358"/>
      <c r="K292" s="358"/>
      <c r="L292" s="23"/>
      <c r="M292" s="336">
        <v>0</v>
      </c>
      <c r="N292" s="337">
        <v>0</v>
      </c>
      <c r="O292" s="338">
        <v>0</v>
      </c>
      <c r="P292" s="113" t="s">
        <v>49</v>
      </c>
      <c r="Q292" s="342" t="s">
        <v>49</v>
      </c>
      <c r="R292" s="343"/>
      <c r="S292" s="344"/>
      <c r="T292" s="108" t="s">
        <v>49</v>
      </c>
    </row>
    <row r="293" spans="1:20" ht="17.399999999999999">
      <c r="A293" s="359" t="s">
        <v>107</v>
      </c>
      <c r="B293" s="360"/>
      <c r="C293" s="361"/>
      <c r="D293" s="345"/>
      <c r="E293" s="346"/>
      <c r="F293" s="346"/>
      <c r="G293" s="346"/>
      <c r="H293" s="346"/>
      <c r="I293" s="346"/>
      <c r="J293" s="346"/>
      <c r="K293" s="347"/>
      <c r="L293" s="23"/>
      <c r="M293" s="333"/>
      <c r="N293" s="334"/>
      <c r="O293" s="335"/>
      <c r="P293" s="107"/>
      <c r="Q293" s="339"/>
      <c r="R293" s="340"/>
      <c r="S293" s="341"/>
      <c r="T293" s="109"/>
    </row>
    <row r="294" spans="1:20" ht="17.399999999999999">
      <c r="A294" s="115" t="s">
        <v>108</v>
      </c>
      <c r="B294" s="116"/>
      <c r="C294" s="116"/>
      <c r="D294" s="116"/>
      <c r="E294" s="331"/>
      <c r="F294" s="332"/>
      <c r="G294" s="68"/>
      <c r="H294" s="68"/>
      <c r="I294" s="68"/>
      <c r="J294" s="68"/>
      <c r="K294" s="127"/>
      <c r="L294" s="23"/>
      <c r="M294" s="333"/>
      <c r="N294" s="334"/>
      <c r="O294" s="335"/>
      <c r="P294" s="107"/>
      <c r="Q294" s="339"/>
      <c r="R294" s="340"/>
      <c r="S294" s="341"/>
      <c r="T294" s="110"/>
    </row>
    <row r="295" spans="1:20" ht="17.399999999999999">
      <c r="A295" s="72" t="s">
        <v>102</v>
      </c>
      <c r="B295" s="358"/>
      <c r="C295" s="358"/>
      <c r="D295" s="358"/>
      <c r="E295" s="358"/>
      <c r="F295" s="358"/>
      <c r="G295" s="358"/>
      <c r="H295" s="358"/>
      <c r="I295" s="358"/>
      <c r="J295" s="358"/>
      <c r="K295" s="358"/>
      <c r="L295" s="23"/>
      <c r="M295" s="336">
        <v>0</v>
      </c>
      <c r="N295" s="337">
        <v>0</v>
      </c>
      <c r="O295" s="338">
        <v>0</v>
      </c>
      <c r="P295" s="113" t="s">
        <v>49</v>
      </c>
      <c r="Q295" s="342" t="s">
        <v>49</v>
      </c>
      <c r="R295" s="343"/>
      <c r="S295" s="344"/>
      <c r="T295" s="108" t="s">
        <v>49</v>
      </c>
    </row>
    <row r="296" spans="1:20" ht="17.399999999999999">
      <c r="A296" s="359" t="s">
        <v>107</v>
      </c>
      <c r="B296" s="360"/>
      <c r="C296" s="361"/>
      <c r="D296" s="345"/>
      <c r="E296" s="346"/>
      <c r="F296" s="346"/>
      <c r="G296" s="346"/>
      <c r="H296" s="346"/>
      <c r="I296" s="346"/>
      <c r="J296" s="346"/>
      <c r="K296" s="347"/>
      <c r="L296" s="23"/>
      <c r="M296" s="333"/>
      <c r="N296" s="334"/>
      <c r="O296" s="335"/>
      <c r="P296" s="107"/>
      <c r="Q296" s="339"/>
      <c r="R296" s="340"/>
      <c r="S296" s="341"/>
      <c r="T296" s="109"/>
    </row>
    <row r="297" spans="1:20" ht="17.399999999999999">
      <c r="A297" s="115" t="s">
        <v>108</v>
      </c>
      <c r="B297" s="116"/>
      <c r="C297" s="116"/>
      <c r="D297" s="116"/>
      <c r="E297" s="331"/>
      <c r="F297" s="332"/>
      <c r="G297" s="68"/>
      <c r="H297" s="68"/>
      <c r="I297" s="68"/>
      <c r="J297" s="68"/>
      <c r="K297" s="127"/>
      <c r="L297" s="23"/>
      <c r="M297" s="333"/>
      <c r="N297" s="334"/>
      <c r="O297" s="335"/>
      <c r="P297" s="107"/>
      <c r="Q297" s="339"/>
      <c r="R297" s="340"/>
      <c r="S297" s="341"/>
      <c r="T297" s="110"/>
    </row>
    <row r="298" spans="1:20" ht="17.399999999999999">
      <c r="A298" s="72" t="s">
        <v>102</v>
      </c>
      <c r="B298" s="358"/>
      <c r="C298" s="358"/>
      <c r="D298" s="358"/>
      <c r="E298" s="358"/>
      <c r="F298" s="358"/>
      <c r="G298" s="358"/>
      <c r="H298" s="358"/>
      <c r="I298" s="358"/>
      <c r="J298" s="358"/>
      <c r="K298" s="358"/>
      <c r="L298" s="23"/>
      <c r="M298" s="336">
        <v>0</v>
      </c>
      <c r="N298" s="337"/>
      <c r="O298" s="338"/>
      <c r="P298" s="113" t="s">
        <v>49</v>
      </c>
      <c r="Q298" s="342" t="s">
        <v>49</v>
      </c>
      <c r="R298" s="343"/>
      <c r="S298" s="344"/>
      <c r="T298" s="108" t="s">
        <v>49</v>
      </c>
    </row>
    <row r="299" spans="1:20" ht="17.399999999999999">
      <c r="A299" s="359" t="s">
        <v>107</v>
      </c>
      <c r="B299" s="360"/>
      <c r="C299" s="361"/>
      <c r="D299" s="345"/>
      <c r="E299" s="346"/>
      <c r="F299" s="346"/>
      <c r="G299" s="346"/>
      <c r="H299" s="346"/>
      <c r="I299" s="346"/>
      <c r="J299" s="346"/>
      <c r="K299" s="347"/>
      <c r="L299" s="23"/>
      <c r="M299" s="333"/>
      <c r="N299" s="334"/>
      <c r="O299" s="335"/>
      <c r="P299" s="107"/>
      <c r="Q299" s="339"/>
      <c r="R299" s="340"/>
      <c r="S299" s="341"/>
      <c r="T299" s="109"/>
    </row>
    <row r="300" spans="1:20" ht="17.399999999999999">
      <c r="A300" s="115" t="s">
        <v>108</v>
      </c>
      <c r="B300" s="116"/>
      <c r="C300" s="116"/>
      <c r="D300" s="116"/>
      <c r="E300" s="331"/>
      <c r="F300" s="332"/>
      <c r="G300" s="68"/>
      <c r="H300" s="68"/>
      <c r="I300" s="68"/>
      <c r="J300" s="68"/>
      <c r="K300" s="127"/>
      <c r="L300" s="23"/>
      <c r="M300" s="333"/>
      <c r="N300" s="334"/>
      <c r="O300" s="335"/>
      <c r="P300" s="107"/>
      <c r="Q300" s="339"/>
      <c r="R300" s="340"/>
      <c r="S300" s="341"/>
      <c r="T300" s="110"/>
    </row>
    <row r="301" spans="1:20" ht="17.399999999999999">
      <c r="A301" s="72" t="s">
        <v>102</v>
      </c>
      <c r="B301" s="358"/>
      <c r="C301" s="358"/>
      <c r="D301" s="358"/>
      <c r="E301" s="358"/>
      <c r="F301" s="358"/>
      <c r="G301" s="358"/>
      <c r="H301" s="358"/>
      <c r="I301" s="358"/>
      <c r="J301" s="358"/>
      <c r="K301" s="358"/>
      <c r="L301" s="23"/>
      <c r="M301" s="336">
        <v>0</v>
      </c>
      <c r="N301" s="337">
        <v>0</v>
      </c>
      <c r="O301" s="338">
        <v>0</v>
      </c>
      <c r="P301" s="113" t="s">
        <v>49</v>
      </c>
      <c r="Q301" s="342" t="s">
        <v>49</v>
      </c>
      <c r="R301" s="343"/>
      <c r="S301" s="344"/>
      <c r="T301" s="108" t="s">
        <v>49</v>
      </c>
    </row>
    <row r="302" spans="1:20" ht="17.399999999999999">
      <c r="A302" s="359" t="s">
        <v>107</v>
      </c>
      <c r="B302" s="360"/>
      <c r="C302" s="361"/>
      <c r="D302" s="345"/>
      <c r="E302" s="346"/>
      <c r="F302" s="346"/>
      <c r="G302" s="346"/>
      <c r="H302" s="346"/>
      <c r="I302" s="346"/>
      <c r="J302" s="346"/>
      <c r="K302" s="347"/>
      <c r="L302" s="23"/>
      <c r="M302" s="333"/>
      <c r="N302" s="334"/>
      <c r="O302" s="335"/>
      <c r="P302" s="107"/>
      <c r="Q302" s="339"/>
      <c r="R302" s="340"/>
      <c r="S302" s="341"/>
      <c r="T302" s="109"/>
    </row>
    <row r="303" spans="1:20" ht="17.399999999999999">
      <c r="A303" s="115" t="s">
        <v>108</v>
      </c>
      <c r="B303" s="116"/>
      <c r="C303" s="116"/>
      <c r="D303" s="116"/>
      <c r="E303" s="331"/>
      <c r="F303" s="332"/>
      <c r="G303" s="68"/>
      <c r="H303" s="68"/>
      <c r="I303" s="68"/>
      <c r="J303" s="68"/>
      <c r="K303" s="127"/>
      <c r="L303" s="23"/>
      <c r="M303" s="333"/>
      <c r="N303" s="334"/>
      <c r="O303" s="335"/>
      <c r="P303" s="107"/>
      <c r="Q303" s="339"/>
      <c r="R303" s="340"/>
      <c r="S303" s="341"/>
      <c r="T303" s="110"/>
    </row>
    <row r="304" spans="1:20" ht="17.399999999999999">
      <c r="A304" s="72" t="s">
        <v>102</v>
      </c>
      <c r="B304" s="358"/>
      <c r="C304" s="358"/>
      <c r="D304" s="358"/>
      <c r="E304" s="358"/>
      <c r="F304" s="358"/>
      <c r="G304" s="358"/>
      <c r="H304" s="358"/>
      <c r="I304" s="358"/>
      <c r="J304" s="358"/>
      <c r="K304" s="358"/>
      <c r="L304" s="23"/>
      <c r="M304" s="336">
        <v>0</v>
      </c>
      <c r="N304" s="337">
        <v>0</v>
      </c>
      <c r="O304" s="338">
        <v>0</v>
      </c>
      <c r="P304" s="113" t="s">
        <v>49</v>
      </c>
      <c r="Q304" s="342" t="s">
        <v>49</v>
      </c>
      <c r="R304" s="343"/>
      <c r="S304" s="344"/>
      <c r="T304" s="108" t="s">
        <v>49</v>
      </c>
    </row>
    <row r="305" spans="1:20" ht="17.399999999999999">
      <c r="A305" s="359" t="s">
        <v>107</v>
      </c>
      <c r="B305" s="360"/>
      <c r="C305" s="361"/>
      <c r="D305" s="345"/>
      <c r="E305" s="346"/>
      <c r="F305" s="346"/>
      <c r="G305" s="346"/>
      <c r="H305" s="346"/>
      <c r="I305" s="346"/>
      <c r="J305" s="346"/>
      <c r="K305" s="347"/>
      <c r="L305" s="23"/>
      <c r="M305" s="333"/>
      <c r="N305" s="334"/>
      <c r="O305" s="335"/>
      <c r="P305" s="107"/>
      <c r="Q305" s="339"/>
      <c r="R305" s="340"/>
      <c r="S305" s="341"/>
      <c r="T305" s="109"/>
    </row>
    <row r="306" spans="1:20" ht="17.399999999999999">
      <c r="A306" s="115" t="s">
        <v>108</v>
      </c>
      <c r="B306" s="116"/>
      <c r="C306" s="116"/>
      <c r="D306" s="116"/>
      <c r="E306" s="331"/>
      <c r="F306" s="332"/>
      <c r="G306" s="68"/>
      <c r="H306" s="68"/>
      <c r="I306" s="68"/>
      <c r="J306" s="68"/>
      <c r="K306" s="127"/>
      <c r="L306" s="23"/>
      <c r="M306" s="333"/>
      <c r="N306" s="334"/>
      <c r="O306" s="335"/>
      <c r="P306" s="107"/>
      <c r="Q306" s="339"/>
      <c r="R306" s="340"/>
      <c r="S306" s="341"/>
      <c r="T306" s="110"/>
    </row>
    <row r="307" spans="1:20" ht="17.399999999999999">
      <c r="A307" s="72" t="s">
        <v>102</v>
      </c>
      <c r="B307" s="358"/>
      <c r="C307" s="358"/>
      <c r="D307" s="358"/>
      <c r="E307" s="358"/>
      <c r="F307" s="358"/>
      <c r="G307" s="358"/>
      <c r="H307" s="358"/>
      <c r="I307" s="358"/>
      <c r="J307" s="358"/>
      <c r="K307" s="358"/>
      <c r="L307" s="23"/>
      <c r="M307" s="336">
        <v>0</v>
      </c>
      <c r="N307" s="337"/>
      <c r="O307" s="338"/>
      <c r="P307" s="113" t="s">
        <v>49</v>
      </c>
      <c r="Q307" s="342" t="s">
        <v>49</v>
      </c>
      <c r="R307" s="343"/>
      <c r="S307" s="344"/>
      <c r="T307" s="108" t="s">
        <v>49</v>
      </c>
    </row>
    <row r="308" spans="1:20" ht="17.399999999999999">
      <c r="A308" s="359" t="s">
        <v>107</v>
      </c>
      <c r="B308" s="360"/>
      <c r="C308" s="361"/>
      <c r="D308" s="345"/>
      <c r="E308" s="346"/>
      <c r="F308" s="346"/>
      <c r="G308" s="346"/>
      <c r="H308" s="346"/>
      <c r="I308" s="346"/>
      <c r="J308" s="346"/>
      <c r="K308" s="347"/>
      <c r="L308" s="23"/>
      <c r="M308" s="333"/>
      <c r="N308" s="334"/>
      <c r="O308" s="335"/>
      <c r="P308" s="107"/>
      <c r="Q308" s="339"/>
      <c r="R308" s="340"/>
      <c r="S308" s="341"/>
      <c r="T308" s="109"/>
    </row>
    <row r="309" spans="1:20" ht="17.399999999999999">
      <c r="A309" s="115" t="s">
        <v>108</v>
      </c>
      <c r="B309" s="116"/>
      <c r="C309" s="116"/>
      <c r="D309" s="116"/>
      <c r="E309" s="331"/>
      <c r="F309" s="332"/>
      <c r="G309" s="68"/>
      <c r="H309" s="68"/>
      <c r="I309" s="68"/>
      <c r="J309" s="68"/>
      <c r="K309" s="127"/>
      <c r="L309" s="23"/>
      <c r="M309" s="333"/>
      <c r="N309" s="334"/>
      <c r="O309" s="335"/>
      <c r="P309" s="107"/>
      <c r="Q309" s="339"/>
      <c r="R309" s="340"/>
      <c r="S309" s="341"/>
      <c r="T309" s="110"/>
    </row>
    <row r="310" spans="1:20" ht="17.399999999999999">
      <c r="A310" s="72" t="s">
        <v>102</v>
      </c>
      <c r="B310" s="358"/>
      <c r="C310" s="358"/>
      <c r="D310" s="358"/>
      <c r="E310" s="358"/>
      <c r="F310" s="358"/>
      <c r="G310" s="358"/>
      <c r="H310" s="358"/>
      <c r="I310" s="358"/>
      <c r="J310" s="358"/>
      <c r="K310" s="358"/>
      <c r="L310" s="23"/>
      <c r="M310" s="336">
        <v>0</v>
      </c>
      <c r="N310" s="337">
        <v>0</v>
      </c>
      <c r="O310" s="338">
        <v>0</v>
      </c>
      <c r="P310" s="113" t="s">
        <v>49</v>
      </c>
      <c r="Q310" s="342" t="s">
        <v>49</v>
      </c>
      <c r="R310" s="343"/>
      <c r="S310" s="344"/>
      <c r="T310" s="108" t="s">
        <v>49</v>
      </c>
    </row>
    <row r="311" spans="1:20" ht="17.399999999999999">
      <c r="A311" s="359" t="s">
        <v>107</v>
      </c>
      <c r="B311" s="360"/>
      <c r="C311" s="361"/>
      <c r="D311" s="543"/>
      <c r="E311" s="541"/>
      <c r="F311" s="541"/>
      <c r="G311" s="541"/>
      <c r="H311" s="541"/>
      <c r="I311" s="541"/>
      <c r="J311" s="541"/>
      <c r="K311" s="544"/>
      <c r="L311" s="25"/>
      <c r="M311" s="333"/>
      <c r="N311" s="334"/>
      <c r="O311" s="335"/>
      <c r="P311" s="107"/>
      <c r="Q311" s="339"/>
      <c r="R311" s="340"/>
      <c r="S311" s="341"/>
      <c r="T311" s="109"/>
    </row>
    <row r="312" spans="1:20" ht="17.399999999999999">
      <c r="A312" s="115" t="s">
        <v>108</v>
      </c>
      <c r="B312" s="116"/>
      <c r="C312" s="116"/>
      <c r="D312" s="116"/>
      <c r="E312" s="363"/>
      <c r="F312" s="363"/>
      <c r="G312" s="68"/>
      <c r="H312" s="68"/>
      <c r="I312" s="68"/>
      <c r="J312" s="68"/>
      <c r="K312" s="125"/>
      <c r="L312" s="25"/>
      <c r="M312" s="333"/>
      <c r="N312" s="334"/>
      <c r="O312" s="335"/>
      <c r="P312" s="107"/>
      <c r="Q312" s="340"/>
      <c r="R312" s="340"/>
      <c r="S312" s="340"/>
      <c r="T312" s="110"/>
    </row>
    <row r="313" spans="1:20" ht="17.399999999999999">
      <c r="A313" s="72" t="s">
        <v>102</v>
      </c>
      <c r="B313" s="358"/>
      <c r="C313" s="358"/>
      <c r="D313" s="358"/>
      <c r="E313" s="358"/>
      <c r="F313" s="358"/>
      <c r="G313" s="358"/>
      <c r="H313" s="358"/>
      <c r="I313" s="358"/>
      <c r="J313" s="358"/>
      <c r="K313" s="358"/>
      <c r="L313" s="23"/>
      <c r="M313" s="336">
        <v>0</v>
      </c>
      <c r="N313" s="337">
        <v>0</v>
      </c>
      <c r="O313" s="338">
        <v>0</v>
      </c>
      <c r="P313" s="113" t="s">
        <v>49</v>
      </c>
      <c r="Q313" s="342" t="s">
        <v>49</v>
      </c>
      <c r="R313" s="343"/>
      <c r="S313" s="344"/>
      <c r="T313" s="108" t="s">
        <v>49</v>
      </c>
    </row>
    <row r="314" spans="1:20" ht="17.399999999999999">
      <c r="A314" s="359" t="s">
        <v>107</v>
      </c>
      <c r="B314" s="360"/>
      <c r="C314" s="361"/>
      <c r="D314" s="345"/>
      <c r="E314" s="346"/>
      <c r="F314" s="346"/>
      <c r="G314" s="346"/>
      <c r="H314" s="346"/>
      <c r="I314" s="346"/>
      <c r="J314" s="346"/>
      <c r="K314" s="347"/>
      <c r="L314" s="23"/>
      <c r="M314" s="333"/>
      <c r="N314" s="334"/>
      <c r="O314" s="335"/>
      <c r="P314" s="107"/>
      <c r="Q314" s="339"/>
      <c r="R314" s="340"/>
      <c r="S314" s="341"/>
      <c r="T314" s="109"/>
    </row>
    <row r="315" spans="1:20" ht="18" thickBot="1">
      <c r="A315" s="117" t="s">
        <v>108</v>
      </c>
      <c r="B315" s="118"/>
      <c r="C315" s="118"/>
      <c r="D315" s="118"/>
      <c r="E315" s="364"/>
      <c r="F315" s="365"/>
      <c r="G315" s="74"/>
      <c r="H315" s="74"/>
      <c r="I315" s="74"/>
      <c r="J315" s="74"/>
      <c r="K315" s="128"/>
      <c r="L315" s="23"/>
      <c r="M315" s="333"/>
      <c r="N315" s="334"/>
      <c r="O315" s="335"/>
      <c r="P315" s="107"/>
      <c r="Q315" s="339"/>
      <c r="R315" s="340"/>
      <c r="S315" s="341"/>
      <c r="T315" s="110"/>
    </row>
    <row r="316" spans="1:20" ht="17.399999999999999">
      <c r="A316" s="72" t="s">
        <v>102</v>
      </c>
      <c r="B316" s="358"/>
      <c r="C316" s="358"/>
      <c r="D316" s="358"/>
      <c r="E316" s="358"/>
      <c r="F316" s="358"/>
      <c r="G316" s="358"/>
      <c r="H316" s="358"/>
      <c r="I316" s="358"/>
      <c r="J316" s="358"/>
      <c r="K316" s="358"/>
      <c r="L316" s="23"/>
      <c r="M316" s="336">
        <v>0</v>
      </c>
      <c r="N316" s="337">
        <v>0</v>
      </c>
      <c r="O316" s="338">
        <v>0</v>
      </c>
      <c r="P316" s="113" t="s">
        <v>49</v>
      </c>
      <c r="Q316" s="342" t="s">
        <v>49</v>
      </c>
      <c r="R316" s="343"/>
      <c r="S316" s="344"/>
      <c r="T316" s="108" t="s">
        <v>49</v>
      </c>
    </row>
    <row r="317" spans="1:20" ht="17.399999999999999">
      <c r="A317" s="359" t="s">
        <v>107</v>
      </c>
      <c r="B317" s="360"/>
      <c r="C317" s="361"/>
      <c r="D317" s="345"/>
      <c r="E317" s="346"/>
      <c r="F317" s="346"/>
      <c r="G317" s="346"/>
      <c r="H317" s="346"/>
      <c r="I317" s="346"/>
      <c r="J317" s="346"/>
      <c r="K317" s="362"/>
      <c r="L317" s="23"/>
      <c r="M317" s="333"/>
      <c r="N317" s="334"/>
      <c r="O317" s="335"/>
      <c r="P317" s="107"/>
      <c r="Q317" s="339"/>
      <c r="R317" s="340"/>
      <c r="S317" s="341"/>
      <c r="T317" s="109"/>
    </row>
    <row r="318" spans="1:20" ht="18" thickBot="1">
      <c r="A318" s="117" t="s">
        <v>108</v>
      </c>
      <c r="B318" s="118"/>
      <c r="C318" s="118"/>
      <c r="D318" s="118"/>
      <c r="E318" s="364"/>
      <c r="F318" s="365"/>
      <c r="G318" s="74"/>
      <c r="H318" s="74"/>
      <c r="I318" s="74"/>
      <c r="J318" s="74"/>
      <c r="K318" s="126"/>
      <c r="L318" s="75"/>
      <c r="M318" s="355"/>
      <c r="N318" s="356"/>
      <c r="O318" s="357"/>
      <c r="P318" s="114"/>
      <c r="Q318" s="352"/>
      <c r="R318" s="353"/>
      <c r="S318" s="354"/>
      <c r="T318" s="111"/>
    </row>
    <row r="319" spans="1:20" ht="18" thickBot="1">
      <c r="A319" s="72"/>
      <c r="B319" s="358"/>
      <c r="C319" s="358"/>
      <c r="D319" s="358"/>
      <c r="E319" s="358"/>
      <c r="F319" s="358"/>
      <c r="G319" s="358"/>
      <c r="H319" s="358"/>
      <c r="I319" s="358"/>
      <c r="J319" s="358"/>
      <c r="K319" s="358"/>
      <c r="L319" s="23"/>
      <c r="M319" s="355">
        <f>SUM(M281:O318)</f>
        <v>0</v>
      </c>
      <c r="N319" s="356"/>
      <c r="O319" s="357"/>
      <c r="P319" s="113"/>
      <c r="Q319" s="342"/>
      <c r="R319" s="343"/>
      <c r="S319" s="344"/>
      <c r="T319" s="108"/>
    </row>
    <row r="320" spans="1:20" ht="17.399999999999999">
      <c r="A320" s="77" t="s">
        <v>102</v>
      </c>
      <c r="B320" s="519"/>
      <c r="C320" s="519"/>
      <c r="D320" s="519"/>
      <c r="E320" s="519"/>
      <c r="F320" s="519"/>
      <c r="G320" s="519"/>
      <c r="H320" s="519"/>
      <c r="I320" s="519"/>
      <c r="J320" s="519"/>
      <c r="K320" s="519"/>
      <c r="L320" s="34"/>
      <c r="M320" s="366"/>
      <c r="N320" s="367">
        <v>0</v>
      </c>
      <c r="O320" s="368">
        <v>0</v>
      </c>
      <c r="P320" s="123" t="s">
        <v>49</v>
      </c>
      <c r="Q320" s="349" t="s">
        <v>49</v>
      </c>
      <c r="R320" s="350"/>
      <c r="S320" s="351"/>
      <c r="T320" s="124" t="s">
        <v>49</v>
      </c>
    </row>
    <row r="321" spans="1:20" ht="17.399999999999999">
      <c r="A321" s="359" t="s">
        <v>107</v>
      </c>
      <c r="B321" s="360"/>
      <c r="C321" s="361"/>
      <c r="D321" s="345"/>
      <c r="E321" s="346"/>
      <c r="F321" s="346"/>
      <c r="G321" s="346"/>
      <c r="H321" s="346"/>
      <c r="I321" s="346"/>
      <c r="J321" s="346"/>
      <c r="K321" s="347"/>
      <c r="L321" s="23"/>
      <c r="M321" s="333"/>
      <c r="N321" s="334"/>
      <c r="O321" s="335"/>
      <c r="P321" s="107"/>
      <c r="Q321" s="339"/>
      <c r="R321" s="340"/>
      <c r="S321" s="341"/>
      <c r="T321" s="109"/>
    </row>
    <row r="322" spans="1:20" ht="17.399999999999999">
      <c r="A322" s="115" t="s">
        <v>108</v>
      </c>
      <c r="B322" s="116"/>
      <c r="C322" s="116"/>
      <c r="D322" s="116"/>
      <c r="E322" s="331" t="s">
        <v>112</v>
      </c>
      <c r="F322" s="332"/>
      <c r="G322" s="68"/>
      <c r="H322" s="68"/>
      <c r="I322" s="68"/>
      <c r="J322" s="68"/>
      <c r="K322" s="127"/>
      <c r="L322" s="25"/>
      <c r="M322" s="333"/>
      <c r="N322" s="334"/>
      <c r="O322" s="335"/>
      <c r="P322" s="107"/>
      <c r="Q322" s="339"/>
      <c r="R322" s="340"/>
      <c r="S322" s="341"/>
      <c r="T322" s="110"/>
    </row>
    <row r="323" spans="1:20" ht="17.399999999999999">
      <c r="A323" s="72" t="s">
        <v>102</v>
      </c>
      <c r="B323" s="358"/>
      <c r="C323" s="358"/>
      <c r="D323" s="358"/>
      <c r="E323" s="358"/>
      <c r="F323" s="358"/>
      <c r="G323" s="358"/>
      <c r="H323" s="358"/>
      <c r="I323" s="358"/>
      <c r="J323" s="358"/>
      <c r="K323" s="358"/>
      <c r="L323" s="25"/>
      <c r="M323" s="336">
        <v>0</v>
      </c>
      <c r="N323" s="337">
        <v>0</v>
      </c>
      <c r="O323" s="338">
        <v>0</v>
      </c>
      <c r="P323" s="113" t="s">
        <v>49</v>
      </c>
      <c r="Q323" s="342" t="s">
        <v>49</v>
      </c>
      <c r="R323" s="343"/>
      <c r="S323" s="344"/>
      <c r="T323" s="108" t="s">
        <v>49</v>
      </c>
    </row>
    <row r="324" spans="1:20" ht="17.399999999999999">
      <c r="A324" s="359" t="s">
        <v>107</v>
      </c>
      <c r="B324" s="360"/>
      <c r="C324" s="361"/>
      <c r="D324" s="345"/>
      <c r="E324" s="346"/>
      <c r="F324" s="346"/>
      <c r="G324" s="346"/>
      <c r="H324" s="346"/>
      <c r="I324" s="346"/>
      <c r="J324" s="346"/>
      <c r="K324" s="347"/>
      <c r="L324" s="23"/>
      <c r="M324" s="333"/>
      <c r="N324" s="334"/>
      <c r="O324" s="335"/>
      <c r="P324" s="107"/>
      <c r="Q324" s="339"/>
      <c r="R324" s="340"/>
      <c r="S324" s="341"/>
      <c r="T324" s="109"/>
    </row>
    <row r="325" spans="1:20" ht="17.399999999999999">
      <c r="A325" s="115" t="s">
        <v>108</v>
      </c>
      <c r="B325" s="116"/>
      <c r="C325" s="116"/>
      <c r="D325" s="116"/>
      <c r="E325" s="331" t="s">
        <v>112</v>
      </c>
      <c r="F325" s="332"/>
      <c r="G325" s="68"/>
      <c r="H325" s="68"/>
      <c r="I325" s="68"/>
      <c r="J325" s="68"/>
      <c r="K325" s="127"/>
      <c r="L325" s="23"/>
      <c r="M325" s="333"/>
      <c r="N325" s="334"/>
      <c r="O325" s="335"/>
      <c r="P325" s="107"/>
      <c r="Q325" s="339"/>
      <c r="R325" s="340"/>
      <c r="S325" s="341"/>
      <c r="T325" s="110"/>
    </row>
    <row r="326" spans="1:20" ht="17.399999999999999">
      <c r="A326" s="72" t="s">
        <v>102</v>
      </c>
      <c r="B326" s="358"/>
      <c r="C326" s="358"/>
      <c r="D326" s="358"/>
      <c r="E326" s="358"/>
      <c r="F326" s="358"/>
      <c r="G326" s="358"/>
      <c r="H326" s="358"/>
      <c r="I326" s="358"/>
      <c r="J326" s="358"/>
      <c r="K326" s="358"/>
      <c r="L326" s="23"/>
      <c r="M326" s="336">
        <v>0</v>
      </c>
      <c r="N326" s="337">
        <v>0</v>
      </c>
      <c r="O326" s="338">
        <v>0</v>
      </c>
      <c r="P326" s="113" t="s">
        <v>49</v>
      </c>
      <c r="Q326" s="342" t="s">
        <v>49</v>
      </c>
      <c r="R326" s="343"/>
      <c r="S326" s="344"/>
      <c r="T326" s="108" t="s">
        <v>49</v>
      </c>
    </row>
    <row r="327" spans="1:20" ht="17.399999999999999">
      <c r="A327" s="359" t="s">
        <v>107</v>
      </c>
      <c r="B327" s="360"/>
      <c r="C327" s="361"/>
      <c r="D327" s="345"/>
      <c r="E327" s="346"/>
      <c r="F327" s="346"/>
      <c r="G327" s="346"/>
      <c r="H327" s="346"/>
      <c r="I327" s="346"/>
      <c r="J327" s="346"/>
      <c r="K327" s="347"/>
      <c r="L327" s="23"/>
      <c r="M327" s="333"/>
      <c r="N327" s="334"/>
      <c r="O327" s="335"/>
      <c r="P327" s="107"/>
      <c r="Q327" s="339"/>
      <c r="R327" s="340"/>
      <c r="S327" s="341"/>
      <c r="T327" s="109"/>
    </row>
    <row r="328" spans="1:20" ht="17.399999999999999">
      <c r="A328" s="115" t="s">
        <v>108</v>
      </c>
      <c r="B328" s="116"/>
      <c r="C328" s="116"/>
      <c r="D328" s="116"/>
      <c r="E328" s="331" t="s">
        <v>112</v>
      </c>
      <c r="F328" s="332"/>
      <c r="G328" s="68"/>
      <c r="H328" s="68"/>
      <c r="I328" s="68"/>
      <c r="J328" s="68"/>
      <c r="K328" s="127"/>
      <c r="L328" s="23"/>
      <c r="M328" s="333"/>
      <c r="N328" s="334"/>
      <c r="O328" s="335"/>
      <c r="P328" s="107"/>
      <c r="Q328" s="339"/>
      <c r="R328" s="340"/>
      <c r="S328" s="341"/>
      <c r="T328" s="110"/>
    </row>
    <row r="329" spans="1:20" ht="17.399999999999999">
      <c r="A329" s="72" t="s">
        <v>102</v>
      </c>
      <c r="B329" s="358"/>
      <c r="C329" s="358"/>
      <c r="D329" s="358"/>
      <c r="E329" s="358"/>
      <c r="F329" s="358"/>
      <c r="G329" s="358"/>
      <c r="H329" s="358"/>
      <c r="I329" s="358"/>
      <c r="J329" s="358"/>
      <c r="K329" s="358" t="s">
        <v>111</v>
      </c>
      <c r="L329" s="23"/>
      <c r="M329" s="336">
        <v>0</v>
      </c>
      <c r="N329" s="337">
        <v>0</v>
      </c>
      <c r="O329" s="338">
        <v>0</v>
      </c>
      <c r="P329" s="113" t="s">
        <v>49</v>
      </c>
      <c r="Q329" s="342" t="s">
        <v>49</v>
      </c>
      <c r="R329" s="343"/>
      <c r="S329" s="344"/>
      <c r="T329" s="108" t="s">
        <v>49</v>
      </c>
    </row>
    <row r="330" spans="1:20" ht="17.399999999999999">
      <c r="A330" s="359" t="s">
        <v>107</v>
      </c>
      <c r="B330" s="360"/>
      <c r="C330" s="361"/>
      <c r="D330" s="345"/>
      <c r="E330" s="346"/>
      <c r="F330" s="346"/>
      <c r="G330" s="346"/>
      <c r="H330" s="346"/>
      <c r="I330" s="346"/>
      <c r="J330" s="346"/>
      <c r="K330" s="347"/>
      <c r="L330" s="23"/>
      <c r="M330" s="333"/>
      <c r="N330" s="334"/>
      <c r="O330" s="335"/>
      <c r="P330" s="107"/>
      <c r="Q330" s="339"/>
      <c r="R330" s="340"/>
      <c r="S330" s="341"/>
      <c r="T330" s="109"/>
    </row>
    <row r="331" spans="1:20" ht="17.399999999999999">
      <c r="A331" s="115" t="s">
        <v>108</v>
      </c>
      <c r="B331" s="116"/>
      <c r="C331" s="116"/>
      <c r="D331" s="116"/>
      <c r="E331" s="331" t="s">
        <v>112</v>
      </c>
      <c r="F331" s="332"/>
      <c r="G331" s="68"/>
      <c r="H331" s="68"/>
      <c r="I331" s="68"/>
      <c r="J331" s="68"/>
      <c r="K331" s="127"/>
      <c r="L331" s="23"/>
      <c r="M331" s="333"/>
      <c r="N331" s="334"/>
      <c r="O331" s="335"/>
      <c r="P331" s="107"/>
      <c r="Q331" s="339"/>
      <c r="R331" s="340"/>
      <c r="S331" s="341"/>
      <c r="T331" s="110"/>
    </row>
    <row r="332" spans="1:20" ht="17.399999999999999">
      <c r="A332" s="72" t="s">
        <v>102</v>
      </c>
      <c r="B332" s="358"/>
      <c r="C332" s="358"/>
      <c r="D332" s="358"/>
      <c r="E332" s="358"/>
      <c r="F332" s="358"/>
      <c r="G332" s="358"/>
      <c r="H332" s="358"/>
      <c r="I332" s="358"/>
      <c r="J332" s="358"/>
      <c r="K332" s="358" t="s">
        <v>111</v>
      </c>
      <c r="L332" s="23"/>
      <c r="M332" s="336">
        <v>0</v>
      </c>
      <c r="N332" s="337">
        <v>0</v>
      </c>
      <c r="O332" s="338">
        <v>0</v>
      </c>
      <c r="P332" s="113" t="s">
        <v>49</v>
      </c>
      <c r="Q332" s="342" t="s">
        <v>49</v>
      </c>
      <c r="R332" s="343"/>
      <c r="S332" s="344"/>
      <c r="T332" s="108" t="s">
        <v>49</v>
      </c>
    </row>
    <row r="333" spans="1:20" ht="17.399999999999999">
      <c r="A333" s="359" t="s">
        <v>107</v>
      </c>
      <c r="B333" s="360"/>
      <c r="C333" s="361"/>
      <c r="D333" s="345"/>
      <c r="E333" s="346"/>
      <c r="F333" s="346"/>
      <c r="G333" s="346"/>
      <c r="H333" s="346"/>
      <c r="I333" s="346"/>
      <c r="J333" s="346"/>
      <c r="K333" s="347"/>
      <c r="L333" s="23"/>
      <c r="M333" s="333"/>
      <c r="N333" s="334"/>
      <c r="O333" s="335"/>
      <c r="P333" s="107"/>
      <c r="Q333" s="339"/>
      <c r="R333" s="340"/>
      <c r="S333" s="341"/>
      <c r="T333" s="109"/>
    </row>
    <row r="334" spans="1:20" ht="17.399999999999999">
      <c r="A334" s="115" t="s">
        <v>108</v>
      </c>
      <c r="B334" s="116"/>
      <c r="C334" s="116"/>
      <c r="D334" s="116"/>
      <c r="E334" s="331" t="s">
        <v>112</v>
      </c>
      <c r="F334" s="332"/>
      <c r="G334" s="68"/>
      <c r="H334" s="68"/>
      <c r="I334" s="68"/>
      <c r="J334" s="68"/>
      <c r="K334" s="127"/>
      <c r="L334" s="23"/>
      <c r="M334" s="333"/>
      <c r="N334" s="334"/>
      <c r="O334" s="335"/>
      <c r="P334" s="107"/>
      <c r="Q334" s="339"/>
      <c r="R334" s="340"/>
      <c r="S334" s="341"/>
      <c r="T334" s="110"/>
    </row>
    <row r="335" spans="1:20" ht="17.399999999999999">
      <c r="A335" s="72" t="s">
        <v>102</v>
      </c>
      <c r="B335" s="358"/>
      <c r="C335" s="358"/>
      <c r="D335" s="358"/>
      <c r="E335" s="358"/>
      <c r="F335" s="358"/>
      <c r="G335" s="358"/>
      <c r="H335" s="358"/>
      <c r="I335" s="358"/>
      <c r="J335" s="358"/>
      <c r="K335" s="358" t="s">
        <v>111</v>
      </c>
      <c r="L335" s="23"/>
      <c r="M335" s="336">
        <v>0</v>
      </c>
      <c r="N335" s="337">
        <v>0</v>
      </c>
      <c r="O335" s="338">
        <v>0</v>
      </c>
      <c r="P335" s="113" t="s">
        <v>49</v>
      </c>
      <c r="Q335" s="342" t="s">
        <v>49</v>
      </c>
      <c r="R335" s="343"/>
      <c r="S335" s="344"/>
      <c r="T335" s="108" t="s">
        <v>49</v>
      </c>
    </row>
    <row r="336" spans="1:20" ht="17.399999999999999">
      <c r="A336" s="359" t="s">
        <v>107</v>
      </c>
      <c r="B336" s="360"/>
      <c r="C336" s="361"/>
      <c r="D336" s="345"/>
      <c r="E336" s="346"/>
      <c r="F336" s="346"/>
      <c r="G336" s="346"/>
      <c r="H336" s="346"/>
      <c r="I336" s="346"/>
      <c r="J336" s="346"/>
      <c r="K336" s="347"/>
      <c r="L336" s="23"/>
      <c r="M336" s="333"/>
      <c r="N336" s="334"/>
      <c r="O336" s="335"/>
      <c r="P336" s="107"/>
      <c r="Q336" s="339"/>
      <c r="R336" s="340"/>
      <c r="S336" s="341"/>
      <c r="T336" s="109"/>
    </row>
    <row r="337" spans="1:20" ht="17.399999999999999">
      <c r="A337" s="115" t="s">
        <v>108</v>
      </c>
      <c r="B337" s="116"/>
      <c r="C337" s="116"/>
      <c r="D337" s="116"/>
      <c r="E337" s="331"/>
      <c r="F337" s="332"/>
      <c r="G337" s="68"/>
      <c r="H337" s="68"/>
      <c r="I337" s="68"/>
      <c r="J337" s="68"/>
      <c r="K337" s="127"/>
      <c r="L337" s="23"/>
      <c r="M337" s="333"/>
      <c r="N337" s="334"/>
      <c r="O337" s="335"/>
      <c r="P337" s="107"/>
      <c r="Q337" s="339"/>
      <c r="R337" s="340"/>
      <c r="S337" s="341"/>
      <c r="T337" s="110"/>
    </row>
    <row r="338" spans="1:20" ht="17.399999999999999">
      <c r="A338" s="72" t="s">
        <v>102</v>
      </c>
      <c r="B338" s="358"/>
      <c r="C338" s="358"/>
      <c r="D338" s="358"/>
      <c r="E338" s="358"/>
      <c r="F338" s="358"/>
      <c r="G338" s="358"/>
      <c r="H338" s="358"/>
      <c r="I338" s="358"/>
      <c r="J338" s="358"/>
      <c r="K338" s="358"/>
      <c r="L338" s="23"/>
      <c r="M338" s="336">
        <v>0</v>
      </c>
      <c r="N338" s="337">
        <v>0</v>
      </c>
      <c r="O338" s="338">
        <v>0</v>
      </c>
      <c r="P338" s="113" t="s">
        <v>49</v>
      </c>
      <c r="Q338" s="342" t="s">
        <v>49</v>
      </c>
      <c r="R338" s="343"/>
      <c r="S338" s="344"/>
      <c r="T338" s="108" t="s">
        <v>49</v>
      </c>
    </row>
    <row r="339" spans="1:20" ht="17.399999999999999">
      <c r="A339" s="359" t="s">
        <v>107</v>
      </c>
      <c r="B339" s="360"/>
      <c r="C339" s="361"/>
      <c r="D339" s="345"/>
      <c r="E339" s="346"/>
      <c r="F339" s="346"/>
      <c r="G339" s="346"/>
      <c r="H339" s="346"/>
      <c r="I339" s="346"/>
      <c r="J339" s="346"/>
      <c r="K339" s="347"/>
      <c r="L339" s="23"/>
      <c r="M339" s="333"/>
      <c r="N339" s="334"/>
      <c r="O339" s="335"/>
      <c r="P339" s="107"/>
      <c r="Q339" s="339"/>
      <c r="R339" s="340"/>
      <c r="S339" s="341"/>
      <c r="T339" s="109"/>
    </row>
    <row r="340" spans="1:20" ht="17.399999999999999">
      <c r="A340" s="115" t="s">
        <v>108</v>
      </c>
      <c r="B340" s="116"/>
      <c r="C340" s="116"/>
      <c r="D340" s="116"/>
      <c r="E340" s="331"/>
      <c r="F340" s="332"/>
      <c r="G340" s="68"/>
      <c r="H340" s="68"/>
      <c r="I340" s="68"/>
      <c r="J340" s="68"/>
      <c r="K340" s="127"/>
      <c r="L340" s="23"/>
      <c r="M340" s="333"/>
      <c r="N340" s="334"/>
      <c r="O340" s="335"/>
      <c r="P340" s="107"/>
      <c r="Q340" s="339"/>
      <c r="R340" s="340"/>
      <c r="S340" s="341"/>
      <c r="T340" s="110"/>
    </row>
    <row r="341" spans="1:20" ht="17.399999999999999">
      <c r="A341" s="72" t="s">
        <v>102</v>
      </c>
      <c r="B341" s="358"/>
      <c r="C341" s="358"/>
      <c r="D341" s="358"/>
      <c r="E341" s="358"/>
      <c r="F341" s="358"/>
      <c r="G341" s="358"/>
      <c r="H341" s="358"/>
      <c r="I341" s="358"/>
      <c r="J341" s="358"/>
      <c r="K341" s="358"/>
      <c r="L341" s="23"/>
      <c r="M341" s="336">
        <v>0</v>
      </c>
      <c r="N341" s="337">
        <v>0</v>
      </c>
      <c r="O341" s="338">
        <v>0</v>
      </c>
      <c r="P341" s="113" t="s">
        <v>49</v>
      </c>
      <c r="Q341" s="342" t="s">
        <v>49</v>
      </c>
      <c r="R341" s="343"/>
      <c r="S341" s="344"/>
      <c r="T341" s="108" t="s">
        <v>49</v>
      </c>
    </row>
    <row r="342" spans="1:20" ht="17.399999999999999">
      <c r="A342" s="359" t="s">
        <v>107</v>
      </c>
      <c r="B342" s="360"/>
      <c r="C342" s="361"/>
      <c r="D342" s="345"/>
      <c r="E342" s="346"/>
      <c r="F342" s="346"/>
      <c r="G342" s="346"/>
      <c r="H342" s="346"/>
      <c r="I342" s="346"/>
      <c r="J342" s="346"/>
      <c r="K342" s="347"/>
      <c r="L342" s="23"/>
      <c r="M342" s="333"/>
      <c r="N342" s="334"/>
      <c r="O342" s="335"/>
      <c r="P342" s="107"/>
      <c r="Q342" s="339"/>
      <c r="R342" s="340"/>
      <c r="S342" s="341"/>
      <c r="T342" s="109"/>
    </row>
    <row r="343" spans="1:20" ht="17.399999999999999">
      <c r="A343" s="115" t="s">
        <v>108</v>
      </c>
      <c r="B343" s="116"/>
      <c r="C343" s="116"/>
      <c r="D343" s="116"/>
      <c r="E343" s="331"/>
      <c r="F343" s="332"/>
      <c r="G343" s="68"/>
      <c r="H343" s="68"/>
      <c r="I343" s="68"/>
      <c r="J343" s="68"/>
      <c r="K343" s="127"/>
      <c r="L343" s="23"/>
      <c r="M343" s="333"/>
      <c r="N343" s="334"/>
      <c r="O343" s="335"/>
      <c r="P343" s="107"/>
      <c r="Q343" s="339"/>
      <c r="R343" s="340"/>
      <c r="S343" s="341"/>
      <c r="T343" s="110"/>
    </row>
    <row r="344" spans="1:20" ht="17.399999999999999">
      <c r="A344" s="72" t="s">
        <v>102</v>
      </c>
      <c r="B344" s="358"/>
      <c r="C344" s="358"/>
      <c r="D344" s="358"/>
      <c r="E344" s="358"/>
      <c r="F344" s="358"/>
      <c r="G344" s="358"/>
      <c r="H344" s="358"/>
      <c r="I344" s="358"/>
      <c r="J344" s="358"/>
      <c r="K344" s="358"/>
      <c r="L344" s="23"/>
      <c r="M344" s="336">
        <v>0</v>
      </c>
      <c r="N344" s="337"/>
      <c r="O344" s="338"/>
      <c r="P344" s="113" t="s">
        <v>49</v>
      </c>
      <c r="Q344" s="342" t="s">
        <v>49</v>
      </c>
      <c r="R344" s="343"/>
      <c r="S344" s="344"/>
      <c r="T344" s="108" t="s">
        <v>49</v>
      </c>
    </row>
    <row r="345" spans="1:20" ht="17.399999999999999">
      <c r="A345" s="359" t="s">
        <v>107</v>
      </c>
      <c r="B345" s="360"/>
      <c r="C345" s="361"/>
      <c r="D345" s="345"/>
      <c r="E345" s="346"/>
      <c r="F345" s="346"/>
      <c r="G345" s="346"/>
      <c r="H345" s="346"/>
      <c r="I345" s="346"/>
      <c r="J345" s="346"/>
      <c r="K345" s="347"/>
      <c r="L345" s="23"/>
      <c r="M345" s="333"/>
      <c r="N345" s="334"/>
      <c r="O345" s="335"/>
      <c r="P345" s="107"/>
      <c r="Q345" s="339"/>
      <c r="R345" s="340"/>
      <c r="S345" s="341"/>
      <c r="T345" s="109"/>
    </row>
    <row r="346" spans="1:20" ht="17.399999999999999">
      <c r="A346" s="115" t="s">
        <v>108</v>
      </c>
      <c r="B346" s="116"/>
      <c r="C346" s="116"/>
      <c r="D346" s="116"/>
      <c r="E346" s="331"/>
      <c r="F346" s="332"/>
      <c r="G346" s="68"/>
      <c r="H346" s="68"/>
      <c r="I346" s="68"/>
      <c r="J346" s="68"/>
      <c r="K346" s="127"/>
      <c r="L346" s="23"/>
      <c r="M346" s="333"/>
      <c r="N346" s="334"/>
      <c r="O346" s="335"/>
      <c r="P346" s="107"/>
      <c r="Q346" s="339"/>
      <c r="R346" s="340"/>
      <c r="S346" s="341"/>
      <c r="T346" s="110"/>
    </row>
    <row r="347" spans="1:20" ht="17.399999999999999">
      <c r="A347" s="72" t="s">
        <v>102</v>
      </c>
      <c r="B347" s="358"/>
      <c r="C347" s="358"/>
      <c r="D347" s="358"/>
      <c r="E347" s="358"/>
      <c r="F347" s="358"/>
      <c r="G347" s="358"/>
      <c r="H347" s="358"/>
      <c r="I347" s="358"/>
      <c r="J347" s="358"/>
      <c r="K347" s="358"/>
      <c r="L347" s="23"/>
      <c r="M347" s="336">
        <v>0</v>
      </c>
      <c r="N347" s="337">
        <v>0</v>
      </c>
      <c r="O347" s="338">
        <v>0</v>
      </c>
      <c r="P347" s="113" t="s">
        <v>49</v>
      </c>
      <c r="Q347" s="342" t="s">
        <v>49</v>
      </c>
      <c r="R347" s="343"/>
      <c r="S347" s="344"/>
      <c r="T347" s="108" t="s">
        <v>49</v>
      </c>
    </row>
    <row r="348" spans="1:20" ht="17.399999999999999">
      <c r="A348" s="359" t="s">
        <v>107</v>
      </c>
      <c r="B348" s="360"/>
      <c r="C348" s="361"/>
      <c r="D348" s="345"/>
      <c r="E348" s="346"/>
      <c r="F348" s="346"/>
      <c r="G348" s="346"/>
      <c r="H348" s="346"/>
      <c r="I348" s="346"/>
      <c r="J348" s="346"/>
      <c r="K348" s="347"/>
      <c r="L348" s="23"/>
      <c r="M348" s="333"/>
      <c r="N348" s="334"/>
      <c r="O348" s="335"/>
      <c r="P348" s="107"/>
      <c r="Q348" s="339"/>
      <c r="R348" s="340"/>
      <c r="S348" s="341"/>
      <c r="T348" s="109"/>
    </row>
    <row r="349" spans="1:20" ht="17.399999999999999">
      <c r="A349" s="115" t="s">
        <v>108</v>
      </c>
      <c r="B349" s="116"/>
      <c r="C349" s="116"/>
      <c r="D349" s="116"/>
      <c r="E349" s="331"/>
      <c r="F349" s="332"/>
      <c r="G349" s="68"/>
      <c r="H349" s="68"/>
      <c r="I349" s="68"/>
      <c r="J349" s="68"/>
      <c r="K349" s="127"/>
      <c r="L349" s="23"/>
      <c r="M349" s="333"/>
      <c r="N349" s="334"/>
      <c r="O349" s="335"/>
      <c r="P349" s="107"/>
      <c r="Q349" s="339"/>
      <c r="R349" s="340"/>
      <c r="S349" s="341"/>
      <c r="T349" s="110"/>
    </row>
    <row r="350" spans="1:20" ht="17.399999999999999">
      <c r="A350" s="72" t="s">
        <v>102</v>
      </c>
      <c r="B350" s="358"/>
      <c r="C350" s="358"/>
      <c r="D350" s="358"/>
      <c r="E350" s="358"/>
      <c r="F350" s="358"/>
      <c r="G350" s="358"/>
      <c r="H350" s="358"/>
      <c r="I350" s="358"/>
      <c r="J350" s="358"/>
      <c r="K350" s="358"/>
      <c r="L350" s="23"/>
      <c r="M350" s="336">
        <v>0</v>
      </c>
      <c r="N350" s="337">
        <v>0</v>
      </c>
      <c r="O350" s="338">
        <v>0</v>
      </c>
      <c r="P350" s="113" t="s">
        <v>49</v>
      </c>
      <c r="Q350" s="342" t="s">
        <v>49</v>
      </c>
      <c r="R350" s="343"/>
      <c r="S350" s="344"/>
      <c r="T350" s="108" t="s">
        <v>49</v>
      </c>
    </row>
    <row r="351" spans="1:20" ht="17.399999999999999">
      <c r="A351" s="359" t="s">
        <v>107</v>
      </c>
      <c r="B351" s="360"/>
      <c r="C351" s="361"/>
      <c r="D351" s="345"/>
      <c r="E351" s="346"/>
      <c r="F351" s="346"/>
      <c r="G351" s="346"/>
      <c r="H351" s="346"/>
      <c r="I351" s="346"/>
      <c r="J351" s="346"/>
      <c r="K351" s="347"/>
      <c r="L351" s="23"/>
      <c r="M351" s="333"/>
      <c r="N351" s="334"/>
      <c r="O351" s="335"/>
      <c r="P351" s="107"/>
      <c r="Q351" s="339"/>
      <c r="R351" s="340"/>
      <c r="S351" s="341"/>
      <c r="T351" s="109"/>
    </row>
    <row r="352" spans="1:20" ht="17.399999999999999">
      <c r="A352" s="115" t="s">
        <v>108</v>
      </c>
      <c r="B352" s="116"/>
      <c r="C352" s="116"/>
      <c r="D352" s="116"/>
      <c r="E352" s="331"/>
      <c r="F352" s="332"/>
      <c r="G352" s="68"/>
      <c r="H352" s="68"/>
      <c r="I352" s="68"/>
      <c r="J352" s="68"/>
      <c r="K352" s="127"/>
      <c r="L352" s="23"/>
      <c r="M352" s="333"/>
      <c r="N352" s="334"/>
      <c r="O352" s="335"/>
      <c r="P352" s="107"/>
      <c r="Q352" s="339"/>
      <c r="R352" s="340"/>
      <c r="S352" s="341"/>
      <c r="T352" s="110"/>
    </row>
    <row r="353" spans="1:20" ht="17.399999999999999">
      <c r="A353" s="72" t="s">
        <v>102</v>
      </c>
      <c r="B353" s="358"/>
      <c r="C353" s="358"/>
      <c r="D353" s="358"/>
      <c r="E353" s="358"/>
      <c r="F353" s="358"/>
      <c r="G353" s="358"/>
      <c r="H353" s="358"/>
      <c r="I353" s="358"/>
      <c r="J353" s="358"/>
      <c r="K353" s="358"/>
      <c r="L353" s="23"/>
      <c r="M353" s="336">
        <v>0</v>
      </c>
      <c r="N353" s="337"/>
      <c r="O353" s="338"/>
      <c r="P353" s="113" t="s">
        <v>49</v>
      </c>
      <c r="Q353" s="342" t="s">
        <v>49</v>
      </c>
      <c r="R353" s="343"/>
      <c r="S353" s="344"/>
      <c r="T353" s="108" t="s">
        <v>49</v>
      </c>
    </row>
    <row r="354" spans="1:20" ht="17.399999999999999">
      <c r="A354" s="359" t="s">
        <v>107</v>
      </c>
      <c r="B354" s="360"/>
      <c r="C354" s="361"/>
      <c r="D354" s="345"/>
      <c r="E354" s="346"/>
      <c r="F354" s="346"/>
      <c r="G354" s="346"/>
      <c r="H354" s="346"/>
      <c r="I354" s="346"/>
      <c r="J354" s="346"/>
      <c r="K354" s="347"/>
      <c r="L354" s="23"/>
      <c r="M354" s="333"/>
      <c r="N354" s="334"/>
      <c r="O354" s="335"/>
      <c r="P354" s="107"/>
      <c r="Q354" s="339"/>
      <c r="R354" s="340"/>
      <c r="S354" s="341"/>
      <c r="T354" s="109"/>
    </row>
    <row r="355" spans="1:20" ht="17.399999999999999">
      <c r="A355" s="115" t="s">
        <v>108</v>
      </c>
      <c r="B355" s="116"/>
      <c r="C355" s="116"/>
      <c r="D355" s="116"/>
      <c r="E355" s="331"/>
      <c r="F355" s="332"/>
      <c r="G355" s="68"/>
      <c r="H355" s="68"/>
      <c r="I355" s="68"/>
      <c r="J355" s="68"/>
      <c r="K355" s="127"/>
      <c r="L355" s="23"/>
      <c r="M355" s="333"/>
      <c r="N355" s="334"/>
      <c r="O355" s="335"/>
      <c r="P355" s="107"/>
      <c r="Q355" s="339"/>
      <c r="R355" s="340"/>
      <c r="S355" s="341"/>
      <c r="T355" s="110"/>
    </row>
    <row r="356" spans="1:20" ht="17.399999999999999">
      <c r="A356" s="72" t="s">
        <v>102</v>
      </c>
      <c r="B356" s="358"/>
      <c r="C356" s="358"/>
      <c r="D356" s="358"/>
      <c r="E356" s="358"/>
      <c r="F356" s="358"/>
      <c r="G356" s="358"/>
      <c r="H356" s="358"/>
      <c r="I356" s="358"/>
      <c r="J356" s="358"/>
      <c r="K356" s="358"/>
      <c r="L356" s="23"/>
      <c r="M356" s="336">
        <v>0</v>
      </c>
      <c r="N356" s="337">
        <v>0</v>
      </c>
      <c r="O356" s="338">
        <v>0</v>
      </c>
      <c r="P356" s="113" t="s">
        <v>49</v>
      </c>
      <c r="Q356" s="342" t="s">
        <v>49</v>
      </c>
      <c r="R356" s="343"/>
      <c r="S356" s="344"/>
      <c r="T356" s="108" t="s">
        <v>49</v>
      </c>
    </row>
    <row r="357" spans="1:20" ht="17.399999999999999">
      <c r="A357" s="359" t="s">
        <v>107</v>
      </c>
      <c r="B357" s="360"/>
      <c r="C357" s="361"/>
      <c r="D357" s="543"/>
      <c r="E357" s="541"/>
      <c r="F357" s="541"/>
      <c r="G357" s="541"/>
      <c r="H357" s="541"/>
      <c r="I357" s="541"/>
      <c r="J357" s="541"/>
      <c r="K357" s="544"/>
      <c r="L357" s="25"/>
      <c r="M357" s="333"/>
      <c r="N357" s="334"/>
      <c r="O357" s="335"/>
      <c r="P357" s="107"/>
      <c r="Q357" s="339"/>
      <c r="R357" s="340"/>
      <c r="S357" s="341"/>
      <c r="T357" s="109"/>
    </row>
    <row r="358" spans="1:20" ht="17.399999999999999">
      <c r="A358" s="115" t="s">
        <v>108</v>
      </c>
      <c r="B358" s="116"/>
      <c r="C358" s="116"/>
      <c r="D358" s="116"/>
      <c r="E358" s="363"/>
      <c r="F358" s="363"/>
      <c r="G358" s="68"/>
      <c r="H358" s="68"/>
      <c r="I358" s="68"/>
      <c r="J358" s="68"/>
      <c r="K358" s="125"/>
      <c r="L358" s="25"/>
      <c r="M358" s="333"/>
      <c r="N358" s="334"/>
      <c r="O358" s="335"/>
      <c r="P358" s="107"/>
      <c r="Q358" s="340"/>
      <c r="R358" s="340"/>
      <c r="S358" s="340"/>
      <c r="T358" s="110"/>
    </row>
    <row r="359" spans="1:20" ht="17.399999999999999">
      <c r="A359" s="72" t="s">
        <v>102</v>
      </c>
      <c r="B359" s="358"/>
      <c r="C359" s="358"/>
      <c r="D359" s="358"/>
      <c r="E359" s="358"/>
      <c r="F359" s="358"/>
      <c r="G359" s="358"/>
      <c r="H359" s="358"/>
      <c r="I359" s="358"/>
      <c r="J359" s="358"/>
      <c r="K359" s="358"/>
      <c r="L359" s="23"/>
      <c r="M359" s="336">
        <v>0</v>
      </c>
      <c r="N359" s="337">
        <v>0</v>
      </c>
      <c r="O359" s="338">
        <v>0</v>
      </c>
      <c r="P359" s="113" t="s">
        <v>49</v>
      </c>
      <c r="Q359" s="342" t="s">
        <v>49</v>
      </c>
      <c r="R359" s="343"/>
      <c r="S359" s="344"/>
      <c r="T359" s="108" t="s">
        <v>49</v>
      </c>
    </row>
    <row r="360" spans="1:20" ht="17.399999999999999">
      <c r="A360" s="359" t="s">
        <v>107</v>
      </c>
      <c r="B360" s="360"/>
      <c r="C360" s="361"/>
      <c r="D360" s="345"/>
      <c r="E360" s="346"/>
      <c r="F360" s="346"/>
      <c r="G360" s="346"/>
      <c r="H360" s="346"/>
      <c r="I360" s="346"/>
      <c r="J360" s="346"/>
      <c r="K360" s="347"/>
      <c r="L360" s="23"/>
      <c r="M360" s="333"/>
      <c r="N360" s="334"/>
      <c r="O360" s="335"/>
      <c r="P360" s="107"/>
      <c r="Q360" s="339"/>
      <c r="R360" s="340"/>
      <c r="S360" s="341"/>
      <c r="T360" s="109"/>
    </row>
    <row r="361" spans="1:20" ht="18" thickBot="1">
      <c r="A361" s="117" t="s">
        <v>108</v>
      </c>
      <c r="B361" s="118"/>
      <c r="C361" s="118"/>
      <c r="D361" s="118"/>
      <c r="E361" s="364"/>
      <c r="F361" s="365"/>
      <c r="G361" s="74"/>
      <c r="H361" s="74"/>
      <c r="I361" s="74"/>
      <c r="J361" s="74"/>
      <c r="K361" s="128"/>
      <c r="L361" s="23"/>
      <c r="M361" s="333"/>
      <c r="N361" s="334"/>
      <c r="O361" s="335"/>
      <c r="P361" s="107"/>
      <c r="Q361" s="339"/>
      <c r="R361" s="340"/>
      <c r="S361" s="341"/>
      <c r="T361" s="110"/>
    </row>
    <row r="362" spans="1:20" ht="17.399999999999999">
      <c r="A362" s="72" t="s">
        <v>102</v>
      </c>
      <c r="B362" s="358"/>
      <c r="C362" s="358"/>
      <c r="D362" s="358"/>
      <c r="E362" s="358"/>
      <c r="F362" s="358"/>
      <c r="G362" s="358"/>
      <c r="H362" s="358"/>
      <c r="I362" s="358"/>
      <c r="J362" s="358"/>
      <c r="K362" s="358"/>
      <c r="L362" s="23"/>
      <c r="M362" s="336">
        <v>0</v>
      </c>
      <c r="N362" s="337">
        <v>0</v>
      </c>
      <c r="O362" s="338">
        <v>0</v>
      </c>
      <c r="P362" s="113" t="s">
        <v>49</v>
      </c>
      <c r="Q362" s="342" t="s">
        <v>49</v>
      </c>
      <c r="R362" s="343"/>
      <c r="S362" s="344"/>
      <c r="T362" s="108" t="s">
        <v>49</v>
      </c>
    </row>
    <row r="363" spans="1:20" ht="17.399999999999999">
      <c r="A363" s="359" t="s">
        <v>107</v>
      </c>
      <c r="B363" s="360"/>
      <c r="C363" s="361"/>
      <c r="D363" s="345"/>
      <c r="E363" s="346"/>
      <c r="F363" s="346"/>
      <c r="G363" s="346"/>
      <c r="H363" s="346"/>
      <c r="I363" s="346"/>
      <c r="J363" s="346"/>
      <c r="K363" s="362"/>
      <c r="L363" s="23"/>
      <c r="M363" s="333"/>
      <c r="N363" s="334"/>
      <c r="O363" s="335"/>
      <c r="P363" s="107"/>
      <c r="Q363" s="339"/>
      <c r="R363" s="340"/>
      <c r="S363" s="341"/>
      <c r="T363" s="109"/>
    </row>
    <row r="364" spans="1:20" ht="18" thickBot="1">
      <c r="A364" s="117" t="s">
        <v>108</v>
      </c>
      <c r="B364" s="118"/>
      <c r="C364" s="118"/>
      <c r="D364" s="118"/>
      <c r="E364" s="364"/>
      <c r="F364" s="365"/>
      <c r="G364" s="74"/>
      <c r="H364" s="74"/>
      <c r="I364" s="74"/>
      <c r="J364" s="74"/>
      <c r="K364" s="126"/>
      <c r="L364" s="75"/>
      <c r="M364" s="355"/>
      <c r="N364" s="356"/>
      <c r="O364" s="357"/>
      <c r="P364" s="114"/>
      <c r="Q364" s="352"/>
      <c r="R364" s="353"/>
      <c r="S364" s="354"/>
      <c r="T364" s="111"/>
    </row>
    <row r="365" spans="1:20" ht="18" thickBot="1">
      <c r="A365" s="72"/>
      <c r="B365" s="358"/>
      <c r="C365" s="358"/>
      <c r="D365" s="358"/>
      <c r="E365" s="358"/>
      <c r="F365" s="358"/>
      <c r="G365" s="358"/>
      <c r="H365" s="358"/>
      <c r="I365" s="358"/>
      <c r="J365" s="358"/>
      <c r="K365" s="358"/>
      <c r="L365" s="23"/>
      <c r="M365" s="355">
        <f>SUM(M327:O364)</f>
        <v>0</v>
      </c>
      <c r="N365" s="356"/>
      <c r="O365" s="357"/>
      <c r="P365" s="113"/>
      <c r="Q365" s="342"/>
      <c r="R365" s="343"/>
      <c r="S365" s="344"/>
      <c r="T365" s="108"/>
    </row>
  </sheetData>
  <mergeCells count="1017">
    <mergeCell ref="E364:F364"/>
    <mergeCell ref="M364:O364"/>
    <mergeCell ref="Q364:S364"/>
    <mergeCell ref="B365:K365"/>
    <mergeCell ref="M365:O365"/>
    <mergeCell ref="Q365:S365"/>
    <mergeCell ref="E361:F361"/>
    <mergeCell ref="M361:O361"/>
    <mergeCell ref="Q361:S361"/>
    <mergeCell ref="B362:K362"/>
    <mergeCell ref="M362:O362"/>
    <mergeCell ref="Q362:S362"/>
    <mergeCell ref="A363:C363"/>
    <mergeCell ref="D363:K363"/>
    <mergeCell ref="M363:O363"/>
    <mergeCell ref="Q363:S363"/>
    <mergeCell ref="E358:F358"/>
    <mergeCell ref="M358:O358"/>
    <mergeCell ref="Q358:S358"/>
    <mergeCell ref="B359:K359"/>
    <mergeCell ref="M359:O359"/>
    <mergeCell ref="Q359:S359"/>
    <mergeCell ref="A360:C360"/>
    <mergeCell ref="D360:K360"/>
    <mergeCell ref="M360:O360"/>
    <mergeCell ref="Q360:S360"/>
    <mergeCell ref="E355:F355"/>
    <mergeCell ref="M355:O355"/>
    <mergeCell ref="Q355:S355"/>
    <mergeCell ref="B356:K356"/>
    <mergeCell ref="M356:O356"/>
    <mergeCell ref="Q356:S356"/>
    <mergeCell ref="A357:C357"/>
    <mergeCell ref="D357:K357"/>
    <mergeCell ref="M357:O357"/>
    <mergeCell ref="Q357:S357"/>
    <mergeCell ref="E352:F352"/>
    <mergeCell ref="M352:O352"/>
    <mergeCell ref="Q352:S352"/>
    <mergeCell ref="B353:K353"/>
    <mergeCell ref="M353:O353"/>
    <mergeCell ref="Q353:S353"/>
    <mergeCell ref="A354:C354"/>
    <mergeCell ref="D354:K354"/>
    <mergeCell ref="M354:O354"/>
    <mergeCell ref="Q354:S354"/>
    <mergeCell ref="E349:F349"/>
    <mergeCell ref="M349:O349"/>
    <mergeCell ref="Q349:S349"/>
    <mergeCell ref="B350:K350"/>
    <mergeCell ref="M350:O350"/>
    <mergeCell ref="Q350:S350"/>
    <mergeCell ref="A351:C351"/>
    <mergeCell ref="D351:K351"/>
    <mergeCell ref="M351:O351"/>
    <mergeCell ref="Q351:S351"/>
    <mergeCell ref="E346:F346"/>
    <mergeCell ref="M346:O346"/>
    <mergeCell ref="Q346:S346"/>
    <mergeCell ref="B347:K347"/>
    <mergeCell ref="M347:O347"/>
    <mergeCell ref="Q347:S347"/>
    <mergeCell ref="A348:C348"/>
    <mergeCell ref="D348:K348"/>
    <mergeCell ref="M348:O348"/>
    <mergeCell ref="Q348:S348"/>
    <mergeCell ref="E343:F343"/>
    <mergeCell ref="M343:O343"/>
    <mergeCell ref="Q343:S343"/>
    <mergeCell ref="B344:K344"/>
    <mergeCell ref="M344:O344"/>
    <mergeCell ref="Q344:S344"/>
    <mergeCell ref="A345:C345"/>
    <mergeCell ref="D345:K345"/>
    <mergeCell ref="M345:O345"/>
    <mergeCell ref="Q345:S345"/>
    <mergeCell ref="E340:F340"/>
    <mergeCell ref="M340:O340"/>
    <mergeCell ref="Q340:S340"/>
    <mergeCell ref="B341:K341"/>
    <mergeCell ref="M341:O341"/>
    <mergeCell ref="Q341:S341"/>
    <mergeCell ref="A342:C342"/>
    <mergeCell ref="D342:K342"/>
    <mergeCell ref="M342:O342"/>
    <mergeCell ref="Q342:S342"/>
    <mergeCell ref="E337:F337"/>
    <mergeCell ref="M337:O337"/>
    <mergeCell ref="Q337:S337"/>
    <mergeCell ref="B338:K338"/>
    <mergeCell ref="M338:O338"/>
    <mergeCell ref="Q338:S338"/>
    <mergeCell ref="A339:C339"/>
    <mergeCell ref="D339:K339"/>
    <mergeCell ref="M339:O339"/>
    <mergeCell ref="Q339:S339"/>
    <mergeCell ref="E334:F334"/>
    <mergeCell ref="M334:O334"/>
    <mergeCell ref="Q334:S334"/>
    <mergeCell ref="B335:K335"/>
    <mergeCell ref="M335:O335"/>
    <mergeCell ref="Q335:S335"/>
    <mergeCell ref="A336:C336"/>
    <mergeCell ref="D336:K336"/>
    <mergeCell ref="M336:O336"/>
    <mergeCell ref="Q336:S336"/>
    <mergeCell ref="E331:F331"/>
    <mergeCell ref="M331:O331"/>
    <mergeCell ref="Q331:S331"/>
    <mergeCell ref="B332:K332"/>
    <mergeCell ref="M332:O332"/>
    <mergeCell ref="Q332:S332"/>
    <mergeCell ref="A333:C333"/>
    <mergeCell ref="D333:K333"/>
    <mergeCell ref="M333:O333"/>
    <mergeCell ref="Q333:S333"/>
    <mergeCell ref="E328:F328"/>
    <mergeCell ref="M328:O328"/>
    <mergeCell ref="Q328:S328"/>
    <mergeCell ref="B329:K329"/>
    <mergeCell ref="M329:O329"/>
    <mergeCell ref="Q329:S329"/>
    <mergeCell ref="A330:C330"/>
    <mergeCell ref="D330:K330"/>
    <mergeCell ref="M330:O330"/>
    <mergeCell ref="Q330:S330"/>
    <mergeCell ref="E325:F325"/>
    <mergeCell ref="M325:O325"/>
    <mergeCell ref="Q325:S325"/>
    <mergeCell ref="B326:K326"/>
    <mergeCell ref="M326:O326"/>
    <mergeCell ref="Q326:S326"/>
    <mergeCell ref="A327:C327"/>
    <mergeCell ref="D327:K327"/>
    <mergeCell ref="M327:O327"/>
    <mergeCell ref="Q327:S327"/>
    <mergeCell ref="E322:F322"/>
    <mergeCell ref="M322:O322"/>
    <mergeCell ref="Q322:S322"/>
    <mergeCell ref="B323:K323"/>
    <mergeCell ref="M323:O323"/>
    <mergeCell ref="Q323:S323"/>
    <mergeCell ref="A324:C324"/>
    <mergeCell ref="D324:K324"/>
    <mergeCell ref="M324:O324"/>
    <mergeCell ref="Q324:S324"/>
    <mergeCell ref="B319:K319"/>
    <mergeCell ref="M319:O319"/>
    <mergeCell ref="Q319:S319"/>
    <mergeCell ref="B320:K320"/>
    <mergeCell ref="M320:O320"/>
    <mergeCell ref="Q320:S320"/>
    <mergeCell ref="A321:C321"/>
    <mergeCell ref="D321:K321"/>
    <mergeCell ref="M321:O321"/>
    <mergeCell ref="Q321:S321"/>
    <mergeCell ref="B316:K316"/>
    <mergeCell ref="M316:O316"/>
    <mergeCell ref="Q316:S316"/>
    <mergeCell ref="A317:C317"/>
    <mergeCell ref="D317:K317"/>
    <mergeCell ref="M317:O317"/>
    <mergeCell ref="Q317:S317"/>
    <mergeCell ref="E318:F318"/>
    <mergeCell ref="M318:O318"/>
    <mergeCell ref="Q318:S318"/>
    <mergeCell ref="B313:K313"/>
    <mergeCell ref="M313:O313"/>
    <mergeCell ref="Q313:S313"/>
    <mergeCell ref="A314:C314"/>
    <mergeCell ref="D314:K314"/>
    <mergeCell ref="M314:O314"/>
    <mergeCell ref="Q314:S314"/>
    <mergeCell ref="E315:F315"/>
    <mergeCell ref="M315:O315"/>
    <mergeCell ref="Q315:S315"/>
    <mergeCell ref="B310:K310"/>
    <mergeCell ref="M310:O310"/>
    <mergeCell ref="Q310:S310"/>
    <mergeCell ref="A311:C311"/>
    <mergeCell ref="D311:K311"/>
    <mergeCell ref="M311:O311"/>
    <mergeCell ref="Q311:S311"/>
    <mergeCell ref="E312:F312"/>
    <mergeCell ref="M312:O312"/>
    <mergeCell ref="Q312:S312"/>
    <mergeCell ref="B307:K307"/>
    <mergeCell ref="M307:O307"/>
    <mergeCell ref="Q307:S307"/>
    <mergeCell ref="A308:C308"/>
    <mergeCell ref="D308:K308"/>
    <mergeCell ref="M308:O308"/>
    <mergeCell ref="Q308:S308"/>
    <mergeCell ref="E309:F309"/>
    <mergeCell ref="M309:O309"/>
    <mergeCell ref="Q309:S309"/>
    <mergeCell ref="B304:K304"/>
    <mergeCell ref="M304:O304"/>
    <mergeCell ref="Q304:S304"/>
    <mergeCell ref="A305:C305"/>
    <mergeCell ref="D305:K305"/>
    <mergeCell ref="M305:O305"/>
    <mergeCell ref="Q305:S305"/>
    <mergeCell ref="E306:F306"/>
    <mergeCell ref="M306:O306"/>
    <mergeCell ref="Q306:S306"/>
    <mergeCell ref="B301:K301"/>
    <mergeCell ref="M301:O301"/>
    <mergeCell ref="Q301:S301"/>
    <mergeCell ref="A302:C302"/>
    <mergeCell ref="D302:K302"/>
    <mergeCell ref="M302:O302"/>
    <mergeCell ref="Q302:S302"/>
    <mergeCell ref="E303:F303"/>
    <mergeCell ref="M303:O303"/>
    <mergeCell ref="Q303:S303"/>
    <mergeCell ref="B298:K298"/>
    <mergeCell ref="M298:O298"/>
    <mergeCell ref="Q298:S298"/>
    <mergeCell ref="A299:C299"/>
    <mergeCell ref="D299:K299"/>
    <mergeCell ref="M299:O299"/>
    <mergeCell ref="Q299:S299"/>
    <mergeCell ref="E300:F300"/>
    <mergeCell ref="M300:O300"/>
    <mergeCell ref="Q300:S300"/>
    <mergeCell ref="B295:K295"/>
    <mergeCell ref="A296:C296"/>
    <mergeCell ref="D296:K296"/>
    <mergeCell ref="Q296:S296"/>
    <mergeCell ref="E297:F297"/>
    <mergeCell ref="M297:O297"/>
    <mergeCell ref="Q297:S297"/>
    <mergeCell ref="A284:C284"/>
    <mergeCell ref="D284:K284"/>
    <mergeCell ref="E285:F285"/>
    <mergeCell ref="B286:K286"/>
    <mergeCell ref="A287:C287"/>
    <mergeCell ref="D287:K287"/>
    <mergeCell ref="E288:F288"/>
    <mergeCell ref="B289:K289"/>
    <mergeCell ref="A290:C290"/>
    <mergeCell ref="D290:K290"/>
    <mergeCell ref="M295:O295"/>
    <mergeCell ref="Q295:S295"/>
    <mergeCell ref="M296:O296"/>
    <mergeCell ref="M284:O284"/>
    <mergeCell ref="Q284:S284"/>
    <mergeCell ref="M285:O285"/>
    <mergeCell ref="Q285:S285"/>
    <mergeCell ref="M286:O286"/>
    <mergeCell ref="Q286:S286"/>
    <mergeCell ref="M292:O292"/>
    <mergeCell ref="Q292:S292"/>
    <mergeCell ref="M293:O293"/>
    <mergeCell ref="Q293:S293"/>
    <mergeCell ref="M294:O294"/>
    <mergeCell ref="Q294:S294"/>
    <mergeCell ref="D259:K259"/>
    <mergeCell ref="E260:F260"/>
    <mergeCell ref="B261:K261"/>
    <mergeCell ref="A262:C262"/>
    <mergeCell ref="D262:K262"/>
    <mergeCell ref="E263:F263"/>
    <mergeCell ref="B264:K264"/>
    <mergeCell ref="A265:C265"/>
    <mergeCell ref="D265:K265"/>
    <mergeCell ref="B228:K228"/>
    <mergeCell ref="B231:K231"/>
    <mergeCell ref="B234:K234"/>
    <mergeCell ref="B237:K237"/>
    <mergeCell ref="B240:K240"/>
    <mergeCell ref="B243:K243"/>
    <mergeCell ref="B246:K246"/>
    <mergeCell ref="B249:K249"/>
    <mergeCell ref="B252:K252"/>
    <mergeCell ref="B255:K255"/>
    <mergeCell ref="D229:K229"/>
    <mergeCell ref="A232:C232"/>
    <mergeCell ref="A250:C250"/>
    <mergeCell ref="A253:C253"/>
    <mergeCell ref="A244:C244"/>
    <mergeCell ref="E230:F230"/>
    <mergeCell ref="E233:F233"/>
    <mergeCell ref="D232:K232"/>
    <mergeCell ref="Q255:S255"/>
    <mergeCell ref="A256:C256"/>
    <mergeCell ref="D256:K256"/>
    <mergeCell ref="M256:O256"/>
    <mergeCell ref="Q256:S256"/>
    <mergeCell ref="E257:F257"/>
    <mergeCell ref="B258:K258"/>
    <mergeCell ref="A259:C259"/>
    <mergeCell ref="A225:C225"/>
    <mergeCell ref="D225:K225"/>
    <mergeCell ref="E226:F226"/>
    <mergeCell ref="B227:K227"/>
    <mergeCell ref="B218:K218"/>
    <mergeCell ref="A219:C219"/>
    <mergeCell ref="D219:K219"/>
    <mergeCell ref="E220:F220"/>
    <mergeCell ref="B221:K221"/>
    <mergeCell ref="A222:C222"/>
    <mergeCell ref="D222:K222"/>
    <mergeCell ref="E223:F223"/>
    <mergeCell ref="B224:K224"/>
    <mergeCell ref="M248:O248"/>
    <mergeCell ref="M257:O257"/>
    <mergeCell ref="Q257:S257"/>
    <mergeCell ref="M258:O258"/>
    <mergeCell ref="Q258:S258"/>
    <mergeCell ref="A229:C229"/>
    <mergeCell ref="M232:O232"/>
    <mergeCell ref="M233:O233"/>
    <mergeCell ref="Q252:S252"/>
    <mergeCell ref="Q253:S253"/>
    <mergeCell ref="Q254:S254"/>
    <mergeCell ref="B212:K212"/>
    <mergeCell ref="A213:C213"/>
    <mergeCell ref="D213:K213"/>
    <mergeCell ref="E214:F214"/>
    <mergeCell ref="B215:K215"/>
    <mergeCell ref="M215:O215"/>
    <mergeCell ref="A216:C216"/>
    <mergeCell ref="D216:K216"/>
    <mergeCell ref="E217:F217"/>
    <mergeCell ref="E205:F205"/>
    <mergeCell ref="B206:K206"/>
    <mergeCell ref="A207:C207"/>
    <mergeCell ref="D207:K207"/>
    <mergeCell ref="E208:F208"/>
    <mergeCell ref="B209:K209"/>
    <mergeCell ref="A210:C210"/>
    <mergeCell ref="D210:K210"/>
    <mergeCell ref="E211:F211"/>
    <mergeCell ref="D201:K201"/>
    <mergeCell ref="E202:F202"/>
    <mergeCell ref="B203:K203"/>
    <mergeCell ref="A204:C204"/>
    <mergeCell ref="D204:K204"/>
    <mergeCell ref="B182:K182"/>
    <mergeCell ref="A183:C183"/>
    <mergeCell ref="D183:K183"/>
    <mergeCell ref="E184:F184"/>
    <mergeCell ref="B185:K185"/>
    <mergeCell ref="A186:C186"/>
    <mergeCell ref="D186:K186"/>
    <mergeCell ref="E187:F187"/>
    <mergeCell ref="B188:K188"/>
    <mergeCell ref="A189:C189"/>
    <mergeCell ref="D189:K189"/>
    <mergeCell ref="E190:F190"/>
    <mergeCell ref="B191:K191"/>
    <mergeCell ref="A192:C192"/>
    <mergeCell ref="D192:K192"/>
    <mergeCell ref="E193:F193"/>
    <mergeCell ref="B194:K194"/>
    <mergeCell ref="A195:C195"/>
    <mergeCell ref="D195:K195"/>
    <mergeCell ref="E196:F196"/>
    <mergeCell ref="B197:K197"/>
    <mergeCell ref="E110:G110"/>
    <mergeCell ref="B145:K145"/>
    <mergeCell ref="B148:K148"/>
    <mergeCell ref="B151:K151"/>
    <mergeCell ref="B154:K154"/>
    <mergeCell ref="B157:K157"/>
    <mergeCell ref="B160:K160"/>
    <mergeCell ref="B163:K163"/>
    <mergeCell ref="M132:O132"/>
    <mergeCell ref="Q132:S132"/>
    <mergeCell ref="A133:C133"/>
    <mergeCell ref="D133:K133"/>
    <mergeCell ref="M133:O133"/>
    <mergeCell ref="Q133:S133"/>
    <mergeCell ref="E134:F134"/>
    <mergeCell ref="M134:O134"/>
    <mergeCell ref="Q134:S134"/>
    <mergeCell ref="E147:F147"/>
    <mergeCell ref="Q148:S148"/>
    <mergeCell ref="Q149:S149"/>
    <mergeCell ref="Q150:S150"/>
    <mergeCell ref="Q151:S151"/>
    <mergeCell ref="Q152:S152"/>
    <mergeCell ref="D137:K137"/>
    <mergeCell ref="D140:K140"/>
    <mergeCell ref="D146:K146"/>
    <mergeCell ref="D149:K149"/>
    <mergeCell ref="D152:K152"/>
    <mergeCell ref="D155:K155"/>
    <mergeCell ref="Q143:S143"/>
    <mergeCell ref="Q144:S144"/>
    <mergeCell ref="Q138:S138"/>
    <mergeCell ref="S38:T38"/>
    <mergeCell ref="Q129:S129"/>
    <mergeCell ref="A130:C130"/>
    <mergeCell ref="D130:K130"/>
    <mergeCell ref="M130:O130"/>
    <mergeCell ref="Q130:S130"/>
    <mergeCell ref="E131:F131"/>
    <mergeCell ref="M131:O131"/>
    <mergeCell ref="Q131:S131"/>
    <mergeCell ref="B105:K105"/>
    <mergeCell ref="B108:K108"/>
    <mergeCell ref="B111:K111"/>
    <mergeCell ref="B114:J114"/>
    <mergeCell ref="B117:J117"/>
    <mergeCell ref="B120:J120"/>
    <mergeCell ref="B123:J123"/>
    <mergeCell ref="B126:J126"/>
    <mergeCell ref="B129:J129"/>
    <mergeCell ref="A109:C109"/>
    <mergeCell ref="D109:K109"/>
    <mergeCell ref="Q117:S117"/>
    <mergeCell ref="M108:O108"/>
    <mergeCell ref="M112:O112"/>
    <mergeCell ref="Q113:S113"/>
    <mergeCell ref="Q123:S123"/>
    <mergeCell ref="Q124:S124"/>
    <mergeCell ref="Q112:S112"/>
    <mergeCell ref="M125:O125"/>
    <mergeCell ref="M126:O126"/>
    <mergeCell ref="M120:O120"/>
    <mergeCell ref="M117:O117"/>
    <mergeCell ref="M118:O118"/>
    <mergeCell ref="Q282:S282"/>
    <mergeCell ref="M283:O283"/>
    <mergeCell ref="Q283:S283"/>
    <mergeCell ref="B43:N43"/>
    <mergeCell ref="B44:M44"/>
    <mergeCell ref="P42:Q42"/>
    <mergeCell ref="F48:O48"/>
    <mergeCell ref="P48:T48"/>
    <mergeCell ref="O41:Q41"/>
    <mergeCell ref="Q9:S9"/>
    <mergeCell ref="D9:O9"/>
    <mergeCell ref="O69:Q69"/>
    <mergeCell ref="K63:O63"/>
    <mergeCell ref="A50:K50"/>
    <mergeCell ref="O67:Q67"/>
    <mergeCell ref="O68:Q68"/>
    <mergeCell ref="N25:Q25"/>
    <mergeCell ref="N26:Q26"/>
    <mergeCell ref="N28:P28"/>
    <mergeCell ref="S20:T20"/>
    <mergeCell ref="S21:T21"/>
    <mergeCell ref="S22:T22"/>
    <mergeCell ref="S24:T24"/>
    <mergeCell ref="S25:T25"/>
    <mergeCell ref="S26:T26"/>
    <mergeCell ref="S27:T27"/>
    <mergeCell ref="S28:T28"/>
    <mergeCell ref="B20:C20"/>
    <mergeCell ref="B22:C22"/>
    <mergeCell ref="S30:T30"/>
    <mergeCell ref="S35:T35"/>
    <mergeCell ref="A41:C41"/>
    <mergeCell ref="B292:K292"/>
    <mergeCell ref="A293:C293"/>
    <mergeCell ref="D293:K293"/>
    <mergeCell ref="E294:F294"/>
    <mergeCell ref="A281:C281"/>
    <mergeCell ref="D281:K281"/>
    <mergeCell ref="E282:F282"/>
    <mergeCell ref="B283:K283"/>
    <mergeCell ref="M278:O278"/>
    <mergeCell ref="Q278:S278"/>
    <mergeCell ref="M279:O279"/>
    <mergeCell ref="Q279:S279"/>
    <mergeCell ref="M280:O280"/>
    <mergeCell ref="Q280:S280"/>
    <mergeCell ref="A278:C278"/>
    <mergeCell ref="D278:K278"/>
    <mergeCell ref="E279:F279"/>
    <mergeCell ref="B280:K280"/>
    <mergeCell ref="M290:O290"/>
    <mergeCell ref="Q290:S290"/>
    <mergeCell ref="M291:O291"/>
    <mergeCell ref="Q291:S291"/>
    <mergeCell ref="M287:O287"/>
    <mergeCell ref="Q287:S287"/>
    <mergeCell ref="M288:O288"/>
    <mergeCell ref="Q288:S288"/>
    <mergeCell ref="M289:O289"/>
    <mergeCell ref="Q289:S289"/>
    <mergeCell ref="E291:F291"/>
    <mergeCell ref="M281:O281"/>
    <mergeCell ref="Q281:S281"/>
    <mergeCell ref="M282:O282"/>
    <mergeCell ref="M275:O275"/>
    <mergeCell ref="Q275:S275"/>
    <mergeCell ref="M276:O276"/>
    <mergeCell ref="Q276:S276"/>
    <mergeCell ref="M277:O277"/>
    <mergeCell ref="Q277:S277"/>
    <mergeCell ref="A275:C275"/>
    <mergeCell ref="D275:K275"/>
    <mergeCell ref="E276:F276"/>
    <mergeCell ref="B277:K277"/>
    <mergeCell ref="M272:O272"/>
    <mergeCell ref="Q272:S272"/>
    <mergeCell ref="M273:O273"/>
    <mergeCell ref="Q273:S273"/>
    <mergeCell ref="M274:O274"/>
    <mergeCell ref="Q274:S274"/>
    <mergeCell ref="E272:F272"/>
    <mergeCell ref="B273:K273"/>
    <mergeCell ref="B274:K274"/>
    <mergeCell ref="M269:O269"/>
    <mergeCell ref="Q269:S269"/>
    <mergeCell ref="M270:O270"/>
    <mergeCell ref="Q270:S270"/>
    <mergeCell ref="M271:O271"/>
    <mergeCell ref="Q271:S271"/>
    <mergeCell ref="E269:F269"/>
    <mergeCell ref="B270:K270"/>
    <mergeCell ref="A271:C271"/>
    <mergeCell ref="D271:K271"/>
    <mergeCell ref="M266:O266"/>
    <mergeCell ref="Q266:S266"/>
    <mergeCell ref="M267:O267"/>
    <mergeCell ref="Q267:S267"/>
    <mergeCell ref="M268:O268"/>
    <mergeCell ref="Q268:S268"/>
    <mergeCell ref="E266:F266"/>
    <mergeCell ref="B267:K267"/>
    <mergeCell ref="A268:C268"/>
    <mergeCell ref="D268:K268"/>
    <mergeCell ref="M263:O263"/>
    <mergeCell ref="Q263:S263"/>
    <mergeCell ref="M264:O264"/>
    <mergeCell ref="Q264:S264"/>
    <mergeCell ref="M265:O265"/>
    <mergeCell ref="Q265:S265"/>
    <mergeCell ref="M235:O235"/>
    <mergeCell ref="M260:O260"/>
    <mergeCell ref="Q260:S260"/>
    <mergeCell ref="M261:O261"/>
    <mergeCell ref="Q261:S261"/>
    <mergeCell ref="M262:O262"/>
    <mergeCell ref="Q262:S262"/>
    <mergeCell ref="D241:K241"/>
    <mergeCell ref="D250:K250"/>
    <mergeCell ref="D253:K253"/>
    <mergeCell ref="A241:C241"/>
    <mergeCell ref="A235:C235"/>
    <mergeCell ref="A238:C238"/>
    <mergeCell ref="M259:O259"/>
    <mergeCell ref="Q259:S259"/>
    <mergeCell ref="E248:F248"/>
    <mergeCell ref="A247:C247"/>
    <mergeCell ref="D247:K247"/>
    <mergeCell ref="M247:O247"/>
    <mergeCell ref="E254:F254"/>
    <mergeCell ref="E236:F236"/>
    <mergeCell ref="E239:F239"/>
    <mergeCell ref="E242:F242"/>
    <mergeCell ref="E251:F251"/>
    <mergeCell ref="E245:F245"/>
    <mergeCell ref="M245:O245"/>
    <mergeCell ref="B132:J132"/>
    <mergeCell ref="B136:K136"/>
    <mergeCell ref="B139:K139"/>
    <mergeCell ref="A143:C143"/>
    <mergeCell ref="A112:C112"/>
    <mergeCell ref="D143:K143"/>
    <mergeCell ref="D115:K115"/>
    <mergeCell ref="D118:K118"/>
    <mergeCell ref="D121:K121"/>
    <mergeCell ref="D124:K124"/>
    <mergeCell ref="D127:K127"/>
    <mergeCell ref="D112:K112"/>
    <mergeCell ref="E113:F113"/>
    <mergeCell ref="A140:C140"/>
    <mergeCell ref="A115:C115"/>
    <mergeCell ref="A118:C118"/>
    <mergeCell ref="A121:C121"/>
    <mergeCell ref="A124:C124"/>
    <mergeCell ref="A127:C127"/>
    <mergeCell ref="A137:C137"/>
    <mergeCell ref="M221:O221"/>
    <mergeCell ref="M223:O223"/>
    <mergeCell ref="M216:O216"/>
    <mergeCell ref="M217:O217"/>
    <mergeCell ref="M222:O222"/>
    <mergeCell ref="M129:O129"/>
    <mergeCell ref="B166:K166"/>
    <mergeCell ref="B169:K169"/>
    <mergeCell ref="B172:K172"/>
    <mergeCell ref="M255:O255"/>
    <mergeCell ref="M228:O228"/>
    <mergeCell ref="M229:O229"/>
    <mergeCell ref="M254:O254"/>
    <mergeCell ref="M252:O252"/>
    <mergeCell ref="M253:O253"/>
    <mergeCell ref="M250:O250"/>
    <mergeCell ref="M251:O251"/>
    <mergeCell ref="M242:O242"/>
    <mergeCell ref="M249:O249"/>
    <mergeCell ref="M240:O240"/>
    <mergeCell ref="M241:O241"/>
    <mergeCell ref="M238:O238"/>
    <mergeCell ref="M230:O230"/>
    <mergeCell ref="M231:O231"/>
    <mergeCell ref="M243:O243"/>
    <mergeCell ref="M239:O239"/>
    <mergeCell ref="M236:O236"/>
    <mergeCell ref="M237:O237"/>
    <mergeCell ref="M234:O234"/>
    <mergeCell ref="M226:O226"/>
    <mergeCell ref="M227:O227"/>
    <mergeCell ref="M224:O224"/>
    <mergeCell ref="M214:O214"/>
    <mergeCell ref="M213:O213"/>
    <mergeCell ref="M205:O205"/>
    <mergeCell ref="M206:O206"/>
    <mergeCell ref="M199:O199"/>
    <mergeCell ref="M200:O200"/>
    <mergeCell ref="M201:O201"/>
    <mergeCell ref="M190:O190"/>
    <mergeCell ref="Q136:S136"/>
    <mergeCell ref="M220:O220"/>
    <mergeCell ref="Q154:S154"/>
    <mergeCell ref="Q125:S125"/>
    <mergeCell ref="Q127:S127"/>
    <mergeCell ref="Q128:S128"/>
    <mergeCell ref="M123:O123"/>
    <mergeCell ref="M135:O135"/>
    <mergeCell ref="Q126:S126"/>
    <mergeCell ref="M219:O219"/>
    <mergeCell ref="M204:O204"/>
    <mergeCell ref="Q216:S216"/>
    <mergeCell ref="Q139:S139"/>
    <mergeCell ref="M157:O157"/>
    <mergeCell ref="Q107:S107"/>
    <mergeCell ref="M111:O111"/>
    <mergeCell ref="Q111:S111"/>
    <mergeCell ref="Q108:S108"/>
    <mergeCell ref="Q109:S109"/>
    <mergeCell ref="Q110:S110"/>
    <mergeCell ref="Q114:S114"/>
    <mergeCell ref="Q115:S115"/>
    <mergeCell ref="Q116:S116"/>
    <mergeCell ref="K4:T4"/>
    <mergeCell ref="E14:K14"/>
    <mergeCell ref="O38:Q38"/>
    <mergeCell ref="O39:Q39"/>
    <mergeCell ref="P20:Q20"/>
    <mergeCell ref="P21:Q21"/>
    <mergeCell ref="F21:K21"/>
    <mergeCell ref="P22:R22"/>
    <mergeCell ref="B31:F31"/>
    <mergeCell ref="A27:F27"/>
    <mergeCell ref="A20:A23"/>
    <mergeCell ref="N24:Q24"/>
    <mergeCell ref="K6:O6"/>
    <mergeCell ref="E10:K10"/>
    <mergeCell ref="M10:O10"/>
    <mergeCell ref="S31:T31"/>
    <mergeCell ref="S32:T32"/>
    <mergeCell ref="S33:T33"/>
    <mergeCell ref="S37:T37"/>
    <mergeCell ref="S29:T29"/>
    <mergeCell ref="E116:F116"/>
    <mergeCell ref="S34:T34"/>
    <mergeCell ref="S36:T36"/>
    <mergeCell ref="S94:T94"/>
    <mergeCell ref="Q96:S96"/>
    <mergeCell ref="M96:O96"/>
    <mergeCell ref="Q98:S98"/>
    <mergeCell ref="A91:M91"/>
    <mergeCell ref="M104:O104"/>
    <mergeCell ref="M100:O100"/>
    <mergeCell ref="M101:O101"/>
    <mergeCell ref="M97:O97"/>
    <mergeCell ref="A94:C94"/>
    <mergeCell ref="E90:M90"/>
    <mergeCell ref="P63:T63"/>
    <mergeCell ref="A74:D74"/>
    <mergeCell ref="R95:T95"/>
    <mergeCell ref="M102:O102"/>
    <mergeCell ref="P102:T102"/>
    <mergeCell ref="M103:O103"/>
    <mergeCell ref="Q103:S103"/>
    <mergeCell ref="A104:K104"/>
    <mergeCell ref="A101:D101"/>
    <mergeCell ref="B97:K97"/>
    <mergeCell ref="B99:K99"/>
    <mergeCell ref="B102:K102"/>
    <mergeCell ref="O90:Q90"/>
    <mergeCell ref="O92:Q92"/>
    <mergeCell ref="O94:Q94"/>
    <mergeCell ref="O93:Q93"/>
    <mergeCell ref="P97:T97"/>
    <mergeCell ref="P99:T99"/>
    <mergeCell ref="A1:F1"/>
    <mergeCell ref="M1:O1"/>
    <mergeCell ref="A2:F2"/>
    <mergeCell ref="K2:T2"/>
    <mergeCell ref="A3:F3"/>
    <mergeCell ref="K3:T3"/>
    <mergeCell ref="B19:K19"/>
    <mergeCell ref="M12:T12"/>
    <mergeCell ref="M13:O13"/>
    <mergeCell ref="M14:O14"/>
    <mergeCell ref="P14:R14"/>
    <mergeCell ref="P17:R17"/>
    <mergeCell ref="B16:K16"/>
    <mergeCell ref="P16:R16"/>
    <mergeCell ref="S13:T15"/>
    <mergeCell ref="S17:T17"/>
    <mergeCell ref="S18:T18"/>
    <mergeCell ref="P18:Q18"/>
    <mergeCell ref="P19:Q19"/>
    <mergeCell ref="D15:K15"/>
    <mergeCell ref="A13:K13"/>
    <mergeCell ref="A15:C15"/>
    <mergeCell ref="S19:T19"/>
    <mergeCell ref="A4:C4"/>
    <mergeCell ref="S39:T39"/>
    <mergeCell ref="S55:T55"/>
    <mergeCell ref="S66:T66"/>
    <mergeCell ref="M99:O99"/>
    <mergeCell ref="M98:O98"/>
    <mergeCell ref="M124:O124"/>
    <mergeCell ref="M121:O121"/>
    <mergeCell ref="M122:O122"/>
    <mergeCell ref="M105:O105"/>
    <mergeCell ref="S40:T40"/>
    <mergeCell ref="S41:T41"/>
    <mergeCell ref="S42:T42"/>
    <mergeCell ref="S90:T90"/>
    <mergeCell ref="S91:T91"/>
    <mergeCell ref="S92:T92"/>
    <mergeCell ref="S93:T93"/>
    <mergeCell ref="O56:S56"/>
    <mergeCell ref="O57:Q57"/>
    <mergeCell ref="O58:Q58"/>
    <mergeCell ref="M106:O106"/>
    <mergeCell ref="M107:O107"/>
    <mergeCell ref="M114:O114"/>
    <mergeCell ref="O91:Q91"/>
    <mergeCell ref="Q100:S100"/>
    <mergeCell ref="Q101:S101"/>
    <mergeCell ref="Q104:S104"/>
    <mergeCell ref="Q105:S105"/>
    <mergeCell ref="Q106:S106"/>
    <mergeCell ref="O79:S79"/>
    <mergeCell ref="O80:S80"/>
    <mergeCell ref="O81:Q81"/>
    <mergeCell ref="S78:T78"/>
    <mergeCell ref="A48:E48"/>
    <mergeCell ref="A63:F63"/>
    <mergeCell ref="N29:P29"/>
    <mergeCell ref="M197:O197"/>
    <mergeCell ref="M198:O198"/>
    <mergeCell ref="M127:O127"/>
    <mergeCell ref="M136:O136"/>
    <mergeCell ref="M188:O188"/>
    <mergeCell ref="M173:O173"/>
    <mergeCell ref="M174:O174"/>
    <mergeCell ref="M164:O164"/>
    <mergeCell ref="M165:O165"/>
    <mergeCell ref="M166:O166"/>
    <mergeCell ref="M167:O167"/>
    <mergeCell ref="M168:O168"/>
    <mergeCell ref="M194:O194"/>
    <mergeCell ref="M195:O195"/>
    <mergeCell ref="M189:O189"/>
    <mergeCell ref="M181:O181"/>
    <mergeCell ref="M177:O177"/>
    <mergeCell ref="M178:O178"/>
    <mergeCell ref="M169:O169"/>
    <mergeCell ref="M170:O170"/>
    <mergeCell ref="M171:O171"/>
    <mergeCell ref="A106:C106"/>
    <mergeCell ref="A49:C49"/>
    <mergeCell ref="M50:T50"/>
    <mergeCell ref="A75:F75"/>
    <mergeCell ref="D106:K106"/>
    <mergeCell ref="A90:D90"/>
    <mergeCell ref="D49:T49"/>
    <mergeCell ref="F74:T74"/>
    <mergeCell ref="A25:E25"/>
    <mergeCell ref="A26:K26"/>
    <mergeCell ref="O40:Q40"/>
    <mergeCell ref="A32:F32"/>
    <mergeCell ref="O32:P32"/>
    <mergeCell ref="O33:P33"/>
    <mergeCell ref="O34:Q34"/>
    <mergeCell ref="B35:K35"/>
    <mergeCell ref="B36:K36"/>
    <mergeCell ref="O36:Q36"/>
    <mergeCell ref="O37:Q37"/>
    <mergeCell ref="N30:P30"/>
    <mergeCell ref="N31:P31"/>
    <mergeCell ref="A30:K30"/>
    <mergeCell ref="E107:F107"/>
    <mergeCell ref="M172:O172"/>
    <mergeCell ref="M154:O154"/>
    <mergeCell ref="M155:O155"/>
    <mergeCell ref="M152:O152"/>
    <mergeCell ref="M148:O148"/>
    <mergeCell ref="M142:O142"/>
    <mergeCell ref="M141:O141"/>
    <mergeCell ref="M143:O143"/>
    <mergeCell ref="M140:O140"/>
    <mergeCell ref="M128:O128"/>
    <mergeCell ref="M146:O146"/>
    <mergeCell ref="M147:O147"/>
    <mergeCell ref="M156:O156"/>
    <mergeCell ref="M163:O163"/>
    <mergeCell ref="M109:O109"/>
    <mergeCell ref="M110:O110"/>
    <mergeCell ref="M119:O119"/>
    <mergeCell ref="M193:O193"/>
    <mergeCell ref="B175:K175"/>
    <mergeCell ref="B178:K178"/>
    <mergeCell ref="B181:K181"/>
    <mergeCell ref="B142:K142"/>
    <mergeCell ref="D173:K173"/>
    <mergeCell ref="A164:C164"/>
    <mergeCell ref="Q177:S177"/>
    <mergeCell ref="Q179:S179"/>
    <mergeCell ref="Q180:S180"/>
    <mergeCell ref="E162:F162"/>
    <mergeCell ref="Q163:S163"/>
    <mergeCell ref="Q164:S164"/>
    <mergeCell ref="Q147:S147"/>
    <mergeCell ref="Q157:S157"/>
    <mergeCell ref="Q158:S158"/>
    <mergeCell ref="Q159:S159"/>
    <mergeCell ref="A161:C161"/>
    <mergeCell ref="D161:K161"/>
    <mergeCell ref="M161:O161"/>
    <mergeCell ref="M160:O160"/>
    <mergeCell ref="E150:F150"/>
    <mergeCell ref="M153:O153"/>
    <mergeCell ref="A158:C158"/>
    <mergeCell ref="D158:K158"/>
    <mergeCell ref="Q166:S166"/>
    <mergeCell ref="Q167:S167"/>
    <mergeCell ref="A173:C173"/>
    <mergeCell ref="E174:F174"/>
    <mergeCell ref="A167:C167"/>
    <mergeCell ref="A170:C170"/>
    <mergeCell ref="M182:O182"/>
    <mergeCell ref="M183:O183"/>
    <mergeCell ref="M158:O158"/>
    <mergeCell ref="E159:F159"/>
    <mergeCell ref="M159:O159"/>
    <mergeCell ref="A146:C146"/>
    <mergeCell ref="A149:C149"/>
    <mergeCell ref="A152:C152"/>
    <mergeCell ref="A155:C155"/>
    <mergeCell ref="M162:O162"/>
    <mergeCell ref="M192:O192"/>
    <mergeCell ref="Q185:S185"/>
    <mergeCell ref="Q186:S186"/>
    <mergeCell ref="Q187:S187"/>
    <mergeCell ref="Q188:S188"/>
    <mergeCell ref="Q189:S189"/>
    <mergeCell ref="Q181:S181"/>
    <mergeCell ref="Q201:S201"/>
    <mergeCell ref="Q205:S205"/>
    <mergeCell ref="Q204:S204"/>
    <mergeCell ref="M196:O196"/>
    <mergeCell ref="M179:O179"/>
    <mergeCell ref="M180:O180"/>
    <mergeCell ref="M191:O191"/>
    <mergeCell ref="E165:F165"/>
    <mergeCell ref="D170:K170"/>
    <mergeCell ref="E171:F171"/>
    <mergeCell ref="D198:K198"/>
    <mergeCell ref="E199:F199"/>
    <mergeCell ref="B200:K200"/>
    <mergeCell ref="A201:C201"/>
    <mergeCell ref="Q194:S194"/>
    <mergeCell ref="Q195:S195"/>
    <mergeCell ref="Q196:S196"/>
    <mergeCell ref="Q197:S197"/>
    <mergeCell ref="Q198:S198"/>
    <mergeCell ref="A176:C176"/>
    <mergeCell ref="D179:K179"/>
    <mergeCell ref="E177:F177"/>
    <mergeCell ref="E180:F180"/>
    <mergeCell ref="A179:C179"/>
    <mergeCell ref="A198:C198"/>
    <mergeCell ref="Q165:S165"/>
    <mergeCell ref="Q162:S162"/>
    <mergeCell ref="Q225:S225"/>
    <mergeCell ref="Q233:S233"/>
    <mergeCell ref="Q223:S223"/>
    <mergeCell ref="Q217:S217"/>
    <mergeCell ref="Q218:S218"/>
    <mergeCell ref="Q224:S224"/>
    <mergeCell ref="Q228:S228"/>
    <mergeCell ref="Q229:S229"/>
    <mergeCell ref="Q226:S226"/>
    <mergeCell ref="Q227:S227"/>
    <mergeCell ref="Q153:S153"/>
    <mergeCell ref="Q169:S169"/>
    <mergeCell ref="Q170:S170"/>
    <mergeCell ref="Q171:S171"/>
    <mergeCell ref="Q172:S172"/>
    <mergeCell ref="Q173:S173"/>
    <mergeCell ref="Q174:S174"/>
    <mergeCell ref="Q175:S175"/>
    <mergeCell ref="Q176:S176"/>
    <mergeCell ref="Q168:S168"/>
    <mergeCell ref="Q178:S178"/>
    <mergeCell ref="Q160:S160"/>
    <mergeCell ref="Q161:S161"/>
    <mergeCell ref="Q182:S182"/>
    <mergeCell ref="Q183:S183"/>
    <mergeCell ref="Q156:S156"/>
    <mergeCell ref="Q206:S206"/>
    <mergeCell ref="Q207:S207"/>
    <mergeCell ref="Q208:S208"/>
    <mergeCell ref="Q190:S190"/>
    <mergeCell ref="Q191:S191"/>
    <mergeCell ref="D244:K244"/>
    <mergeCell ref="M244:O244"/>
    <mergeCell ref="Q244:S244"/>
    <mergeCell ref="Q247:S247"/>
    <mergeCell ref="Q248:S248"/>
    <mergeCell ref="Q231:S231"/>
    <mergeCell ref="Q250:S250"/>
    <mergeCell ref="Q251:S251"/>
    <mergeCell ref="D235:K235"/>
    <mergeCell ref="D238:K238"/>
    <mergeCell ref="D164:K164"/>
    <mergeCell ref="D167:K167"/>
    <mergeCell ref="D176:K176"/>
    <mergeCell ref="Q203:S203"/>
    <mergeCell ref="Q199:S199"/>
    <mergeCell ref="Q200:S200"/>
    <mergeCell ref="M184:O184"/>
    <mergeCell ref="M175:O175"/>
    <mergeCell ref="M176:O176"/>
    <mergeCell ref="M185:O185"/>
    <mergeCell ref="M186:O186"/>
    <mergeCell ref="M187:O187"/>
    <mergeCell ref="E168:F168"/>
    <mergeCell ref="Q219:S219"/>
    <mergeCell ref="Q220:S220"/>
    <mergeCell ref="Q221:S221"/>
    <mergeCell ref="Q222:S222"/>
    <mergeCell ref="Q192:S192"/>
    <mergeCell ref="Q193:S193"/>
    <mergeCell ref="Q209:S209"/>
    <mergeCell ref="Q210:S210"/>
    <mergeCell ref="Q184:S184"/>
    <mergeCell ref="Q249:S249"/>
    <mergeCell ref="Q232:S232"/>
    <mergeCell ref="Q234:S234"/>
    <mergeCell ref="Q235:S235"/>
    <mergeCell ref="Q236:S236"/>
    <mergeCell ref="Q237:S237"/>
    <mergeCell ref="Q238:S238"/>
    <mergeCell ref="Q239:S239"/>
    <mergeCell ref="Q240:S240"/>
    <mergeCell ref="Q241:S241"/>
    <mergeCell ref="Q242:S242"/>
    <mergeCell ref="Q211:S211"/>
    <mergeCell ref="Q212:S212"/>
    <mergeCell ref="Q213:S213"/>
    <mergeCell ref="Q214:S214"/>
    <mergeCell ref="Q215:S215"/>
    <mergeCell ref="M202:O202"/>
    <mergeCell ref="Q202:S202"/>
    <mergeCell ref="M203:O203"/>
    <mergeCell ref="Q245:S245"/>
    <mergeCell ref="M246:O246"/>
    <mergeCell ref="Q246:S246"/>
    <mergeCell ref="Q230:S230"/>
    <mergeCell ref="Q243:S243"/>
    <mergeCell ref="M225:O225"/>
    <mergeCell ref="M218:O218"/>
    <mergeCell ref="M207:O207"/>
    <mergeCell ref="M208:O208"/>
    <mergeCell ref="M209:O209"/>
    <mergeCell ref="M210:O210"/>
    <mergeCell ref="M211:O211"/>
    <mergeCell ref="M212:O212"/>
    <mergeCell ref="E156:F156"/>
    <mergeCell ref="E141:F141"/>
    <mergeCell ref="M138:O138"/>
    <mergeCell ref="M113:O113"/>
    <mergeCell ref="M149:O149"/>
    <mergeCell ref="M150:O150"/>
    <mergeCell ref="M151:O151"/>
    <mergeCell ref="E144:F144"/>
    <mergeCell ref="Q140:S140"/>
    <mergeCell ref="Q141:S141"/>
    <mergeCell ref="Q142:S142"/>
    <mergeCell ref="Q145:S145"/>
    <mergeCell ref="Q146:S146"/>
    <mergeCell ref="Q155:S155"/>
    <mergeCell ref="M137:O137"/>
    <mergeCell ref="M144:O144"/>
    <mergeCell ref="M145:O145"/>
    <mergeCell ref="M139:O139"/>
    <mergeCell ref="E153:F153"/>
    <mergeCell ref="Q137:S137"/>
    <mergeCell ref="M115:O115"/>
    <mergeCell ref="M116:O116"/>
    <mergeCell ref="Q118:S118"/>
    <mergeCell ref="Q119:S119"/>
    <mergeCell ref="Q120:S120"/>
    <mergeCell ref="Q121:S121"/>
    <mergeCell ref="Q122:S122"/>
    <mergeCell ref="E119:F119"/>
    <mergeCell ref="E122:F122"/>
    <mergeCell ref="E125:F125"/>
    <mergeCell ref="E128:F128"/>
    <mergeCell ref="E138:F138"/>
  </mergeCells>
  <pageMargins left="0.13333333333333333" right="0.21666666666666667" top="0.18333333333333332" bottom="0.1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165"/>
  <sheetViews>
    <sheetView tabSelected="1" topLeftCell="BK16" workbookViewId="0">
      <selection activeCell="BR19" sqref="BR19"/>
    </sheetView>
  </sheetViews>
  <sheetFormatPr baseColWidth="10" defaultRowHeight="14.4"/>
  <cols>
    <col min="1" max="54" width="11.5546875" style="1"/>
    <col min="55" max="55" width="12.5546875" style="1" customWidth="1"/>
    <col min="56" max="64" width="11.5546875" style="1"/>
    <col min="65" max="65" width="17.44140625" style="1" customWidth="1"/>
    <col min="66" max="66" width="13.88671875" style="1" customWidth="1"/>
    <col min="67" max="67" width="19.33203125" style="1" customWidth="1"/>
    <col min="68" max="68" width="20" style="1" customWidth="1"/>
    <col min="69" max="70" width="11.5546875" style="1"/>
    <col min="71" max="71" width="23.5546875" customWidth="1"/>
  </cols>
  <sheetData>
    <row r="1" spans="1:69" ht="18.600000000000001" thickBot="1">
      <c r="A1" s="209">
        <f t="shared" ref="A1:BJ1" si="0">B1+1</f>
        <v>64</v>
      </c>
      <c r="B1" s="209">
        <f t="shared" si="0"/>
        <v>63</v>
      </c>
      <c r="C1" s="209">
        <f t="shared" si="0"/>
        <v>62</v>
      </c>
      <c r="D1" s="209">
        <f t="shared" si="0"/>
        <v>61</v>
      </c>
      <c r="E1" s="209">
        <f t="shared" si="0"/>
        <v>60</v>
      </c>
      <c r="F1" s="209">
        <f t="shared" si="0"/>
        <v>59</v>
      </c>
      <c r="G1" s="209">
        <f t="shared" si="0"/>
        <v>58</v>
      </c>
      <c r="H1" s="209">
        <f t="shared" si="0"/>
        <v>57</v>
      </c>
      <c r="I1" s="209">
        <f t="shared" si="0"/>
        <v>56</v>
      </c>
      <c r="J1" s="209">
        <f t="shared" si="0"/>
        <v>55</v>
      </c>
      <c r="K1" s="209">
        <f t="shared" si="0"/>
        <v>54</v>
      </c>
      <c r="L1" s="209">
        <f t="shared" si="0"/>
        <v>53</v>
      </c>
      <c r="M1" s="209">
        <f t="shared" si="0"/>
        <v>52</v>
      </c>
      <c r="N1" s="209">
        <f t="shared" si="0"/>
        <v>51</v>
      </c>
      <c r="O1" s="209">
        <f t="shared" si="0"/>
        <v>50</v>
      </c>
      <c r="P1" s="209">
        <f t="shared" si="0"/>
        <v>49</v>
      </c>
      <c r="Q1" s="209">
        <f t="shared" si="0"/>
        <v>48</v>
      </c>
      <c r="R1" s="209">
        <f t="shared" si="0"/>
        <v>47</v>
      </c>
      <c r="S1" s="209">
        <f t="shared" si="0"/>
        <v>46</v>
      </c>
      <c r="T1" s="209">
        <f t="shared" si="0"/>
        <v>45</v>
      </c>
      <c r="U1" s="209">
        <f t="shared" si="0"/>
        <v>44</v>
      </c>
      <c r="V1" s="209">
        <f t="shared" si="0"/>
        <v>43</v>
      </c>
      <c r="W1" s="209">
        <f t="shared" si="0"/>
        <v>42</v>
      </c>
      <c r="X1" s="209">
        <f t="shared" si="0"/>
        <v>41</v>
      </c>
      <c r="Y1" s="209">
        <f t="shared" si="0"/>
        <v>40</v>
      </c>
      <c r="Z1" s="209">
        <f t="shared" si="0"/>
        <v>39</v>
      </c>
      <c r="AA1" s="209">
        <f t="shared" si="0"/>
        <v>38</v>
      </c>
      <c r="AB1" s="209">
        <f t="shared" si="0"/>
        <v>37</v>
      </c>
      <c r="AC1" s="209">
        <f t="shared" si="0"/>
        <v>36</v>
      </c>
      <c r="AD1" s="209">
        <f t="shared" si="0"/>
        <v>35</v>
      </c>
      <c r="AE1" s="209">
        <f t="shared" si="0"/>
        <v>34</v>
      </c>
      <c r="AF1" s="209">
        <f t="shared" si="0"/>
        <v>33</v>
      </c>
      <c r="AG1" s="209">
        <f t="shared" si="0"/>
        <v>32</v>
      </c>
      <c r="AH1" s="209">
        <f t="shared" si="0"/>
        <v>31</v>
      </c>
      <c r="AI1" s="209">
        <f t="shared" si="0"/>
        <v>30</v>
      </c>
      <c r="AJ1" s="209">
        <f t="shared" si="0"/>
        <v>29</v>
      </c>
      <c r="AK1" s="209">
        <f t="shared" si="0"/>
        <v>28</v>
      </c>
      <c r="AL1" s="209">
        <f t="shared" si="0"/>
        <v>27</v>
      </c>
      <c r="AM1" s="209">
        <f t="shared" si="0"/>
        <v>26</v>
      </c>
      <c r="AN1" s="209">
        <f t="shared" si="0"/>
        <v>25</v>
      </c>
      <c r="AO1" s="209">
        <f t="shared" si="0"/>
        <v>24</v>
      </c>
      <c r="AP1" s="209">
        <f t="shared" si="0"/>
        <v>23</v>
      </c>
      <c r="AQ1" s="209">
        <f t="shared" si="0"/>
        <v>22</v>
      </c>
      <c r="AR1" s="209">
        <f t="shared" si="0"/>
        <v>21</v>
      </c>
      <c r="AS1" s="209">
        <f t="shared" si="0"/>
        <v>20</v>
      </c>
      <c r="AT1" s="209">
        <f t="shared" si="0"/>
        <v>19</v>
      </c>
      <c r="AU1" s="209">
        <f t="shared" si="0"/>
        <v>18</v>
      </c>
      <c r="AV1" s="209">
        <f t="shared" si="0"/>
        <v>17</v>
      </c>
      <c r="AW1" s="209">
        <f t="shared" si="0"/>
        <v>16</v>
      </c>
      <c r="AX1" s="209">
        <f t="shared" si="0"/>
        <v>15</v>
      </c>
      <c r="AY1" s="209">
        <f t="shared" si="0"/>
        <v>14</v>
      </c>
      <c r="AZ1" s="209">
        <f t="shared" si="0"/>
        <v>13</v>
      </c>
      <c r="BA1" s="209">
        <f t="shared" si="0"/>
        <v>12</v>
      </c>
      <c r="BB1" s="209">
        <f t="shared" si="0"/>
        <v>11</v>
      </c>
      <c r="BC1" s="209">
        <f t="shared" si="0"/>
        <v>10</v>
      </c>
      <c r="BD1" s="209">
        <f t="shared" si="0"/>
        <v>9</v>
      </c>
      <c r="BE1" s="209">
        <f t="shared" si="0"/>
        <v>8</v>
      </c>
      <c r="BF1" s="209">
        <f t="shared" si="0"/>
        <v>7</v>
      </c>
      <c r="BG1" s="209">
        <f t="shared" si="0"/>
        <v>6</v>
      </c>
      <c r="BH1" s="209">
        <f t="shared" si="0"/>
        <v>5</v>
      </c>
      <c r="BI1" s="209">
        <f t="shared" si="0"/>
        <v>4</v>
      </c>
      <c r="BJ1" s="209">
        <f t="shared" si="0"/>
        <v>3</v>
      </c>
      <c r="BK1" s="209">
        <f>BL1+1</f>
        <v>2</v>
      </c>
      <c r="BL1" s="209">
        <v>1</v>
      </c>
      <c r="BM1" s="210" t="s">
        <v>118</v>
      </c>
    </row>
    <row r="2" spans="1:69" s="1" customFormat="1" ht="18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  <c r="AA2" s="209"/>
      <c r="AB2" s="209"/>
      <c r="AC2" s="209"/>
      <c r="AD2" s="209"/>
      <c r="AE2" s="209"/>
      <c r="AF2" s="209"/>
      <c r="AG2" s="209"/>
      <c r="AH2" s="209"/>
      <c r="AI2" s="209"/>
      <c r="AJ2" s="209"/>
      <c r="AK2" s="209"/>
      <c r="AL2" s="209"/>
      <c r="AM2" s="209"/>
      <c r="AN2" s="209"/>
      <c r="AO2" s="209"/>
      <c r="AP2" s="209"/>
      <c r="AQ2" s="209"/>
      <c r="AR2" s="211"/>
      <c r="AS2" s="211"/>
      <c r="AT2" s="211"/>
      <c r="AU2" s="211"/>
      <c r="AV2" s="211"/>
      <c r="AW2" s="211"/>
      <c r="AX2" s="211"/>
      <c r="AY2" s="211"/>
      <c r="AZ2" s="211"/>
      <c r="BA2" s="211"/>
      <c r="BB2" s="211"/>
      <c r="BC2" s="211"/>
      <c r="BD2" s="211"/>
      <c r="BE2" s="211"/>
      <c r="BF2" s="211"/>
      <c r="BG2" s="211"/>
      <c r="BH2" s="211"/>
      <c r="BI2" s="211"/>
      <c r="BJ2" s="212"/>
      <c r="BK2" s="212"/>
      <c r="BL2" s="209">
        <v>2</v>
      </c>
      <c r="BM2" s="314" t="s">
        <v>109</v>
      </c>
      <c r="BN2" s="546" t="s">
        <v>453</v>
      </c>
      <c r="BO2" s="547"/>
      <c r="BP2" s="548"/>
    </row>
    <row r="3" spans="1:69" ht="18">
      <c r="A3" s="209"/>
      <c r="B3" s="209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09"/>
      <c r="W3" s="209"/>
      <c r="X3" s="209"/>
      <c r="Y3" s="209"/>
      <c r="Z3" s="209"/>
      <c r="AA3" s="209"/>
      <c r="AB3" s="209"/>
      <c r="AC3" s="209"/>
      <c r="AD3" s="209"/>
      <c r="AE3" s="209"/>
      <c r="AF3" s="209"/>
      <c r="AG3" s="209"/>
      <c r="AH3" s="209"/>
      <c r="AI3" s="209"/>
      <c r="AJ3" s="209"/>
      <c r="AK3" s="209"/>
      <c r="AL3" s="209"/>
      <c r="AM3" s="209"/>
      <c r="AN3" s="209"/>
      <c r="AO3" s="209"/>
      <c r="AP3" s="209"/>
      <c r="AQ3" s="209"/>
      <c r="AR3" s="209"/>
      <c r="AS3" s="209"/>
      <c r="AT3" s="209"/>
      <c r="AU3" s="209"/>
      <c r="AV3" s="209"/>
      <c r="AW3" s="209"/>
      <c r="AX3" s="209"/>
      <c r="AY3" s="209"/>
      <c r="AZ3" s="209"/>
      <c r="BA3" s="209"/>
      <c r="BB3" s="209"/>
      <c r="BC3" s="209"/>
      <c r="BD3" s="209"/>
      <c r="BE3" s="209"/>
      <c r="BF3" s="209"/>
      <c r="BG3" s="209"/>
      <c r="BH3" s="209"/>
      <c r="BI3" s="209"/>
      <c r="BJ3" s="209"/>
      <c r="BK3" s="209"/>
      <c r="BL3" s="209">
        <v>5</v>
      </c>
      <c r="BM3" s="314" t="s">
        <v>447</v>
      </c>
      <c r="BN3" s="549" t="s">
        <v>449</v>
      </c>
      <c r="BO3" s="550"/>
      <c r="BP3" s="551"/>
    </row>
    <row r="4" spans="1:69" ht="18">
      <c r="A4" s="209"/>
      <c r="B4" s="209"/>
      <c r="C4" s="213"/>
      <c r="D4" s="209"/>
      <c r="E4" s="213"/>
      <c r="F4" s="213"/>
      <c r="G4" s="209"/>
      <c r="H4" s="209"/>
      <c r="I4" s="209"/>
      <c r="J4" s="209"/>
      <c r="K4" s="213"/>
      <c r="L4" s="213"/>
      <c r="M4" s="209"/>
      <c r="N4" s="213"/>
      <c r="O4" s="213"/>
      <c r="P4" s="213"/>
      <c r="Q4" s="209"/>
      <c r="R4" s="213"/>
      <c r="S4" s="209"/>
      <c r="T4" s="209"/>
      <c r="U4" s="213"/>
      <c r="V4" s="209"/>
      <c r="W4" s="213"/>
      <c r="X4" s="209"/>
      <c r="Y4" s="213"/>
      <c r="Z4" s="213"/>
      <c r="AA4" s="213"/>
      <c r="AB4" s="209"/>
      <c r="AC4" s="209"/>
      <c r="AD4" s="209"/>
      <c r="AE4" s="213"/>
      <c r="AF4" s="213"/>
      <c r="AG4" s="209"/>
      <c r="AH4" s="213"/>
      <c r="AI4" s="213"/>
      <c r="AJ4" s="213"/>
      <c r="AK4" s="213"/>
      <c r="AL4" s="209"/>
      <c r="AM4" s="209"/>
      <c r="AN4" s="213"/>
      <c r="AO4" s="209"/>
      <c r="AP4" s="213"/>
      <c r="AQ4" s="213"/>
      <c r="AR4" s="213"/>
      <c r="AS4" s="213"/>
      <c r="AT4" s="213"/>
      <c r="AU4" s="213"/>
      <c r="AV4" s="213"/>
      <c r="AW4" s="209"/>
      <c r="AX4" s="209"/>
      <c r="AY4" s="213"/>
      <c r="AZ4" s="209"/>
      <c r="BA4" s="209"/>
      <c r="BB4" s="209"/>
      <c r="BC4" s="213"/>
      <c r="BD4" s="209"/>
      <c r="BE4" s="209"/>
      <c r="BF4" s="209"/>
      <c r="BG4" s="209"/>
      <c r="BH4" s="213"/>
      <c r="BI4" s="213"/>
      <c r="BJ4" s="209"/>
      <c r="BK4" s="213"/>
      <c r="BL4" s="209">
        <v>16</v>
      </c>
      <c r="BM4" s="314" t="s">
        <v>448</v>
      </c>
      <c r="BN4" s="549" t="s">
        <v>450</v>
      </c>
      <c r="BO4" s="550"/>
      <c r="BP4" s="551"/>
    </row>
    <row r="5" spans="1:69" ht="31.2" thickBot="1">
      <c r="A5" s="209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11" t="s">
        <v>1</v>
      </c>
      <c r="AS5" s="211" t="s">
        <v>119</v>
      </c>
      <c r="AT5" s="211" t="s">
        <v>120</v>
      </c>
      <c r="AU5" s="211" t="s">
        <v>121</v>
      </c>
      <c r="AV5" s="211" t="s">
        <v>121</v>
      </c>
      <c r="AW5" s="211" t="s">
        <v>121</v>
      </c>
      <c r="AX5" s="211" t="s">
        <v>121</v>
      </c>
      <c r="AY5" s="211" t="s">
        <v>121</v>
      </c>
      <c r="AZ5" s="211" t="s">
        <v>122</v>
      </c>
      <c r="BA5" s="211" t="s">
        <v>123</v>
      </c>
      <c r="BB5" s="211" t="s">
        <v>121</v>
      </c>
      <c r="BC5" s="211" t="s">
        <v>124</v>
      </c>
      <c r="BD5" s="211" t="s">
        <v>125</v>
      </c>
      <c r="BE5" s="211" t="s">
        <v>126</v>
      </c>
      <c r="BF5" s="211" t="s">
        <v>127</v>
      </c>
      <c r="BG5" s="211" t="s">
        <v>128</v>
      </c>
      <c r="BH5" s="211" t="s">
        <v>129</v>
      </c>
      <c r="BI5" s="211" t="s">
        <v>130</v>
      </c>
      <c r="BJ5" s="212" t="s">
        <v>131</v>
      </c>
      <c r="BK5" s="212" t="s">
        <v>131</v>
      </c>
      <c r="BL5" s="212" t="s">
        <v>131</v>
      </c>
      <c r="BM5" s="210" t="s">
        <v>132</v>
      </c>
      <c r="BN5" s="559" t="s">
        <v>454</v>
      </c>
      <c r="BO5" s="560"/>
      <c r="BP5" s="561"/>
    </row>
    <row r="6" spans="1:69" ht="16.2" thickBot="1">
      <c r="A6" s="214" t="s">
        <v>133</v>
      </c>
      <c r="B6" s="214" t="s">
        <v>134</v>
      </c>
      <c r="C6" s="214" t="s">
        <v>135</v>
      </c>
      <c r="D6" s="214" t="s">
        <v>136</v>
      </c>
      <c r="E6" s="214" t="s">
        <v>137</v>
      </c>
      <c r="F6" s="214" t="s">
        <v>138</v>
      </c>
      <c r="G6" s="214" t="s">
        <v>139</v>
      </c>
      <c r="H6" s="214" t="s">
        <v>140</v>
      </c>
      <c r="I6" s="214" t="s">
        <v>141</v>
      </c>
      <c r="J6" s="214" t="s">
        <v>142</v>
      </c>
      <c r="K6" s="214" t="s">
        <v>143</v>
      </c>
      <c r="L6" s="214" t="s">
        <v>144</v>
      </c>
      <c r="M6" s="214" t="s">
        <v>145</v>
      </c>
      <c r="N6" s="214" t="s">
        <v>146</v>
      </c>
      <c r="O6" s="214" t="s">
        <v>147</v>
      </c>
      <c r="P6" s="214" t="s">
        <v>148</v>
      </c>
      <c r="Q6" s="214" t="s">
        <v>149</v>
      </c>
      <c r="R6" s="214" t="s">
        <v>150</v>
      </c>
      <c r="S6" s="214" t="s">
        <v>151</v>
      </c>
      <c r="T6" s="214" t="s">
        <v>152</v>
      </c>
      <c r="U6" s="214" t="s">
        <v>153</v>
      </c>
      <c r="V6" s="214" t="s">
        <v>154</v>
      </c>
      <c r="W6" s="214" t="s">
        <v>155</v>
      </c>
      <c r="X6" s="214" t="s">
        <v>156</v>
      </c>
      <c r="Y6" s="214" t="s">
        <v>157</v>
      </c>
      <c r="Z6" s="214" t="s">
        <v>158</v>
      </c>
      <c r="AA6" s="214" t="s">
        <v>159</v>
      </c>
      <c r="AB6" s="214" t="s">
        <v>160</v>
      </c>
      <c r="AC6" s="214" t="s">
        <v>161</v>
      </c>
      <c r="AD6" s="214" t="s">
        <v>162</v>
      </c>
      <c r="AE6" s="214" t="s">
        <v>163</v>
      </c>
      <c r="AF6" s="214" t="s">
        <v>164</v>
      </c>
      <c r="AG6" s="214" t="s">
        <v>165</v>
      </c>
      <c r="AH6" s="214" t="s">
        <v>166</v>
      </c>
      <c r="AI6" s="214" t="s">
        <v>167</v>
      </c>
      <c r="AJ6" s="214" t="s">
        <v>168</v>
      </c>
      <c r="AK6" s="214" t="s">
        <v>169</v>
      </c>
      <c r="AL6" s="214" t="s">
        <v>170</v>
      </c>
      <c r="AM6" s="214" t="s">
        <v>171</v>
      </c>
      <c r="AN6" s="214" t="s">
        <v>172</v>
      </c>
      <c r="AO6" s="214" t="s">
        <v>173</v>
      </c>
      <c r="AP6" s="214" t="s">
        <v>174</v>
      </c>
      <c r="AQ6" s="214" t="s">
        <v>175</v>
      </c>
      <c r="AR6" s="214" t="s">
        <v>176</v>
      </c>
      <c r="AS6" s="214" t="s">
        <v>177</v>
      </c>
      <c r="AT6" s="214" t="s">
        <v>178</v>
      </c>
      <c r="AU6" s="214" t="s">
        <v>179</v>
      </c>
      <c r="AV6" s="214" t="s">
        <v>180</v>
      </c>
      <c r="AW6" s="214" t="s">
        <v>181</v>
      </c>
      <c r="AX6" s="214" t="s">
        <v>182</v>
      </c>
      <c r="AY6" s="214" t="s">
        <v>183</v>
      </c>
      <c r="AZ6" s="214" t="s">
        <v>184</v>
      </c>
      <c r="BA6" s="214" t="s">
        <v>185</v>
      </c>
      <c r="BB6" s="214" t="s">
        <v>186</v>
      </c>
      <c r="BC6" s="214" t="s">
        <v>187</v>
      </c>
      <c r="BD6" s="214" t="s">
        <v>188</v>
      </c>
      <c r="BE6" s="214" t="s">
        <v>189</v>
      </c>
      <c r="BF6" s="214" t="s">
        <v>190</v>
      </c>
      <c r="BG6" s="214" t="s">
        <v>191</v>
      </c>
      <c r="BH6" s="214" t="s">
        <v>192</v>
      </c>
      <c r="BI6" s="214" t="s">
        <v>193</v>
      </c>
      <c r="BJ6" s="214" t="s">
        <v>194</v>
      </c>
      <c r="BK6" s="214" t="s">
        <v>195</v>
      </c>
      <c r="BL6" s="214" t="s">
        <v>196</v>
      </c>
      <c r="BM6" s="314" t="s">
        <v>452</v>
      </c>
      <c r="BN6" s="552"/>
      <c r="BO6" s="553"/>
      <c r="BP6" s="554"/>
    </row>
    <row r="7" spans="1:69" ht="15.6">
      <c r="A7" s="214" t="s">
        <v>197</v>
      </c>
      <c r="B7" s="214" t="s">
        <v>198</v>
      </c>
      <c r="C7" s="214" t="s">
        <v>199</v>
      </c>
      <c r="D7" s="214" t="s">
        <v>200</v>
      </c>
      <c r="E7" s="214" t="s">
        <v>201</v>
      </c>
      <c r="F7" s="214" t="s">
        <v>202</v>
      </c>
      <c r="G7" s="214" t="s">
        <v>203</v>
      </c>
      <c r="H7" s="214" t="s">
        <v>204</v>
      </c>
      <c r="I7" s="214" t="s">
        <v>205</v>
      </c>
      <c r="J7" s="214" t="s">
        <v>206</v>
      </c>
      <c r="K7" s="214" t="s">
        <v>207</v>
      </c>
      <c r="L7" s="214" t="s">
        <v>208</v>
      </c>
      <c r="M7" s="214" t="s">
        <v>209</v>
      </c>
      <c r="N7" s="214" t="s">
        <v>210</v>
      </c>
      <c r="O7" s="214" t="s">
        <v>211</v>
      </c>
      <c r="P7" s="214" t="s">
        <v>212</v>
      </c>
      <c r="Q7" s="214" t="s">
        <v>183</v>
      </c>
      <c r="R7" s="214" t="s">
        <v>213</v>
      </c>
      <c r="S7" s="214" t="s">
        <v>214</v>
      </c>
      <c r="T7" s="214" t="s">
        <v>215</v>
      </c>
      <c r="U7" s="214" t="s">
        <v>216</v>
      </c>
      <c r="V7" s="214" t="s">
        <v>217</v>
      </c>
      <c r="W7" s="214" t="s">
        <v>218</v>
      </c>
      <c r="X7" s="214" t="s">
        <v>219</v>
      </c>
      <c r="Y7" s="214" t="s">
        <v>220</v>
      </c>
      <c r="Z7" s="214" t="s">
        <v>221</v>
      </c>
      <c r="AA7" s="214" t="s">
        <v>222</v>
      </c>
      <c r="AB7" s="214" t="s">
        <v>223</v>
      </c>
      <c r="AC7" s="214" t="s">
        <v>224</v>
      </c>
      <c r="AD7" s="214" t="s">
        <v>225</v>
      </c>
      <c r="AE7" s="214" t="s">
        <v>226</v>
      </c>
      <c r="AF7" s="214" t="s">
        <v>227</v>
      </c>
      <c r="AG7" s="214" t="s">
        <v>228</v>
      </c>
      <c r="AH7" s="214" t="s">
        <v>229</v>
      </c>
      <c r="AI7" s="214" t="s">
        <v>230</v>
      </c>
      <c r="AJ7" s="214" t="s">
        <v>231</v>
      </c>
      <c r="AK7" s="214" t="s">
        <v>232</v>
      </c>
      <c r="AL7" s="214" t="s">
        <v>233</v>
      </c>
      <c r="AM7" s="214" t="s">
        <v>234</v>
      </c>
      <c r="AN7" s="214" t="s">
        <v>235</v>
      </c>
      <c r="AO7" s="214" t="s">
        <v>236</v>
      </c>
      <c r="AP7" s="214" t="s">
        <v>237</v>
      </c>
      <c r="AQ7" s="214" t="s">
        <v>238</v>
      </c>
      <c r="AR7" s="214" t="s">
        <v>239</v>
      </c>
      <c r="AS7" s="214" t="s">
        <v>240</v>
      </c>
      <c r="AT7" s="214" t="s">
        <v>241</v>
      </c>
      <c r="AU7" s="214" t="s">
        <v>242</v>
      </c>
      <c r="AV7" s="214" t="s">
        <v>243</v>
      </c>
      <c r="AW7" s="214" t="s">
        <v>244</v>
      </c>
      <c r="AX7" s="214" t="s">
        <v>245</v>
      </c>
      <c r="AY7" s="214" t="s">
        <v>246</v>
      </c>
      <c r="AZ7" s="214" t="s">
        <v>247</v>
      </c>
      <c r="BA7" s="214" t="s">
        <v>248</v>
      </c>
      <c r="BB7" s="214" t="s">
        <v>249</v>
      </c>
      <c r="BC7" s="214" t="s">
        <v>250</v>
      </c>
      <c r="BD7" s="214" t="s">
        <v>251</v>
      </c>
      <c r="BE7" s="214" t="s">
        <v>252</v>
      </c>
      <c r="BF7" s="214" t="s">
        <v>253</v>
      </c>
      <c r="BG7" s="214" t="s">
        <v>254</v>
      </c>
      <c r="BH7" s="214" t="s">
        <v>255</v>
      </c>
      <c r="BI7" s="214" t="s">
        <v>256</v>
      </c>
      <c r="BJ7" s="214" t="s">
        <v>257</v>
      </c>
      <c r="BK7" s="214" t="s">
        <v>258</v>
      </c>
      <c r="BL7" s="214" t="s">
        <v>259</v>
      </c>
      <c r="BM7" s="210" t="s">
        <v>260</v>
      </c>
    </row>
    <row r="8" spans="1:69" ht="15.6">
      <c r="A8" s="215">
        <v>3527</v>
      </c>
      <c r="B8" s="215">
        <v>3522</v>
      </c>
      <c r="C8" s="215">
        <v>3515</v>
      </c>
      <c r="D8" s="215">
        <v>3543</v>
      </c>
      <c r="E8" s="215">
        <v>3502</v>
      </c>
      <c r="F8" s="215">
        <v>3501</v>
      </c>
      <c r="G8" s="215">
        <v>3376</v>
      </c>
      <c r="H8" s="215">
        <v>3475</v>
      </c>
      <c r="I8" s="215">
        <v>3485</v>
      </c>
      <c r="J8" s="215">
        <v>3463</v>
      </c>
      <c r="K8" s="215">
        <v>3468</v>
      </c>
      <c r="L8" s="215">
        <v>3470</v>
      </c>
      <c r="M8" s="215">
        <v>3463</v>
      </c>
      <c r="N8" s="215">
        <v>3460</v>
      </c>
      <c r="O8" s="215">
        <v>3447</v>
      </c>
      <c r="P8" s="215">
        <v>3445</v>
      </c>
      <c r="Q8" s="215">
        <v>3437</v>
      </c>
      <c r="R8" s="215">
        <v>3394</v>
      </c>
      <c r="S8" s="215">
        <v>3392</v>
      </c>
      <c r="T8" s="215">
        <v>3391</v>
      </c>
      <c r="U8" s="215">
        <v>3362</v>
      </c>
      <c r="V8" s="215">
        <v>3357</v>
      </c>
      <c r="W8" s="215">
        <v>3370</v>
      </c>
      <c r="X8" s="215">
        <v>3326</v>
      </c>
      <c r="Y8" s="215">
        <v>3325</v>
      </c>
      <c r="Z8" s="215">
        <v>3307</v>
      </c>
      <c r="AA8" s="215">
        <v>3272</v>
      </c>
      <c r="AB8" s="215">
        <v>3245</v>
      </c>
      <c r="AC8" s="215">
        <v>3236</v>
      </c>
      <c r="AD8" s="215">
        <v>3218</v>
      </c>
      <c r="AE8" s="215">
        <v>3215</v>
      </c>
      <c r="AF8" s="215">
        <v>3242</v>
      </c>
      <c r="AG8" s="215">
        <v>3258</v>
      </c>
      <c r="AH8" s="215">
        <v>3291</v>
      </c>
      <c r="AI8" s="215">
        <v>3205</v>
      </c>
      <c r="AJ8" s="215">
        <v>3186</v>
      </c>
      <c r="AK8" s="215">
        <v>3176</v>
      </c>
      <c r="AL8" s="215">
        <v>3221</v>
      </c>
      <c r="AM8" s="215">
        <v>3160</v>
      </c>
      <c r="AN8" s="215">
        <v>3210</v>
      </c>
      <c r="AO8" s="215">
        <v>3159</v>
      </c>
      <c r="AP8" s="215">
        <v>3137</v>
      </c>
      <c r="AQ8" s="215">
        <v>3183</v>
      </c>
      <c r="AR8" s="215">
        <v>2003</v>
      </c>
      <c r="AS8" s="215">
        <v>3387</v>
      </c>
      <c r="AT8" s="215">
        <v>2000</v>
      </c>
      <c r="AU8" s="215">
        <v>2057</v>
      </c>
      <c r="AV8" s="215">
        <v>2012</v>
      </c>
      <c r="AW8" s="215">
        <v>2076</v>
      </c>
      <c r="AX8" s="215">
        <v>2103</v>
      </c>
      <c r="AY8" s="215">
        <v>3377</v>
      </c>
      <c r="AZ8" s="215">
        <v>3319</v>
      </c>
      <c r="BA8" s="215">
        <v>3235</v>
      </c>
      <c r="BB8" s="215">
        <v>3254</v>
      </c>
      <c r="BC8" s="215">
        <v>3237</v>
      </c>
      <c r="BD8" s="215">
        <v>3094</v>
      </c>
      <c r="BE8" s="215">
        <v>1997</v>
      </c>
      <c r="BF8" s="215">
        <v>1971</v>
      </c>
      <c r="BG8" s="215">
        <v>3050</v>
      </c>
      <c r="BH8" s="215">
        <v>2804</v>
      </c>
      <c r="BI8" s="215">
        <v>2772</v>
      </c>
      <c r="BJ8" s="215">
        <v>2643</v>
      </c>
      <c r="BK8" s="215">
        <v>2639</v>
      </c>
      <c r="BL8" s="215">
        <v>2646</v>
      </c>
      <c r="BM8" s="210" t="s">
        <v>261</v>
      </c>
    </row>
    <row r="9" spans="1:69">
      <c r="A9" s="216">
        <v>45751</v>
      </c>
      <c r="B9" s="216">
        <v>45660</v>
      </c>
      <c r="C9" s="216">
        <v>45656</v>
      </c>
      <c r="D9" s="216">
        <v>45651</v>
      </c>
      <c r="E9" s="216">
        <v>45651</v>
      </c>
      <c r="F9" s="216">
        <v>45651</v>
      </c>
      <c r="G9" s="216">
        <v>45644</v>
      </c>
      <c r="H9" s="216">
        <v>45638</v>
      </c>
      <c r="I9" s="216">
        <v>45642</v>
      </c>
      <c r="J9" s="216">
        <v>45635</v>
      </c>
      <c r="K9" s="216">
        <v>45633</v>
      </c>
      <c r="L9" s="216">
        <v>45636</v>
      </c>
      <c r="M9" s="216">
        <v>45631</v>
      </c>
      <c r="N9" s="216">
        <v>45630</v>
      </c>
      <c r="O9" s="216">
        <v>45628</v>
      </c>
      <c r="P9" s="216">
        <v>45627</v>
      </c>
      <c r="Q9" s="216">
        <v>45623</v>
      </c>
      <c r="R9" s="216">
        <v>45608</v>
      </c>
      <c r="S9" s="216">
        <v>45608</v>
      </c>
      <c r="T9" s="216">
        <v>45608</v>
      </c>
      <c r="U9" s="216">
        <v>45594</v>
      </c>
      <c r="V9" s="216">
        <v>45593</v>
      </c>
      <c r="W9" s="216">
        <v>45600</v>
      </c>
      <c r="X9" s="216">
        <v>45586</v>
      </c>
      <c r="Y9" s="216">
        <v>45586</v>
      </c>
      <c r="Z9" s="216">
        <v>45579</v>
      </c>
      <c r="AA9" s="216">
        <v>45566</v>
      </c>
      <c r="AB9" s="216">
        <v>45560</v>
      </c>
      <c r="AC9" s="216">
        <v>45558</v>
      </c>
      <c r="AD9" s="216">
        <v>45551</v>
      </c>
      <c r="AE9" s="216">
        <v>45549</v>
      </c>
      <c r="AF9" s="216">
        <v>45559</v>
      </c>
      <c r="AG9" s="216">
        <v>45562</v>
      </c>
      <c r="AH9" s="216">
        <v>45574</v>
      </c>
      <c r="AI9" s="216">
        <v>45546</v>
      </c>
      <c r="AJ9" s="216">
        <v>45539</v>
      </c>
      <c r="AK9" s="216">
        <v>45533</v>
      </c>
      <c r="AL9" s="216">
        <v>45552</v>
      </c>
      <c r="AM9" s="216">
        <v>45527</v>
      </c>
      <c r="AN9" s="216">
        <v>45546</v>
      </c>
      <c r="AO9" s="216">
        <v>45527</v>
      </c>
      <c r="AP9" s="216">
        <v>45511</v>
      </c>
      <c r="AQ9" s="216">
        <v>45538</v>
      </c>
      <c r="AR9" s="216">
        <v>45201</v>
      </c>
      <c r="AS9" s="216">
        <v>45607</v>
      </c>
      <c r="AT9" s="216">
        <v>45201</v>
      </c>
      <c r="AU9" s="216">
        <v>45203</v>
      </c>
      <c r="AV9" s="216">
        <v>45201</v>
      </c>
      <c r="AW9" s="216">
        <v>45205</v>
      </c>
      <c r="AX9" s="216">
        <v>45208</v>
      </c>
      <c r="AY9" s="216">
        <v>45603</v>
      </c>
      <c r="AZ9" s="216">
        <v>45582</v>
      </c>
      <c r="BA9" s="216">
        <v>45556</v>
      </c>
      <c r="BB9" s="216">
        <v>45561</v>
      </c>
      <c r="BC9" s="216">
        <v>45558</v>
      </c>
      <c r="BD9" s="216">
        <v>45486</v>
      </c>
      <c r="BE9" s="216">
        <v>45201</v>
      </c>
      <c r="BF9" s="216">
        <v>45197</v>
      </c>
      <c r="BG9" s="216">
        <v>45463</v>
      </c>
      <c r="BH9" s="216">
        <v>45370</v>
      </c>
      <c r="BI9" s="216">
        <v>45423</v>
      </c>
      <c r="BJ9" s="216">
        <v>45325</v>
      </c>
      <c r="BK9" s="216">
        <v>45324</v>
      </c>
      <c r="BL9" s="216">
        <v>45325</v>
      </c>
      <c r="BM9" s="210" t="s">
        <v>262</v>
      </c>
    </row>
    <row r="10" spans="1:69" ht="15.6">
      <c r="A10" s="217">
        <v>500</v>
      </c>
      <c r="B10" s="217">
        <v>500</v>
      </c>
      <c r="C10" s="217">
        <v>2000</v>
      </c>
      <c r="D10" s="217">
        <v>500</v>
      </c>
      <c r="E10" s="217">
        <v>2610</v>
      </c>
      <c r="F10" s="217">
        <v>2496</v>
      </c>
      <c r="G10" s="217">
        <v>680</v>
      </c>
      <c r="H10" s="217">
        <v>500</v>
      </c>
      <c r="I10" s="217">
        <v>535</v>
      </c>
      <c r="J10" s="217">
        <v>500</v>
      </c>
      <c r="K10" s="217">
        <v>380</v>
      </c>
      <c r="L10" s="217">
        <v>500</v>
      </c>
      <c r="M10" s="217">
        <v>750</v>
      </c>
      <c r="N10" s="217">
        <v>260</v>
      </c>
      <c r="O10" s="217">
        <v>405</v>
      </c>
      <c r="P10" s="217">
        <v>500</v>
      </c>
      <c r="Q10" s="217">
        <v>500</v>
      </c>
      <c r="R10" s="217">
        <v>500</v>
      </c>
      <c r="S10" s="217">
        <v>500</v>
      </c>
      <c r="T10" s="217">
        <v>500</v>
      </c>
      <c r="U10" s="217">
        <v>500</v>
      </c>
      <c r="V10" s="217">
        <v>500</v>
      </c>
      <c r="W10" s="217">
        <v>500</v>
      </c>
      <c r="X10" s="217">
        <v>2000</v>
      </c>
      <c r="Y10" s="217">
        <v>750</v>
      </c>
      <c r="Z10" s="217">
        <v>1945</v>
      </c>
      <c r="AA10" s="217">
        <v>1535</v>
      </c>
      <c r="AB10" s="217">
        <v>1110</v>
      </c>
      <c r="AC10" s="217">
        <v>2000</v>
      </c>
      <c r="AD10" s="217">
        <v>500</v>
      </c>
      <c r="AE10" s="217">
        <v>1950</v>
      </c>
      <c r="AF10" s="217">
        <v>435</v>
      </c>
      <c r="AG10" s="217">
        <v>485</v>
      </c>
      <c r="AH10" s="217">
        <v>1955</v>
      </c>
      <c r="AI10" s="217">
        <v>590</v>
      </c>
      <c r="AJ10" s="217">
        <v>360</v>
      </c>
      <c r="AK10" s="217">
        <v>500</v>
      </c>
      <c r="AL10" s="217">
        <v>600</v>
      </c>
      <c r="AM10" s="217">
        <v>500</v>
      </c>
      <c r="AN10" s="217">
        <v>1530</v>
      </c>
      <c r="AO10" s="217">
        <v>390</v>
      </c>
      <c r="AP10" s="217">
        <v>290</v>
      </c>
      <c r="AQ10" s="217">
        <v>400</v>
      </c>
      <c r="AR10" s="217">
        <v>200</v>
      </c>
      <c r="AS10" s="217">
        <v>2860</v>
      </c>
      <c r="AT10" s="217">
        <v>3100</v>
      </c>
      <c r="AU10" s="217">
        <v>5208</v>
      </c>
      <c r="AV10" s="217">
        <v>893</v>
      </c>
      <c r="AW10" s="217">
        <v>978</v>
      </c>
      <c r="AX10" s="217">
        <v>1907</v>
      </c>
      <c r="AY10" s="217">
        <v>3200</v>
      </c>
      <c r="AZ10" s="217">
        <v>585</v>
      </c>
      <c r="BA10" s="217">
        <v>885</v>
      </c>
      <c r="BB10" s="217">
        <v>980</v>
      </c>
      <c r="BC10" s="217">
        <v>760</v>
      </c>
      <c r="BD10" s="217">
        <v>360</v>
      </c>
      <c r="BE10" s="217">
        <v>1506</v>
      </c>
      <c r="BF10" s="217">
        <v>769</v>
      </c>
      <c r="BG10" s="217">
        <v>895</v>
      </c>
      <c r="BH10" s="217">
        <v>715</v>
      </c>
      <c r="BI10" s="217">
        <v>1025</v>
      </c>
      <c r="BJ10" s="217">
        <v>865</v>
      </c>
      <c r="BK10" s="217">
        <v>755</v>
      </c>
      <c r="BL10" s="217">
        <v>510</v>
      </c>
      <c r="BM10" s="210" t="s">
        <v>263</v>
      </c>
      <c r="BN10" s="218">
        <f>SUM(A10:BL10)</f>
        <v>65897</v>
      </c>
      <c r="BO10" s="219"/>
      <c r="BP10" s="220">
        <f>+BN10*60%</f>
        <v>39538.199999999997</v>
      </c>
      <c r="BQ10" s="221">
        <v>0.6</v>
      </c>
    </row>
    <row r="11" spans="1:69" ht="18.600000000000001" thickBot="1">
      <c r="A11" s="222"/>
      <c r="B11" s="222"/>
      <c r="C11" s="222"/>
      <c r="D11" s="222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10" t="s">
        <v>264</v>
      </c>
      <c r="BN11" s="223"/>
      <c r="BO11" s="219"/>
      <c r="BP11" s="224"/>
    </row>
    <row r="12" spans="1:69" ht="16.8" thickTop="1" thickBot="1">
      <c r="A12" s="225" t="str">
        <f t="shared" ref="A12:BL12" si="1">IF(A13=A14,"صحيح","تثبت")</f>
        <v>صحيح</v>
      </c>
      <c r="B12" s="225" t="str">
        <f t="shared" si="1"/>
        <v>صحيح</v>
      </c>
      <c r="C12" s="225" t="str">
        <f t="shared" si="1"/>
        <v>صحيح</v>
      </c>
      <c r="D12" s="225" t="str">
        <f t="shared" si="1"/>
        <v>صحيح</v>
      </c>
      <c r="E12" s="225" t="str">
        <f t="shared" si="1"/>
        <v>صحيح</v>
      </c>
      <c r="F12" s="225" t="str">
        <f t="shared" si="1"/>
        <v>صحيح</v>
      </c>
      <c r="G12" s="225" t="str">
        <f t="shared" si="1"/>
        <v>صحيح</v>
      </c>
      <c r="H12" s="225" t="str">
        <f t="shared" si="1"/>
        <v>صحيح</v>
      </c>
      <c r="I12" s="225" t="str">
        <f t="shared" si="1"/>
        <v>صحيح</v>
      </c>
      <c r="J12" s="225" t="str">
        <f t="shared" si="1"/>
        <v>صحيح</v>
      </c>
      <c r="K12" s="225" t="str">
        <f t="shared" si="1"/>
        <v>صحيح</v>
      </c>
      <c r="L12" s="225" t="str">
        <f t="shared" si="1"/>
        <v>صحيح</v>
      </c>
      <c r="M12" s="225" t="str">
        <f t="shared" si="1"/>
        <v>صحيح</v>
      </c>
      <c r="N12" s="225" t="str">
        <f t="shared" si="1"/>
        <v>صحيح</v>
      </c>
      <c r="O12" s="225" t="str">
        <f t="shared" si="1"/>
        <v>صحيح</v>
      </c>
      <c r="P12" s="225" t="str">
        <f t="shared" si="1"/>
        <v>صحيح</v>
      </c>
      <c r="Q12" s="225" t="str">
        <f t="shared" si="1"/>
        <v>صحيح</v>
      </c>
      <c r="R12" s="225" t="str">
        <f t="shared" si="1"/>
        <v>صحيح</v>
      </c>
      <c r="S12" s="225" t="str">
        <f t="shared" si="1"/>
        <v>صحيح</v>
      </c>
      <c r="T12" s="225" t="str">
        <f t="shared" si="1"/>
        <v>صحيح</v>
      </c>
      <c r="U12" s="225" t="str">
        <f t="shared" si="1"/>
        <v>صحيح</v>
      </c>
      <c r="V12" s="225" t="str">
        <f t="shared" si="1"/>
        <v>صحيح</v>
      </c>
      <c r="W12" s="226" t="str">
        <f t="shared" si="1"/>
        <v>صحيح</v>
      </c>
      <c r="X12" s="225" t="str">
        <f t="shared" si="1"/>
        <v>صحيح</v>
      </c>
      <c r="Y12" s="225" t="str">
        <f t="shared" si="1"/>
        <v>صحيح</v>
      </c>
      <c r="Z12" s="225" t="str">
        <f t="shared" si="1"/>
        <v>صحيح</v>
      </c>
      <c r="AA12" s="225" t="str">
        <f t="shared" si="1"/>
        <v>صحيح</v>
      </c>
      <c r="AB12" s="225" t="str">
        <f t="shared" si="1"/>
        <v>صحيح</v>
      </c>
      <c r="AC12" s="225" t="str">
        <f t="shared" si="1"/>
        <v>صحيح</v>
      </c>
      <c r="AD12" s="225" t="str">
        <f t="shared" si="1"/>
        <v>صحيح</v>
      </c>
      <c r="AE12" s="225" t="str">
        <f t="shared" si="1"/>
        <v>صحيح</v>
      </c>
      <c r="AF12" s="225" t="str">
        <f t="shared" si="1"/>
        <v>صحيح</v>
      </c>
      <c r="AG12" s="225" t="str">
        <f t="shared" si="1"/>
        <v>صحيح</v>
      </c>
      <c r="AH12" s="225" t="str">
        <f t="shared" si="1"/>
        <v>صحيح</v>
      </c>
      <c r="AI12" s="225" t="str">
        <f t="shared" si="1"/>
        <v>صحيح</v>
      </c>
      <c r="AJ12" s="225" t="str">
        <f t="shared" si="1"/>
        <v>صحيح</v>
      </c>
      <c r="AK12" s="225" t="str">
        <f t="shared" si="1"/>
        <v>صحيح</v>
      </c>
      <c r="AL12" s="225" t="str">
        <f t="shared" si="1"/>
        <v>صحيح</v>
      </c>
      <c r="AM12" s="225" t="str">
        <f t="shared" si="1"/>
        <v>صحيح</v>
      </c>
      <c r="AN12" s="225" t="str">
        <f t="shared" si="1"/>
        <v>صحيح</v>
      </c>
      <c r="AO12" s="225" t="str">
        <f t="shared" si="1"/>
        <v>صحيح</v>
      </c>
      <c r="AP12" s="225" t="str">
        <f t="shared" si="1"/>
        <v>صحيح</v>
      </c>
      <c r="AQ12" s="225" t="str">
        <f t="shared" si="1"/>
        <v>صحيح</v>
      </c>
      <c r="AR12" s="225" t="str">
        <f t="shared" si="1"/>
        <v>صحيح</v>
      </c>
      <c r="AS12" s="225" t="str">
        <f t="shared" si="1"/>
        <v>صحيح</v>
      </c>
      <c r="AT12" s="225" t="str">
        <f t="shared" si="1"/>
        <v>صحيح</v>
      </c>
      <c r="AU12" s="225" t="str">
        <f t="shared" si="1"/>
        <v>صحيح</v>
      </c>
      <c r="AV12" s="225" t="str">
        <f>IF(AV13=AV14,"صحيح","تثبت")</f>
        <v>صحيح</v>
      </c>
      <c r="AW12" s="225" t="str">
        <f>IF(AW13=AW14,"صحيح","تثبت")</f>
        <v>صحيح</v>
      </c>
      <c r="AX12" s="225" t="str">
        <f>IF(AX13=AX14,"صحيح","تثبت")</f>
        <v>صحيح</v>
      </c>
      <c r="AY12" s="225" t="str">
        <f t="shared" si="1"/>
        <v>صحيح</v>
      </c>
      <c r="AZ12" s="225" t="str">
        <f t="shared" si="1"/>
        <v>صحيح</v>
      </c>
      <c r="BA12" s="225" t="str">
        <f t="shared" si="1"/>
        <v>صحيح</v>
      </c>
      <c r="BB12" s="225" t="str">
        <f t="shared" si="1"/>
        <v>صحيح</v>
      </c>
      <c r="BC12" s="225" t="str">
        <f t="shared" si="1"/>
        <v>صحيح</v>
      </c>
      <c r="BD12" s="225" t="str">
        <f t="shared" si="1"/>
        <v>صحيح</v>
      </c>
      <c r="BE12" s="225" t="str">
        <f>IF(BE13=BE14,"صحيح","تثبت")</f>
        <v>صحيح</v>
      </c>
      <c r="BF12" s="225" t="str">
        <f>IF(BF13=BF14,"صحيح","تثبت")</f>
        <v>صحيح</v>
      </c>
      <c r="BG12" s="225" t="str">
        <f t="shared" si="1"/>
        <v>صحيح</v>
      </c>
      <c r="BH12" s="225" t="str">
        <f t="shared" si="1"/>
        <v>صحيح</v>
      </c>
      <c r="BI12" s="225" t="str">
        <f t="shared" si="1"/>
        <v>صحيح</v>
      </c>
      <c r="BJ12" s="225" t="str">
        <f t="shared" si="1"/>
        <v>صحيح</v>
      </c>
      <c r="BK12" s="225" t="str">
        <f t="shared" si="1"/>
        <v>صحيح</v>
      </c>
      <c r="BL12" s="225" t="str">
        <f t="shared" si="1"/>
        <v>صحيح</v>
      </c>
      <c r="BM12" s="227"/>
      <c r="BN12" s="225" t="str">
        <f>IF(BN13=BN14,"صحيح","تثبت")</f>
        <v>صحيح</v>
      </c>
      <c r="BO12" s="228"/>
      <c r="BP12" s="229"/>
    </row>
    <row r="13" spans="1:69" ht="18.600000000000001" thickTop="1">
      <c r="A13" s="230">
        <f t="shared" ref="A13:BL13" si="2">A10*40%</f>
        <v>200</v>
      </c>
      <c r="B13" s="230">
        <f t="shared" si="2"/>
        <v>200</v>
      </c>
      <c r="C13" s="230">
        <f t="shared" si="2"/>
        <v>800</v>
      </c>
      <c r="D13" s="230">
        <f t="shared" si="2"/>
        <v>200</v>
      </c>
      <c r="E13" s="230">
        <f t="shared" si="2"/>
        <v>1044</v>
      </c>
      <c r="F13" s="230">
        <f t="shared" si="2"/>
        <v>998.40000000000009</v>
      </c>
      <c r="G13" s="230">
        <f t="shared" si="2"/>
        <v>272</v>
      </c>
      <c r="H13" s="230">
        <f t="shared" si="2"/>
        <v>200</v>
      </c>
      <c r="I13" s="230">
        <f t="shared" si="2"/>
        <v>214</v>
      </c>
      <c r="J13" s="230">
        <f t="shared" si="2"/>
        <v>200</v>
      </c>
      <c r="K13" s="230">
        <f t="shared" si="2"/>
        <v>152</v>
      </c>
      <c r="L13" s="230">
        <f t="shared" si="2"/>
        <v>200</v>
      </c>
      <c r="M13" s="230">
        <f t="shared" si="2"/>
        <v>300</v>
      </c>
      <c r="N13" s="230">
        <f t="shared" si="2"/>
        <v>104</v>
      </c>
      <c r="O13" s="230">
        <f t="shared" si="2"/>
        <v>162</v>
      </c>
      <c r="P13" s="230">
        <f t="shared" si="2"/>
        <v>200</v>
      </c>
      <c r="Q13" s="230">
        <f t="shared" si="2"/>
        <v>200</v>
      </c>
      <c r="R13" s="230">
        <f t="shared" si="2"/>
        <v>200</v>
      </c>
      <c r="S13" s="230">
        <f t="shared" si="2"/>
        <v>200</v>
      </c>
      <c r="T13" s="230">
        <f t="shared" si="2"/>
        <v>200</v>
      </c>
      <c r="U13" s="230">
        <f t="shared" si="2"/>
        <v>200</v>
      </c>
      <c r="V13" s="230">
        <f t="shared" si="2"/>
        <v>200</v>
      </c>
      <c r="W13" s="230">
        <f t="shared" si="2"/>
        <v>200</v>
      </c>
      <c r="X13" s="230">
        <f t="shared" si="2"/>
        <v>800</v>
      </c>
      <c r="Y13" s="230">
        <f t="shared" si="2"/>
        <v>300</v>
      </c>
      <c r="Z13" s="230">
        <f t="shared" si="2"/>
        <v>778</v>
      </c>
      <c r="AA13" s="230">
        <f t="shared" si="2"/>
        <v>614</v>
      </c>
      <c r="AB13" s="230">
        <f t="shared" si="2"/>
        <v>444</v>
      </c>
      <c r="AC13" s="230">
        <f t="shared" si="2"/>
        <v>800</v>
      </c>
      <c r="AD13" s="230">
        <f t="shared" si="2"/>
        <v>200</v>
      </c>
      <c r="AE13" s="230">
        <f t="shared" si="2"/>
        <v>780</v>
      </c>
      <c r="AF13" s="230">
        <f t="shared" si="2"/>
        <v>174</v>
      </c>
      <c r="AG13" s="230">
        <f t="shared" si="2"/>
        <v>194</v>
      </c>
      <c r="AH13" s="230">
        <f t="shared" si="2"/>
        <v>782</v>
      </c>
      <c r="AI13" s="230">
        <f t="shared" si="2"/>
        <v>236</v>
      </c>
      <c r="AJ13" s="230">
        <f t="shared" si="2"/>
        <v>144</v>
      </c>
      <c r="AK13" s="230">
        <f t="shared" si="2"/>
        <v>200</v>
      </c>
      <c r="AL13" s="230">
        <f t="shared" si="2"/>
        <v>240</v>
      </c>
      <c r="AM13" s="230">
        <f t="shared" si="2"/>
        <v>200</v>
      </c>
      <c r="AN13" s="230">
        <f t="shared" si="2"/>
        <v>612</v>
      </c>
      <c r="AO13" s="230">
        <f t="shared" si="2"/>
        <v>156</v>
      </c>
      <c r="AP13" s="230">
        <f t="shared" si="2"/>
        <v>116</v>
      </c>
      <c r="AQ13" s="230">
        <f t="shared" si="2"/>
        <v>160</v>
      </c>
      <c r="AR13" s="230">
        <f t="shared" si="2"/>
        <v>80</v>
      </c>
      <c r="AS13" s="230">
        <f t="shared" si="2"/>
        <v>1144</v>
      </c>
      <c r="AT13" s="230">
        <f t="shared" si="2"/>
        <v>1240</v>
      </c>
      <c r="AU13" s="230">
        <f t="shared" si="2"/>
        <v>2083.2000000000003</v>
      </c>
      <c r="AV13" s="230">
        <f>AV10*40%</f>
        <v>357.20000000000005</v>
      </c>
      <c r="AW13" s="230">
        <f>AW10*40%</f>
        <v>391.20000000000005</v>
      </c>
      <c r="AX13" s="230">
        <f>AX10*40%</f>
        <v>762.80000000000007</v>
      </c>
      <c r="AY13" s="230">
        <f t="shared" si="2"/>
        <v>1280</v>
      </c>
      <c r="AZ13" s="230">
        <f t="shared" si="2"/>
        <v>234</v>
      </c>
      <c r="BA13" s="230">
        <f t="shared" si="2"/>
        <v>354</v>
      </c>
      <c r="BB13" s="230">
        <f t="shared" si="2"/>
        <v>392</v>
      </c>
      <c r="BC13" s="230">
        <f t="shared" si="2"/>
        <v>304</v>
      </c>
      <c r="BD13" s="230">
        <f t="shared" si="2"/>
        <v>144</v>
      </c>
      <c r="BE13" s="230">
        <f>BE10*40%</f>
        <v>602.4</v>
      </c>
      <c r="BF13" s="230">
        <f>BF10*40%</f>
        <v>307.60000000000002</v>
      </c>
      <c r="BG13" s="230">
        <f t="shared" si="2"/>
        <v>358</v>
      </c>
      <c r="BH13" s="230">
        <f t="shared" si="2"/>
        <v>286</v>
      </c>
      <c r="BI13" s="230">
        <f t="shared" si="2"/>
        <v>410</v>
      </c>
      <c r="BJ13" s="230">
        <f t="shared" si="2"/>
        <v>346</v>
      </c>
      <c r="BK13" s="230">
        <f t="shared" si="2"/>
        <v>302</v>
      </c>
      <c r="BL13" s="230">
        <f t="shared" si="2"/>
        <v>204</v>
      </c>
      <c r="BM13" s="231"/>
      <c r="BN13" s="218">
        <f t="shared" ref="BN13:BN18" si="3">SUM(A13:BL13)</f>
        <v>26358.800000000003</v>
      </c>
      <c r="BO13" s="228"/>
      <c r="BP13" s="229" t="s">
        <v>1</v>
      </c>
      <c r="BQ13" s="232"/>
    </row>
    <row r="14" spans="1:69" ht="18">
      <c r="A14" s="233">
        <f t="shared" ref="A14:BL14" si="4">+A18+A17+A16+A15</f>
        <v>200</v>
      </c>
      <c r="B14" s="233">
        <f t="shared" si="4"/>
        <v>200</v>
      </c>
      <c r="C14" s="233">
        <f t="shared" si="4"/>
        <v>800</v>
      </c>
      <c r="D14" s="233">
        <f t="shared" si="4"/>
        <v>200</v>
      </c>
      <c r="E14" s="233">
        <f t="shared" si="4"/>
        <v>1044</v>
      </c>
      <c r="F14" s="233">
        <f t="shared" si="4"/>
        <v>998.40000000000009</v>
      </c>
      <c r="G14" s="233">
        <f t="shared" si="4"/>
        <v>272</v>
      </c>
      <c r="H14" s="233">
        <f t="shared" si="4"/>
        <v>200</v>
      </c>
      <c r="I14" s="233">
        <f t="shared" si="4"/>
        <v>214</v>
      </c>
      <c r="J14" s="233">
        <f t="shared" si="4"/>
        <v>200</v>
      </c>
      <c r="K14" s="233">
        <f t="shared" si="4"/>
        <v>152</v>
      </c>
      <c r="L14" s="233">
        <f t="shared" si="4"/>
        <v>200</v>
      </c>
      <c r="M14" s="233">
        <f t="shared" si="4"/>
        <v>300</v>
      </c>
      <c r="N14" s="233">
        <f t="shared" si="4"/>
        <v>104</v>
      </c>
      <c r="O14" s="233">
        <f t="shared" si="4"/>
        <v>162</v>
      </c>
      <c r="P14" s="233">
        <f t="shared" si="4"/>
        <v>200</v>
      </c>
      <c r="Q14" s="233">
        <f t="shared" si="4"/>
        <v>200</v>
      </c>
      <c r="R14" s="233">
        <f t="shared" si="4"/>
        <v>200</v>
      </c>
      <c r="S14" s="233">
        <f t="shared" si="4"/>
        <v>200</v>
      </c>
      <c r="T14" s="233">
        <f t="shared" si="4"/>
        <v>200</v>
      </c>
      <c r="U14" s="233">
        <f t="shared" si="4"/>
        <v>200</v>
      </c>
      <c r="V14" s="233">
        <f t="shared" si="4"/>
        <v>200</v>
      </c>
      <c r="W14" s="233">
        <f t="shared" si="4"/>
        <v>200</v>
      </c>
      <c r="X14" s="233">
        <f t="shared" si="4"/>
        <v>800</v>
      </c>
      <c r="Y14" s="233">
        <f t="shared" si="4"/>
        <v>300</v>
      </c>
      <c r="Z14" s="233">
        <f t="shared" si="4"/>
        <v>778</v>
      </c>
      <c r="AA14" s="233">
        <f t="shared" si="4"/>
        <v>614</v>
      </c>
      <c r="AB14" s="233">
        <f t="shared" si="4"/>
        <v>444</v>
      </c>
      <c r="AC14" s="233">
        <f t="shared" si="4"/>
        <v>800</v>
      </c>
      <c r="AD14" s="233">
        <f t="shared" si="4"/>
        <v>200</v>
      </c>
      <c r="AE14" s="233">
        <f t="shared" si="4"/>
        <v>780</v>
      </c>
      <c r="AF14" s="233">
        <f t="shared" si="4"/>
        <v>174</v>
      </c>
      <c r="AG14" s="233">
        <f t="shared" si="4"/>
        <v>194</v>
      </c>
      <c r="AH14" s="233">
        <f t="shared" si="4"/>
        <v>782</v>
      </c>
      <c r="AI14" s="233">
        <f t="shared" si="4"/>
        <v>236</v>
      </c>
      <c r="AJ14" s="233">
        <f t="shared" si="4"/>
        <v>144</v>
      </c>
      <c r="AK14" s="233">
        <f t="shared" si="4"/>
        <v>200</v>
      </c>
      <c r="AL14" s="233">
        <f t="shared" si="4"/>
        <v>240</v>
      </c>
      <c r="AM14" s="233">
        <f t="shared" si="4"/>
        <v>200</v>
      </c>
      <c r="AN14" s="233">
        <f t="shared" si="4"/>
        <v>612</v>
      </c>
      <c r="AO14" s="233">
        <f t="shared" si="4"/>
        <v>156</v>
      </c>
      <c r="AP14" s="233">
        <f t="shared" si="4"/>
        <v>116</v>
      </c>
      <c r="AQ14" s="233">
        <f t="shared" si="4"/>
        <v>160</v>
      </c>
      <c r="AR14" s="233">
        <f t="shared" si="4"/>
        <v>80</v>
      </c>
      <c r="AS14" s="233">
        <f t="shared" si="4"/>
        <v>1144</v>
      </c>
      <c r="AT14" s="233">
        <f t="shared" si="4"/>
        <v>1240</v>
      </c>
      <c r="AU14" s="233">
        <f t="shared" si="4"/>
        <v>2083.2000000000003</v>
      </c>
      <c r="AV14" s="233">
        <f>+AV18+AV17+AV16+AV15</f>
        <v>357.20000000000005</v>
      </c>
      <c r="AW14" s="233">
        <f>+AW18+AW17+AW16+AW15</f>
        <v>391.20000000000005</v>
      </c>
      <c r="AX14" s="233">
        <f>+AX18+AX17+AX16+AX15</f>
        <v>762.80000000000007</v>
      </c>
      <c r="AY14" s="233">
        <f t="shared" si="4"/>
        <v>1280</v>
      </c>
      <c r="AZ14" s="233">
        <f t="shared" si="4"/>
        <v>234</v>
      </c>
      <c r="BA14" s="233">
        <f t="shared" si="4"/>
        <v>354</v>
      </c>
      <c r="BB14" s="233">
        <f t="shared" si="4"/>
        <v>392</v>
      </c>
      <c r="BC14" s="233">
        <f t="shared" si="4"/>
        <v>304</v>
      </c>
      <c r="BD14" s="233">
        <f t="shared" si="4"/>
        <v>144</v>
      </c>
      <c r="BE14" s="233">
        <f>+BE18+BE17+BE16+BE15</f>
        <v>602.40000000000009</v>
      </c>
      <c r="BF14" s="233">
        <f>+BF18+BF17+BF16+BF15</f>
        <v>307.60000000000002</v>
      </c>
      <c r="BG14" s="233">
        <f t="shared" si="4"/>
        <v>358</v>
      </c>
      <c r="BH14" s="233">
        <f t="shared" si="4"/>
        <v>286</v>
      </c>
      <c r="BI14" s="233">
        <f t="shared" si="4"/>
        <v>410</v>
      </c>
      <c r="BJ14" s="233">
        <f t="shared" si="4"/>
        <v>346</v>
      </c>
      <c r="BK14" s="233">
        <f t="shared" si="4"/>
        <v>302</v>
      </c>
      <c r="BL14" s="233">
        <f t="shared" si="4"/>
        <v>204</v>
      </c>
      <c r="BM14" s="234"/>
      <c r="BN14" s="218">
        <f t="shared" si="3"/>
        <v>26358.800000000003</v>
      </c>
      <c r="BO14" s="555" t="s">
        <v>265</v>
      </c>
      <c r="BP14" s="556"/>
      <c r="BQ14" s="232"/>
    </row>
    <row r="15" spans="1:69" ht="18">
      <c r="A15" s="235">
        <f t="shared" ref="A15:BL15" si="5">A10*20%</f>
        <v>100</v>
      </c>
      <c r="B15" s="235">
        <f t="shared" si="5"/>
        <v>100</v>
      </c>
      <c r="C15" s="235">
        <f t="shared" si="5"/>
        <v>400</v>
      </c>
      <c r="D15" s="235">
        <f t="shared" si="5"/>
        <v>100</v>
      </c>
      <c r="E15" s="235">
        <f t="shared" si="5"/>
        <v>522</v>
      </c>
      <c r="F15" s="235">
        <f t="shared" si="5"/>
        <v>499.20000000000005</v>
      </c>
      <c r="G15" s="235">
        <f t="shared" si="5"/>
        <v>136</v>
      </c>
      <c r="H15" s="235">
        <f t="shared" si="5"/>
        <v>100</v>
      </c>
      <c r="I15" s="235">
        <f t="shared" si="5"/>
        <v>107</v>
      </c>
      <c r="J15" s="235">
        <f t="shared" si="5"/>
        <v>100</v>
      </c>
      <c r="K15" s="235">
        <f t="shared" si="5"/>
        <v>76</v>
      </c>
      <c r="L15" s="235">
        <f t="shared" si="5"/>
        <v>100</v>
      </c>
      <c r="M15" s="235">
        <f t="shared" si="5"/>
        <v>150</v>
      </c>
      <c r="N15" s="235">
        <f t="shared" si="5"/>
        <v>52</v>
      </c>
      <c r="O15" s="235">
        <f t="shared" si="5"/>
        <v>81</v>
      </c>
      <c r="P15" s="235">
        <f t="shared" si="5"/>
        <v>100</v>
      </c>
      <c r="Q15" s="235">
        <f t="shared" si="5"/>
        <v>100</v>
      </c>
      <c r="R15" s="235">
        <f t="shared" si="5"/>
        <v>100</v>
      </c>
      <c r="S15" s="235">
        <f t="shared" si="5"/>
        <v>100</v>
      </c>
      <c r="T15" s="235">
        <f t="shared" si="5"/>
        <v>100</v>
      </c>
      <c r="U15" s="235">
        <f t="shared" si="5"/>
        <v>100</v>
      </c>
      <c r="V15" s="235">
        <f t="shared" si="5"/>
        <v>100</v>
      </c>
      <c r="W15" s="235">
        <f t="shared" si="5"/>
        <v>100</v>
      </c>
      <c r="X15" s="235">
        <f t="shared" si="5"/>
        <v>400</v>
      </c>
      <c r="Y15" s="235">
        <f t="shared" si="5"/>
        <v>150</v>
      </c>
      <c r="Z15" s="235">
        <f t="shared" si="5"/>
        <v>389</v>
      </c>
      <c r="AA15" s="235">
        <f t="shared" si="5"/>
        <v>307</v>
      </c>
      <c r="AB15" s="235">
        <f t="shared" si="5"/>
        <v>222</v>
      </c>
      <c r="AC15" s="235">
        <f t="shared" si="5"/>
        <v>400</v>
      </c>
      <c r="AD15" s="235">
        <f t="shared" si="5"/>
        <v>100</v>
      </c>
      <c r="AE15" s="235">
        <f t="shared" si="5"/>
        <v>390</v>
      </c>
      <c r="AF15" s="235">
        <f t="shared" si="5"/>
        <v>87</v>
      </c>
      <c r="AG15" s="235">
        <f t="shared" si="5"/>
        <v>97</v>
      </c>
      <c r="AH15" s="235">
        <f t="shared" si="5"/>
        <v>391</v>
      </c>
      <c r="AI15" s="235">
        <f t="shared" si="5"/>
        <v>118</v>
      </c>
      <c r="AJ15" s="235">
        <f t="shared" si="5"/>
        <v>72</v>
      </c>
      <c r="AK15" s="235">
        <f t="shared" si="5"/>
        <v>100</v>
      </c>
      <c r="AL15" s="235">
        <f t="shared" si="5"/>
        <v>120</v>
      </c>
      <c r="AM15" s="235">
        <f t="shared" si="5"/>
        <v>100</v>
      </c>
      <c r="AN15" s="235">
        <f t="shared" si="5"/>
        <v>306</v>
      </c>
      <c r="AO15" s="235">
        <f t="shared" si="5"/>
        <v>78</v>
      </c>
      <c r="AP15" s="235">
        <f t="shared" si="5"/>
        <v>58</v>
      </c>
      <c r="AQ15" s="235">
        <f t="shared" si="5"/>
        <v>80</v>
      </c>
      <c r="AR15" s="235">
        <f t="shared" si="5"/>
        <v>40</v>
      </c>
      <c r="AS15" s="235">
        <f t="shared" si="5"/>
        <v>572</v>
      </c>
      <c r="AT15" s="235">
        <f t="shared" si="5"/>
        <v>620</v>
      </c>
      <c r="AU15" s="235">
        <f t="shared" si="5"/>
        <v>1041.6000000000001</v>
      </c>
      <c r="AV15" s="235">
        <f>AV10*20%</f>
        <v>178.60000000000002</v>
      </c>
      <c r="AW15" s="235">
        <f>AW10*20%</f>
        <v>195.60000000000002</v>
      </c>
      <c r="AX15" s="235">
        <f>AX10*20%</f>
        <v>381.40000000000003</v>
      </c>
      <c r="AY15" s="235">
        <f t="shared" si="5"/>
        <v>640</v>
      </c>
      <c r="AZ15" s="235">
        <f t="shared" si="5"/>
        <v>117</v>
      </c>
      <c r="BA15" s="235">
        <f t="shared" si="5"/>
        <v>177</v>
      </c>
      <c r="BB15" s="235">
        <f t="shared" si="5"/>
        <v>196</v>
      </c>
      <c r="BC15" s="235">
        <f t="shared" si="5"/>
        <v>152</v>
      </c>
      <c r="BD15" s="235">
        <f t="shared" si="5"/>
        <v>72</v>
      </c>
      <c r="BE15" s="235">
        <f>BE10*20%</f>
        <v>301.2</v>
      </c>
      <c r="BF15" s="235">
        <f>BF10*20%</f>
        <v>153.80000000000001</v>
      </c>
      <c r="BG15" s="235">
        <f t="shared" si="5"/>
        <v>179</v>
      </c>
      <c r="BH15" s="235">
        <f t="shared" si="5"/>
        <v>143</v>
      </c>
      <c r="BI15" s="235">
        <f t="shared" si="5"/>
        <v>205</v>
      </c>
      <c r="BJ15" s="235">
        <f t="shared" si="5"/>
        <v>173</v>
      </c>
      <c r="BK15" s="235">
        <f t="shared" si="5"/>
        <v>151</v>
      </c>
      <c r="BL15" s="235">
        <f t="shared" si="5"/>
        <v>102</v>
      </c>
      <c r="BM15" s="236"/>
      <c r="BN15" s="218">
        <f t="shared" si="3"/>
        <v>13179.400000000001</v>
      </c>
      <c r="BO15" s="555" t="s">
        <v>266</v>
      </c>
      <c r="BP15" s="556"/>
    </row>
    <row r="16" spans="1:69" ht="18">
      <c r="A16" s="237">
        <f>A10*14%+0.04</f>
        <v>70.040000000000006</v>
      </c>
      <c r="B16" s="237">
        <f>B10*14%+0.04</f>
        <v>70.040000000000006</v>
      </c>
      <c r="C16" s="237">
        <f>C10*14%+0.09</f>
        <v>280.08999999999997</v>
      </c>
      <c r="D16" s="237">
        <f>D10*14%+0.04</f>
        <v>70.040000000000006</v>
      </c>
      <c r="E16" s="237">
        <f>E10*14%+0.05</f>
        <v>365.45000000000005</v>
      </c>
      <c r="F16" s="237">
        <f>F10*14%+0.07</f>
        <v>349.51000000000005</v>
      </c>
      <c r="G16" s="237">
        <f>G10*14%+0.03</f>
        <v>95.23</v>
      </c>
      <c r="H16" s="237">
        <f>H10*14%+0.14</f>
        <v>70.14</v>
      </c>
      <c r="I16" s="237">
        <f>I10*14%+0.09</f>
        <v>74.990000000000009</v>
      </c>
      <c r="J16" s="237">
        <f>J10*14%+0.04</f>
        <v>70.040000000000006</v>
      </c>
      <c r="K16" s="237">
        <f>K10*14%+0.01</f>
        <v>53.21</v>
      </c>
      <c r="L16" s="237">
        <f>L10*14%+0.07</f>
        <v>70.069999999999993</v>
      </c>
      <c r="M16" s="237">
        <f>M10*14%+0.09</f>
        <v>105.09000000000002</v>
      </c>
      <c r="N16" s="237">
        <f>N10*14%+0.01</f>
        <v>36.410000000000004</v>
      </c>
      <c r="O16" s="237">
        <f>O10*14%+0.13</f>
        <v>56.830000000000005</v>
      </c>
      <c r="P16" s="237">
        <f>P10*14%+0.09</f>
        <v>70.09</v>
      </c>
      <c r="Q16" s="237">
        <f>Q10*14%+0.07</f>
        <v>70.069999999999993</v>
      </c>
      <c r="R16" s="237">
        <f>R10*14%+0.01</f>
        <v>70.010000000000005</v>
      </c>
      <c r="S16" s="237">
        <f>S10*14%+0.07</f>
        <v>70.069999999999993</v>
      </c>
      <c r="T16" s="237">
        <f>T10*14%+0.09</f>
        <v>70.09</v>
      </c>
      <c r="U16" s="237">
        <f>U10*14%+0.04</f>
        <v>70.040000000000006</v>
      </c>
      <c r="V16" s="237">
        <f>V10*14%+0.07</f>
        <v>70.069999999999993</v>
      </c>
      <c r="W16" s="237">
        <f>W10*14%+0.09</f>
        <v>70.09</v>
      </c>
      <c r="X16" s="237">
        <f>X10*14%+0.01</f>
        <v>280.01</v>
      </c>
      <c r="Y16" s="237">
        <f>Y10*14%+0.09</f>
        <v>105.09000000000002</v>
      </c>
      <c r="Z16" s="237">
        <f>Z10*14%+0.03</f>
        <v>272.33</v>
      </c>
      <c r="AA16" s="237">
        <f>AA10*14%+0.09</f>
        <v>214.99000000000004</v>
      </c>
      <c r="AB16" s="237">
        <f>AB10*14%+0.11</f>
        <v>155.51000000000002</v>
      </c>
      <c r="AC16" s="237">
        <f>AC10*14%+0.01</f>
        <v>280.01</v>
      </c>
      <c r="AD16" s="237">
        <f>AD10*14%+0.07</f>
        <v>70.069999999999993</v>
      </c>
      <c r="AE16" s="237">
        <f>AE10*14%+0.07</f>
        <v>273.07</v>
      </c>
      <c r="AF16" s="237">
        <f>AF10*14%+0.04</f>
        <v>60.940000000000005</v>
      </c>
      <c r="AG16" s="237">
        <f>AG10*14%+0.01</f>
        <v>67.910000000000011</v>
      </c>
      <c r="AH16" s="237">
        <f>AH10*14%</f>
        <v>273.70000000000005</v>
      </c>
      <c r="AI16" s="237">
        <f>AI10*14%+0.1</f>
        <v>82.7</v>
      </c>
      <c r="AJ16" s="237">
        <f>AJ10*14%</f>
        <v>50.400000000000006</v>
      </c>
      <c r="AK16" s="237">
        <f>AK10*14%+0.07</f>
        <v>70.069999999999993</v>
      </c>
      <c r="AL16" s="237">
        <f>AL10*14%+0.11</f>
        <v>84.110000000000014</v>
      </c>
      <c r="AM16" s="237">
        <f>AM10*14%+0.04</f>
        <v>70.040000000000006</v>
      </c>
      <c r="AN16" s="237">
        <f>AN10*14%+0.07</f>
        <v>214.27</v>
      </c>
      <c r="AO16" s="237">
        <f>AO10*14%+0.07</f>
        <v>54.670000000000009</v>
      </c>
      <c r="AP16" s="237">
        <f>AP10*14%+0.06</f>
        <v>40.660000000000004</v>
      </c>
      <c r="AQ16" s="237">
        <f>AQ10*14%+0.02</f>
        <v>56.02000000000001</v>
      </c>
      <c r="AR16" s="237">
        <f>AR10*14%+0.1</f>
        <v>28.100000000000005</v>
      </c>
      <c r="AS16" s="237">
        <f>AS10*14%+0.13</f>
        <v>400.53000000000003</v>
      </c>
      <c r="AT16" s="237">
        <f>AT10*14%+0.27</f>
        <v>434.27000000000004</v>
      </c>
      <c r="AU16" s="237">
        <f>AU10*14%+0.09</f>
        <v>729.21000000000015</v>
      </c>
      <c r="AV16" s="237">
        <f>AV10*14%+0.03</f>
        <v>125.05000000000001</v>
      </c>
      <c r="AW16" s="237">
        <f>AW10*14%+0.03</f>
        <v>136.95000000000002</v>
      </c>
      <c r="AX16" s="237">
        <f>AX10*14%+0.12</f>
        <v>267.10000000000002</v>
      </c>
      <c r="AY16" s="237">
        <f>AY10*14%+0.1</f>
        <v>448.10000000000008</v>
      </c>
      <c r="AZ16" s="237">
        <f>AZ10*14%+0.09</f>
        <v>81.990000000000009</v>
      </c>
      <c r="BA16" s="237">
        <f>BA10*14%+0.04</f>
        <v>123.94000000000001</v>
      </c>
      <c r="BB16" s="237">
        <f>BB10*14%+0.11</f>
        <v>137.31000000000003</v>
      </c>
      <c r="BC16" s="237">
        <f>BC10*14%+0.02</f>
        <v>106.42</v>
      </c>
      <c r="BD16" s="237">
        <f>BD10*14%</f>
        <v>50.400000000000006</v>
      </c>
      <c r="BE16" s="237">
        <f>BE10*14%+0.05</f>
        <v>210.89000000000004</v>
      </c>
      <c r="BF16" s="237">
        <f>BF10*14%+0.04</f>
        <v>107.70000000000002</v>
      </c>
      <c r="BG16" s="237">
        <f>BG10*14%</f>
        <v>125.30000000000001</v>
      </c>
      <c r="BH16" s="237">
        <f>BH10*14%</f>
        <v>100.10000000000001</v>
      </c>
      <c r="BI16" s="237">
        <f>BI10*14%+0.05</f>
        <v>143.55000000000001</v>
      </c>
      <c r="BJ16" s="237">
        <f>BJ10*14%+0.05</f>
        <v>121.15</v>
      </c>
      <c r="BK16" s="237">
        <f>BK10*14%+0.03</f>
        <v>105.73000000000002</v>
      </c>
      <c r="BL16" s="237">
        <f>BL10*14%+0.06</f>
        <v>71.460000000000008</v>
      </c>
      <c r="BM16" s="238"/>
      <c r="BN16" s="218">
        <f t="shared" si="3"/>
        <v>9229.529999999997</v>
      </c>
      <c r="BO16" s="239"/>
      <c r="BP16" s="240" t="s">
        <v>267</v>
      </c>
      <c r="BQ16" s="232"/>
    </row>
    <row r="17" spans="1:71" ht="18">
      <c r="A17" s="241">
        <f>+A10*5%-0.04</f>
        <v>24.96</v>
      </c>
      <c r="B17" s="241">
        <f>+B10*5%-0.04</f>
        <v>24.96</v>
      </c>
      <c r="C17" s="241">
        <f>+C10*5%-0.09</f>
        <v>99.91</v>
      </c>
      <c r="D17" s="241">
        <f>+D10*5%-0.04</f>
        <v>24.96</v>
      </c>
      <c r="E17" s="241">
        <f>+E10*5%-0.05</f>
        <v>130.44999999999999</v>
      </c>
      <c r="F17" s="241">
        <f>+F10*5%-0.07</f>
        <v>124.73000000000002</v>
      </c>
      <c r="G17" s="241">
        <f>+G10*5%-0.03</f>
        <v>33.97</v>
      </c>
      <c r="H17" s="241">
        <f>+H10*5%-0.14</f>
        <v>24.86</v>
      </c>
      <c r="I17" s="241">
        <f>+I10*5%-0.09</f>
        <v>26.66</v>
      </c>
      <c r="J17" s="241">
        <f>+J10*5%-0.04</f>
        <v>24.96</v>
      </c>
      <c r="K17" s="241">
        <f>+K10*5%-0.01</f>
        <v>18.989999999999998</v>
      </c>
      <c r="L17" s="241">
        <f>+L10*5%-0.07</f>
        <v>24.93</v>
      </c>
      <c r="M17" s="241">
        <f>+M10*5%-0.09</f>
        <v>37.409999999999997</v>
      </c>
      <c r="N17" s="241">
        <f>+N10*5%-0.01</f>
        <v>12.99</v>
      </c>
      <c r="O17" s="241">
        <f>+O10*5%-0.13</f>
        <v>20.12</v>
      </c>
      <c r="P17" s="241">
        <f>+P10*5%-0.09</f>
        <v>24.91</v>
      </c>
      <c r="Q17" s="241">
        <f>+Q10*5%-0.07</f>
        <v>24.93</v>
      </c>
      <c r="R17" s="241">
        <f>+R10*5%-0.01</f>
        <v>24.99</v>
      </c>
      <c r="S17" s="241">
        <f>+S10*5%-0.07</f>
        <v>24.93</v>
      </c>
      <c r="T17" s="241">
        <f>+T10*5%-0.09</f>
        <v>24.91</v>
      </c>
      <c r="U17" s="241">
        <f>+U10*5%-0.04</f>
        <v>24.96</v>
      </c>
      <c r="V17" s="241">
        <f>+V10*5%-0.07</f>
        <v>24.93</v>
      </c>
      <c r="W17" s="241">
        <f>+W10*5%-0.09</f>
        <v>24.91</v>
      </c>
      <c r="X17" s="241">
        <f>+X10*5%-0.01</f>
        <v>99.99</v>
      </c>
      <c r="Y17" s="241">
        <f>+Y10*5%-0.09</f>
        <v>37.409999999999997</v>
      </c>
      <c r="Z17" s="241">
        <f>+Z10*5%-0.03</f>
        <v>97.22</v>
      </c>
      <c r="AA17" s="241">
        <f>+AA10*5%-0.09</f>
        <v>76.66</v>
      </c>
      <c r="AB17" s="241">
        <f>+AB10*5%-0.11</f>
        <v>55.39</v>
      </c>
      <c r="AC17" s="241">
        <f>+AC10*5%-0.01</f>
        <v>99.99</v>
      </c>
      <c r="AD17" s="241">
        <f>+AD10*5%-0.07</f>
        <v>24.93</v>
      </c>
      <c r="AE17" s="241">
        <f>+AE10*5%-0.07</f>
        <v>97.43</v>
      </c>
      <c r="AF17" s="241">
        <f>+AF10*5%-0.04</f>
        <v>21.71</v>
      </c>
      <c r="AG17" s="241">
        <f>+AG10*5%-0.01</f>
        <v>24.24</v>
      </c>
      <c r="AH17" s="241">
        <f>+AH10*5%</f>
        <v>97.75</v>
      </c>
      <c r="AI17" s="241">
        <f>+AI10*5%-0.1</f>
        <v>29.4</v>
      </c>
      <c r="AJ17" s="241">
        <f>+AJ10*5%</f>
        <v>18</v>
      </c>
      <c r="AK17" s="241">
        <f>+AK10*5%-0.07</f>
        <v>24.93</v>
      </c>
      <c r="AL17" s="241">
        <f>+AL10*5%-0.11</f>
        <v>29.89</v>
      </c>
      <c r="AM17" s="241">
        <f>+AM10*5%-0.04</f>
        <v>24.96</v>
      </c>
      <c r="AN17" s="241">
        <f>+AN10*5%-0.07</f>
        <v>76.430000000000007</v>
      </c>
      <c r="AO17" s="241">
        <f>+AO10*5%-0.07</f>
        <v>19.43</v>
      </c>
      <c r="AP17" s="241">
        <f>+AP10*5%-0.06</f>
        <v>14.44</v>
      </c>
      <c r="AQ17" s="241">
        <f>+AQ10*5%-0.02</f>
        <v>19.98</v>
      </c>
      <c r="AR17" s="241">
        <f>+AR10*5%-0.1</f>
        <v>9.9</v>
      </c>
      <c r="AS17" s="241">
        <f>+AS10*5%-0.13</f>
        <v>142.87</v>
      </c>
      <c r="AT17" s="241">
        <f>+AT10*5%-0.27</f>
        <v>154.72999999999999</v>
      </c>
      <c r="AU17" s="241">
        <f>+AU10*5%-0.09</f>
        <v>260.31000000000006</v>
      </c>
      <c r="AV17" s="241">
        <f>+AV10*5%-0.03</f>
        <v>44.620000000000005</v>
      </c>
      <c r="AW17" s="241">
        <f>+AW10*5%-0.03</f>
        <v>48.870000000000005</v>
      </c>
      <c r="AX17" s="241">
        <f>+AX10*5%-0.12</f>
        <v>95.23</v>
      </c>
      <c r="AY17" s="241">
        <f>+AY10*5%-0.1</f>
        <v>159.9</v>
      </c>
      <c r="AZ17" s="241">
        <f>+AZ10*5%-0.09</f>
        <v>29.16</v>
      </c>
      <c r="BA17" s="241">
        <f>+BA10*5%-0.04</f>
        <v>44.21</v>
      </c>
      <c r="BB17" s="241">
        <f>+BB10*5%-0.11</f>
        <v>48.89</v>
      </c>
      <c r="BC17" s="241">
        <f>+BC10*5%-0.02</f>
        <v>37.979999999999997</v>
      </c>
      <c r="BD17" s="241">
        <f>+BD10*5%</f>
        <v>18</v>
      </c>
      <c r="BE17" s="241">
        <f>+BE10*5%-0.05</f>
        <v>75.25</v>
      </c>
      <c r="BF17" s="241">
        <f>+BF10*5%-0.04</f>
        <v>38.410000000000004</v>
      </c>
      <c r="BG17" s="241">
        <f>+BG10*5%</f>
        <v>44.75</v>
      </c>
      <c r="BH17" s="241">
        <f>+BH10*5%</f>
        <v>35.75</v>
      </c>
      <c r="BI17" s="241">
        <f>+BI10*5%-0.05</f>
        <v>51.2</v>
      </c>
      <c r="BJ17" s="241">
        <f>+BJ10*5%-0.05</f>
        <v>43.2</v>
      </c>
      <c r="BK17" s="241">
        <f>+BK10*5%-0.03</f>
        <v>37.72</v>
      </c>
      <c r="BL17" s="241">
        <f>BL10*5%-0.06</f>
        <v>25.44</v>
      </c>
      <c r="BM17" s="238"/>
      <c r="BN17" s="218">
        <f t="shared" si="3"/>
        <v>3290.8999999999996</v>
      </c>
      <c r="BO17" s="555" t="s">
        <v>268</v>
      </c>
      <c r="BP17" s="556"/>
      <c r="BQ17" s="242"/>
    </row>
    <row r="18" spans="1:71" ht="18">
      <c r="A18" s="241">
        <f t="shared" ref="A18:BL18" si="6">+A10*1%</f>
        <v>5</v>
      </c>
      <c r="B18" s="241">
        <f t="shared" si="6"/>
        <v>5</v>
      </c>
      <c r="C18" s="241">
        <f t="shared" si="6"/>
        <v>20</v>
      </c>
      <c r="D18" s="241">
        <f t="shared" si="6"/>
        <v>5</v>
      </c>
      <c r="E18" s="241">
        <f t="shared" si="6"/>
        <v>26.1</v>
      </c>
      <c r="F18" s="241">
        <f t="shared" si="6"/>
        <v>24.96</v>
      </c>
      <c r="G18" s="241">
        <f t="shared" si="6"/>
        <v>6.8</v>
      </c>
      <c r="H18" s="241">
        <f t="shared" si="6"/>
        <v>5</v>
      </c>
      <c r="I18" s="241">
        <f t="shared" si="6"/>
        <v>5.3500000000000005</v>
      </c>
      <c r="J18" s="241">
        <f t="shared" si="6"/>
        <v>5</v>
      </c>
      <c r="K18" s="241">
        <f t="shared" si="6"/>
        <v>3.8000000000000003</v>
      </c>
      <c r="L18" s="241">
        <f t="shared" si="6"/>
        <v>5</v>
      </c>
      <c r="M18" s="241">
        <f t="shared" si="6"/>
        <v>7.5</v>
      </c>
      <c r="N18" s="241">
        <f t="shared" si="6"/>
        <v>2.6</v>
      </c>
      <c r="O18" s="241">
        <f t="shared" si="6"/>
        <v>4.05</v>
      </c>
      <c r="P18" s="241">
        <f t="shared" si="6"/>
        <v>5</v>
      </c>
      <c r="Q18" s="241">
        <f t="shared" si="6"/>
        <v>5</v>
      </c>
      <c r="R18" s="241">
        <f t="shared" si="6"/>
        <v>5</v>
      </c>
      <c r="S18" s="241">
        <f t="shared" si="6"/>
        <v>5</v>
      </c>
      <c r="T18" s="241">
        <f t="shared" si="6"/>
        <v>5</v>
      </c>
      <c r="U18" s="241">
        <f t="shared" si="6"/>
        <v>5</v>
      </c>
      <c r="V18" s="241">
        <f t="shared" si="6"/>
        <v>5</v>
      </c>
      <c r="W18" s="241">
        <f t="shared" si="6"/>
        <v>5</v>
      </c>
      <c r="X18" s="241">
        <f t="shared" si="6"/>
        <v>20</v>
      </c>
      <c r="Y18" s="241">
        <f t="shared" si="6"/>
        <v>7.5</v>
      </c>
      <c r="Z18" s="241">
        <f t="shared" si="6"/>
        <v>19.45</v>
      </c>
      <c r="AA18" s="241">
        <f t="shared" si="6"/>
        <v>15.35</v>
      </c>
      <c r="AB18" s="241">
        <f t="shared" si="6"/>
        <v>11.1</v>
      </c>
      <c r="AC18" s="241">
        <f t="shared" si="6"/>
        <v>20</v>
      </c>
      <c r="AD18" s="241">
        <f t="shared" si="6"/>
        <v>5</v>
      </c>
      <c r="AE18" s="241">
        <f t="shared" si="6"/>
        <v>19.5</v>
      </c>
      <c r="AF18" s="241">
        <f t="shared" si="6"/>
        <v>4.3500000000000005</v>
      </c>
      <c r="AG18" s="241">
        <f t="shared" si="6"/>
        <v>4.8500000000000005</v>
      </c>
      <c r="AH18" s="241">
        <f t="shared" si="6"/>
        <v>19.55</v>
      </c>
      <c r="AI18" s="241">
        <f t="shared" si="6"/>
        <v>5.9</v>
      </c>
      <c r="AJ18" s="241">
        <f t="shared" si="6"/>
        <v>3.6</v>
      </c>
      <c r="AK18" s="241">
        <f t="shared" si="6"/>
        <v>5</v>
      </c>
      <c r="AL18" s="241">
        <f t="shared" si="6"/>
        <v>6</v>
      </c>
      <c r="AM18" s="241">
        <f t="shared" si="6"/>
        <v>5</v>
      </c>
      <c r="AN18" s="241">
        <f t="shared" si="6"/>
        <v>15.3</v>
      </c>
      <c r="AO18" s="241">
        <f t="shared" si="6"/>
        <v>3.9</v>
      </c>
      <c r="AP18" s="241">
        <f t="shared" si="6"/>
        <v>2.9</v>
      </c>
      <c r="AQ18" s="241">
        <f t="shared" si="6"/>
        <v>4</v>
      </c>
      <c r="AR18" s="241">
        <f t="shared" si="6"/>
        <v>2</v>
      </c>
      <c r="AS18" s="241">
        <f t="shared" si="6"/>
        <v>28.6</v>
      </c>
      <c r="AT18" s="241">
        <f t="shared" si="6"/>
        <v>31</v>
      </c>
      <c r="AU18" s="241">
        <f t="shared" si="6"/>
        <v>52.08</v>
      </c>
      <c r="AV18" s="241">
        <f>+AV10*1%</f>
        <v>8.93</v>
      </c>
      <c r="AW18" s="241">
        <f>+AW10*1%</f>
        <v>9.7799999999999994</v>
      </c>
      <c r="AX18" s="241">
        <f>+AX10*1%</f>
        <v>19.07</v>
      </c>
      <c r="AY18" s="241">
        <f t="shared" si="6"/>
        <v>32</v>
      </c>
      <c r="AZ18" s="241">
        <f t="shared" si="6"/>
        <v>5.8500000000000005</v>
      </c>
      <c r="BA18" s="241">
        <f t="shared" si="6"/>
        <v>8.85</v>
      </c>
      <c r="BB18" s="241">
        <f t="shared" si="6"/>
        <v>9.8000000000000007</v>
      </c>
      <c r="BC18" s="241">
        <f t="shared" si="6"/>
        <v>7.6000000000000005</v>
      </c>
      <c r="BD18" s="241">
        <f t="shared" si="6"/>
        <v>3.6</v>
      </c>
      <c r="BE18" s="241">
        <f>+BE10*1%</f>
        <v>15.06</v>
      </c>
      <c r="BF18" s="241">
        <f>+BF10*1%</f>
        <v>7.69</v>
      </c>
      <c r="BG18" s="241">
        <f t="shared" si="6"/>
        <v>8.9500000000000011</v>
      </c>
      <c r="BH18" s="241">
        <f t="shared" si="6"/>
        <v>7.15</v>
      </c>
      <c r="BI18" s="241">
        <f t="shared" si="6"/>
        <v>10.25</v>
      </c>
      <c r="BJ18" s="241">
        <f t="shared" si="6"/>
        <v>8.65</v>
      </c>
      <c r="BK18" s="241">
        <f t="shared" si="6"/>
        <v>7.55</v>
      </c>
      <c r="BL18" s="241">
        <f t="shared" si="6"/>
        <v>5.1000000000000005</v>
      </c>
      <c r="BM18" s="238"/>
      <c r="BN18" s="218">
        <f t="shared" si="3"/>
        <v>658.97</v>
      </c>
      <c r="BO18" s="555" t="s">
        <v>269</v>
      </c>
      <c r="BP18" s="556"/>
      <c r="BQ18" s="243" t="s">
        <v>270</v>
      </c>
      <c r="BR18" s="244" t="s">
        <v>455</v>
      </c>
      <c r="BS18" s="244" t="s">
        <v>456</v>
      </c>
    </row>
    <row r="19" spans="1:71" ht="18">
      <c r="A19" s="245"/>
      <c r="B19" s="245"/>
      <c r="C19" s="245"/>
      <c r="D19" s="245"/>
      <c r="E19" s="245"/>
      <c r="F19" s="245"/>
      <c r="G19" s="245">
        <v>1.1299999999999999</v>
      </c>
      <c r="H19" s="245">
        <v>0.83</v>
      </c>
      <c r="I19" s="245">
        <v>0.89</v>
      </c>
      <c r="J19" s="245">
        <v>0.83</v>
      </c>
      <c r="K19" s="245">
        <v>0.63</v>
      </c>
      <c r="L19" s="245">
        <v>0.83</v>
      </c>
      <c r="M19" s="245">
        <v>1.25</v>
      </c>
      <c r="N19" s="245">
        <v>0.43</v>
      </c>
      <c r="O19" s="245">
        <v>0.67</v>
      </c>
      <c r="P19" s="245">
        <v>0.83</v>
      </c>
      <c r="Q19" s="245">
        <v>0.83</v>
      </c>
      <c r="R19" s="245">
        <v>0.83</v>
      </c>
      <c r="S19" s="245">
        <v>0.83</v>
      </c>
      <c r="T19" s="245">
        <v>0.83</v>
      </c>
      <c r="U19" s="245">
        <v>0.83</v>
      </c>
      <c r="V19" s="245">
        <v>0.83</v>
      </c>
      <c r="W19" s="245">
        <v>0.83</v>
      </c>
      <c r="X19" s="245">
        <v>3.33</v>
      </c>
      <c r="Y19" s="245">
        <v>1.25</v>
      </c>
      <c r="Z19" s="246">
        <v>3.24</v>
      </c>
      <c r="AA19" s="245">
        <v>2.5499999999999998</v>
      </c>
      <c r="AB19" s="245">
        <v>1.85</v>
      </c>
      <c r="AC19" s="245">
        <v>3.33</v>
      </c>
      <c r="AD19" s="245">
        <v>0.83</v>
      </c>
      <c r="AE19" s="245">
        <v>3.25</v>
      </c>
      <c r="AF19" s="245">
        <v>0.72</v>
      </c>
      <c r="AG19" s="245">
        <v>0.8</v>
      </c>
      <c r="AH19" s="245">
        <v>3.25</v>
      </c>
      <c r="AI19" s="245">
        <v>0.98</v>
      </c>
      <c r="AJ19" s="245">
        <v>0.6</v>
      </c>
      <c r="AK19" s="245">
        <v>0.83</v>
      </c>
      <c r="AL19" s="245">
        <v>1</v>
      </c>
      <c r="AM19" s="245">
        <v>0.83</v>
      </c>
      <c r="AN19" s="245">
        <v>2.5499999999999998</v>
      </c>
      <c r="AO19" s="245">
        <v>0.65</v>
      </c>
      <c r="AP19" s="245">
        <v>0.48</v>
      </c>
      <c r="AQ19" s="245">
        <v>0.66</v>
      </c>
      <c r="AR19" s="245"/>
      <c r="AS19" s="246">
        <v>5.0999999999999996</v>
      </c>
      <c r="AT19" s="245"/>
      <c r="AU19" s="245"/>
      <c r="AV19" s="245"/>
      <c r="AW19" s="245"/>
      <c r="AX19" s="245"/>
      <c r="AY19" s="245">
        <v>5.33</v>
      </c>
      <c r="AZ19" s="245">
        <v>0.97</v>
      </c>
      <c r="BA19" s="245">
        <v>1.47</v>
      </c>
      <c r="BB19" s="245">
        <v>1.63</v>
      </c>
      <c r="BC19" s="245">
        <v>1.26</v>
      </c>
      <c r="BD19" s="245">
        <v>0.6</v>
      </c>
      <c r="BE19" s="245"/>
      <c r="BF19" s="245"/>
      <c r="BG19" s="245">
        <v>2.23</v>
      </c>
      <c r="BH19" s="246"/>
      <c r="BI19" s="246"/>
      <c r="BJ19" s="245"/>
      <c r="BK19" s="245"/>
      <c r="BL19" s="245"/>
      <c r="BM19" s="238"/>
      <c r="BN19" s="218">
        <f t="shared" ref="BN19:BN51" si="7">SUM(A19:BL19)</f>
        <v>65.699999999999989</v>
      </c>
      <c r="BO19" s="247" t="s">
        <v>271</v>
      </c>
      <c r="BP19" s="248" t="s">
        <v>272</v>
      </c>
      <c r="BQ19" s="249">
        <v>1</v>
      </c>
      <c r="BR19" s="250"/>
      <c r="BS19" s="250"/>
    </row>
    <row r="20" spans="1:71" ht="18">
      <c r="A20" s="245">
        <v>0.83</v>
      </c>
      <c r="B20" s="245">
        <v>0.83</v>
      </c>
      <c r="C20" s="245">
        <v>3.33</v>
      </c>
      <c r="D20" s="245">
        <v>0.83</v>
      </c>
      <c r="E20" s="245">
        <v>4.3499999999999996</v>
      </c>
      <c r="F20" s="245">
        <v>4.16</v>
      </c>
      <c r="G20" s="245"/>
      <c r="H20" s="245"/>
      <c r="I20" s="245"/>
      <c r="J20" s="245"/>
      <c r="K20" s="245"/>
      <c r="L20" s="245"/>
      <c r="M20" s="245"/>
      <c r="N20" s="245"/>
      <c r="O20" s="245"/>
      <c r="P20" s="245"/>
      <c r="Q20" s="245"/>
      <c r="R20" s="245"/>
      <c r="S20" s="245"/>
      <c r="T20" s="245"/>
      <c r="U20" s="245"/>
      <c r="V20" s="245"/>
      <c r="W20" s="245"/>
      <c r="X20" s="245"/>
      <c r="Y20" s="245"/>
      <c r="Z20" s="246"/>
      <c r="AA20" s="245"/>
      <c r="AB20" s="245"/>
      <c r="AC20" s="245"/>
      <c r="AD20" s="245"/>
      <c r="AE20" s="245"/>
      <c r="AF20" s="24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>
        <v>0.33</v>
      </c>
      <c r="AS20" s="246"/>
      <c r="AT20" s="245"/>
      <c r="AU20" s="245"/>
      <c r="AV20" s="245"/>
      <c r="AW20" s="245"/>
      <c r="AX20" s="245"/>
      <c r="AY20" s="245"/>
      <c r="AZ20" s="245"/>
      <c r="BA20" s="245"/>
      <c r="BB20" s="245"/>
      <c r="BC20" s="245"/>
      <c r="BD20" s="245"/>
      <c r="BE20" s="245"/>
      <c r="BF20" s="245"/>
      <c r="BG20" s="245"/>
      <c r="BH20" s="246"/>
      <c r="BI20" s="246"/>
      <c r="BJ20" s="245"/>
      <c r="BK20" s="245"/>
      <c r="BL20" s="245"/>
      <c r="BM20" s="238"/>
      <c r="BN20" s="218">
        <f t="shared" si="7"/>
        <v>14.66</v>
      </c>
      <c r="BO20" s="247" t="s">
        <v>109</v>
      </c>
      <c r="BP20" s="248" t="s">
        <v>273</v>
      </c>
      <c r="BQ20" s="249">
        <f>BQ19+1</f>
        <v>2</v>
      </c>
      <c r="BR20" s="250"/>
      <c r="BS20" s="250"/>
    </row>
    <row r="21" spans="1:71" ht="18">
      <c r="A21" s="245">
        <v>0.83</v>
      </c>
      <c r="B21" s="245">
        <v>0.83</v>
      </c>
      <c r="C21" s="245">
        <v>3.33</v>
      </c>
      <c r="D21" s="245">
        <v>0.83</v>
      </c>
      <c r="E21" s="245">
        <v>4.3499999999999996</v>
      </c>
      <c r="F21" s="245">
        <v>4.16</v>
      </c>
      <c r="G21" s="245">
        <v>1.1299999999999999</v>
      </c>
      <c r="H21" s="245">
        <v>0.83</v>
      </c>
      <c r="I21" s="245">
        <v>0.89</v>
      </c>
      <c r="J21" s="245">
        <v>0.83</v>
      </c>
      <c r="K21" s="245">
        <v>0.63</v>
      </c>
      <c r="L21" s="245">
        <v>0.83</v>
      </c>
      <c r="M21" s="245">
        <v>1.25</v>
      </c>
      <c r="N21" s="245">
        <v>0.43</v>
      </c>
      <c r="O21" s="245">
        <v>0.67</v>
      </c>
      <c r="P21" s="245">
        <v>0.83</v>
      </c>
      <c r="Q21" s="245">
        <v>0.83</v>
      </c>
      <c r="R21" s="245">
        <v>0.83</v>
      </c>
      <c r="S21" s="245">
        <v>0.83</v>
      </c>
      <c r="T21" s="245">
        <v>0.83</v>
      </c>
      <c r="U21" s="245">
        <v>0.83</v>
      </c>
      <c r="V21" s="245">
        <v>0.83</v>
      </c>
      <c r="W21" s="245">
        <v>0.83</v>
      </c>
      <c r="X21" s="245">
        <v>3.33</v>
      </c>
      <c r="Y21" s="245">
        <v>1.25</v>
      </c>
      <c r="Z21" s="246">
        <v>3.24</v>
      </c>
      <c r="AA21" s="245">
        <v>2.5499999999999998</v>
      </c>
      <c r="AB21" s="245">
        <v>1.85</v>
      </c>
      <c r="AC21" s="245">
        <v>3.33</v>
      </c>
      <c r="AD21" s="245">
        <v>0.83</v>
      </c>
      <c r="AE21" s="245">
        <v>3.25</v>
      </c>
      <c r="AF21" s="245">
        <v>0.72</v>
      </c>
      <c r="AG21" s="245">
        <v>0.8</v>
      </c>
      <c r="AH21" s="245">
        <v>3.25</v>
      </c>
      <c r="AI21" s="245">
        <v>0.98</v>
      </c>
      <c r="AJ21" s="245">
        <v>0.6</v>
      </c>
      <c r="AK21" s="245">
        <v>0.83</v>
      </c>
      <c r="AL21" s="245">
        <v>1</v>
      </c>
      <c r="AM21" s="245">
        <v>0.83</v>
      </c>
      <c r="AN21" s="245">
        <v>2.5499999999999998</v>
      </c>
      <c r="AO21" s="245">
        <v>0.65</v>
      </c>
      <c r="AP21" s="245">
        <v>0.48</v>
      </c>
      <c r="AQ21" s="245">
        <v>0.66</v>
      </c>
      <c r="AR21" s="245"/>
      <c r="AS21" s="246"/>
      <c r="AT21" s="245"/>
      <c r="AU21" s="245"/>
      <c r="AV21" s="245"/>
      <c r="AW21" s="245"/>
      <c r="AX21" s="245"/>
      <c r="AY21" s="245">
        <v>5.33</v>
      </c>
      <c r="AZ21" s="245">
        <v>0.97</v>
      </c>
      <c r="BA21" s="245">
        <v>1.47</v>
      </c>
      <c r="BB21" s="245">
        <v>1.63</v>
      </c>
      <c r="BC21" s="245">
        <v>1.26</v>
      </c>
      <c r="BD21" s="245">
        <v>0.6</v>
      </c>
      <c r="BE21" s="245"/>
      <c r="BF21" s="245"/>
      <c r="BG21" s="245">
        <v>2.23</v>
      </c>
      <c r="BH21" s="246"/>
      <c r="BI21" s="246"/>
      <c r="BJ21" s="245"/>
      <c r="BK21" s="245"/>
      <c r="BL21" s="245"/>
      <c r="BM21" s="238"/>
      <c r="BN21" s="218">
        <f t="shared" si="7"/>
        <v>74.929999999999964</v>
      </c>
      <c r="BO21" s="247" t="s">
        <v>271</v>
      </c>
      <c r="BP21" s="248" t="s">
        <v>274</v>
      </c>
      <c r="BQ21" s="249">
        <f t="shared" ref="BQ21:BQ84" si="8">BQ20+1</f>
        <v>3</v>
      </c>
      <c r="BR21" s="250"/>
      <c r="BS21" s="250"/>
    </row>
    <row r="22" spans="1:71" ht="18">
      <c r="A22" s="245">
        <v>0.83</v>
      </c>
      <c r="B22" s="245">
        <v>0.83</v>
      </c>
      <c r="C22" s="245">
        <v>3.33</v>
      </c>
      <c r="D22" s="245">
        <v>0.83</v>
      </c>
      <c r="E22" s="245">
        <v>4.3499999999999996</v>
      </c>
      <c r="F22" s="245">
        <v>4.16</v>
      </c>
      <c r="G22" s="245">
        <v>1.1299999999999999</v>
      </c>
      <c r="H22" s="245">
        <v>0.83</v>
      </c>
      <c r="I22" s="245">
        <v>0.89</v>
      </c>
      <c r="J22" s="245">
        <v>0.83</v>
      </c>
      <c r="K22" s="245">
        <v>0.63</v>
      </c>
      <c r="L22" s="245">
        <v>0.83</v>
      </c>
      <c r="M22" s="245">
        <v>1.25</v>
      </c>
      <c r="N22" s="245">
        <v>0.43</v>
      </c>
      <c r="O22" s="245">
        <v>0.67</v>
      </c>
      <c r="P22" s="245">
        <v>0.83</v>
      </c>
      <c r="Q22" s="245">
        <v>0.83</v>
      </c>
      <c r="R22" s="245">
        <v>0.83</v>
      </c>
      <c r="S22" s="245">
        <v>0.83</v>
      </c>
      <c r="T22" s="245">
        <v>0.83</v>
      </c>
      <c r="U22" s="245">
        <v>0.83</v>
      </c>
      <c r="V22" s="245">
        <v>0.83</v>
      </c>
      <c r="W22" s="245">
        <v>0.83</v>
      </c>
      <c r="X22" s="245">
        <v>3.33</v>
      </c>
      <c r="Y22" s="245">
        <v>1.25</v>
      </c>
      <c r="Z22" s="246">
        <v>3.24</v>
      </c>
      <c r="AA22" s="245">
        <v>2.5499999999999998</v>
      </c>
      <c r="AB22" s="245">
        <v>1.85</v>
      </c>
      <c r="AC22" s="245">
        <v>3.33</v>
      </c>
      <c r="AD22" s="245">
        <v>0.83</v>
      </c>
      <c r="AE22" s="245">
        <v>3.25</v>
      </c>
      <c r="AF22" s="245">
        <v>0.72</v>
      </c>
      <c r="AG22" s="245">
        <v>0.8</v>
      </c>
      <c r="AH22" s="245">
        <v>3.25</v>
      </c>
      <c r="AI22" s="245">
        <v>0.98</v>
      </c>
      <c r="AJ22" s="245">
        <v>0.6</v>
      </c>
      <c r="AK22" s="245">
        <v>0.83</v>
      </c>
      <c r="AL22" s="245">
        <v>1</v>
      </c>
      <c r="AM22" s="245">
        <v>0.83</v>
      </c>
      <c r="AN22" s="245"/>
      <c r="AO22" s="245"/>
      <c r="AP22" s="245"/>
      <c r="AQ22" s="245"/>
      <c r="AR22" s="245"/>
      <c r="AS22" s="246"/>
      <c r="AT22" s="245"/>
      <c r="AU22" s="245"/>
      <c r="AV22" s="245"/>
      <c r="AW22" s="245"/>
      <c r="AX22" s="245"/>
      <c r="AY22" s="245">
        <v>5.33</v>
      </c>
      <c r="AZ22" s="245">
        <v>0.97</v>
      </c>
      <c r="BA22" s="245">
        <v>1.47</v>
      </c>
      <c r="BB22" s="245">
        <v>1.63</v>
      </c>
      <c r="BC22" s="245">
        <v>1.26</v>
      </c>
      <c r="BD22" s="245"/>
      <c r="BE22" s="245"/>
      <c r="BF22" s="245"/>
      <c r="BG22" s="245"/>
      <c r="BH22" s="246"/>
      <c r="BI22" s="246"/>
      <c r="BJ22" s="245"/>
      <c r="BK22" s="245"/>
      <c r="BL22" s="245"/>
      <c r="BM22" s="238"/>
      <c r="BN22" s="218">
        <f t="shared" si="7"/>
        <v>67.759999999999977</v>
      </c>
      <c r="BO22" s="247" t="s">
        <v>271</v>
      </c>
      <c r="BP22" s="248" t="s">
        <v>275</v>
      </c>
      <c r="BQ22" s="249">
        <f t="shared" si="8"/>
        <v>4</v>
      </c>
      <c r="BR22" s="250"/>
      <c r="BS22" s="250"/>
    </row>
    <row r="23" spans="1:71" ht="18">
      <c r="A23" s="245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6"/>
      <c r="AA23" s="245"/>
      <c r="AB23" s="245"/>
      <c r="AC23" s="245"/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>
        <v>2.5499999999999998</v>
      </c>
      <c r="AO23" s="245">
        <v>0.65</v>
      </c>
      <c r="AP23" s="245">
        <v>0.48</v>
      </c>
      <c r="AQ23" s="245">
        <v>0.66</v>
      </c>
      <c r="AR23" s="245"/>
      <c r="AS23" s="246"/>
      <c r="AT23" s="245">
        <v>4.07</v>
      </c>
      <c r="AU23" s="245"/>
      <c r="AV23" s="245"/>
      <c r="AW23" s="245">
        <v>1.81</v>
      </c>
      <c r="AX23" s="245">
        <v>3.07</v>
      </c>
      <c r="AY23" s="245"/>
      <c r="AZ23" s="245"/>
      <c r="BA23" s="245"/>
      <c r="BB23" s="245"/>
      <c r="BC23" s="245"/>
      <c r="BD23" s="245">
        <v>0.6</v>
      </c>
      <c r="BE23" s="245"/>
      <c r="BF23" s="245"/>
      <c r="BG23" s="245"/>
      <c r="BH23" s="246"/>
      <c r="BI23" s="246"/>
      <c r="BJ23" s="245"/>
      <c r="BK23" s="245"/>
      <c r="BL23" s="245"/>
      <c r="BM23" s="238"/>
      <c r="BN23" s="218">
        <f t="shared" si="7"/>
        <v>13.89</v>
      </c>
      <c r="BO23" s="247" t="s">
        <v>271</v>
      </c>
      <c r="BP23" s="248" t="s">
        <v>276</v>
      </c>
      <c r="BQ23" s="249">
        <f t="shared" si="8"/>
        <v>5</v>
      </c>
      <c r="BR23" s="250"/>
      <c r="BS23" s="250"/>
    </row>
    <row r="24" spans="1:71" ht="18">
      <c r="A24" s="245"/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5"/>
      <c r="U24" s="245"/>
      <c r="V24" s="245"/>
      <c r="W24" s="245"/>
      <c r="X24" s="245"/>
      <c r="Y24" s="245"/>
      <c r="Z24" s="246"/>
      <c r="AA24" s="245"/>
      <c r="AB24" s="245"/>
      <c r="AC24" s="245"/>
      <c r="AD24" s="245"/>
      <c r="AE24" s="245"/>
      <c r="AF24" s="245"/>
      <c r="AG24" s="245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>
        <v>0.33</v>
      </c>
      <c r="AS24" s="246"/>
      <c r="AT24" s="245"/>
      <c r="AU24" s="245"/>
      <c r="AV24" s="245"/>
      <c r="AW24" s="245"/>
      <c r="AX24" s="245"/>
      <c r="AY24" s="245"/>
      <c r="AZ24" s="245"/>
      <c r="BA24" s="245"/>
      <c r="BB24" s="245"/>
      <c r="BC24" s="245"/>
      <c r="BD24" s="245"/>
      <c r="BE24" s="245"/>
      <c r="BF24" s="245"/>
      <c r="BG24" s="245"/>
      <c r="BH24" s="246"/>
      <c r="BI24" s="246"/>
      <c r="BJ24" s="245"/>
      <c r="BK24" s="245"/>
      <c r="BL24" s="245"/>
      <c r="BM24" s="238"/>
      <c r="BN24" s="218">
        <f>SUM(A24:BL24)</f>
        <v>0.33</v>
      </c>
      <c r="BO24" s="247" t="s">
        <v>271</v>
      </c>
      <c r="BP24" s="248" t="s">
        <v>277</v>
      </c>
      <c r="BQ24" s="249">
        <f t="shared" si="8"/>
        <v>6</v>
      </c>
      <c r="BR24" s="250"/>
      <c r="BS24" s="250"/>
    </row>
    <row r="25" spans="1:71" ht="18">
      <c r="A25" s="245"/>
      <c r="B25" s="245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5"/>
      <c r="X25" s="245"/>
      <c r="Y25" s="245"/>
      <c r="Z25" s="246"/>
      <c r="AA25" s="245"/>
      <c r="AB25" s="245"/>
      <c r="AC25" s="245"/>
      <c r="AD25" s="245"/>
      <c r="AE25" s="245"/>
      <c r="AF25" s="245"/>
      <c r="AG25" s="245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6">
        <v>5.0999999999999996</v>
      </c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6">
        <v>1.43</v>
      </c>
      <c r="BI25" s="246"/>
      <c r="BJ25" s="245">
        <v>1.8</v>
      </c>
      <c r="BK25" s="245">
        <v>1.64</v>
      </c>
      <c r="BL25" s="245">
        <v>1.06</v>
      </c>
      <c r="BM25" s="238"/>
      <c r="BN25" s="218">
        <f t="shared" si="7"/>
        <v>11.030000000000001</v>
      </c>
      <c r="BO25" s="247" t="s">
        <v>271</v>
      </c>
      <c r="BP25" s="248" t="s">
        <v>278</v>
      </c>
      <c r="BQ25" s="249">
        <f t="shared" si="8"/>
        <v>7</v>
      </c>
      <c r="BR25" s="250"/>
      <c r="BS25" s="250"/>
    </row>
    <row r="26" spans="1:71" ht="18">
      <c r="A26" s="245"/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5"/>
      <c r="U26" s="245"/>
      <c r="V26" s="245"/>
      <c r="W26" s="245"/>
      <c r="X26" s="245"/>
      <c r="Y26" s="245"/>
      <c r="Z26" s="246"/>
      <c r="AA26" s="245"/>
      <c r="AB26" s="245"/>
      <c r="AC26" s="245"/>
      <c r="AD26" s="245"/>
      <c r="AE26" s="245"/>
      <c r="AF26" s="245"/>
      <c r="AG26" s="245"/>
      <c r="AH26" s="245"/>
      <c r="AI26" s="245"/>
      <c r="AJ26" s="245"/>
      <c r="AK26" s="245"/>
      <c r="AL26" s="245"/>
      <c r="AM26" s="245"/>
      <c r="AN26" s="245"/>
      <c r="AO26" s="245"/>
      <c r="AP26" s="245"/>
      <c r="AQ26" s="245"/>
      <c r="AR26" s="245"/>
      <c r="AS26" s="246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6">
        <v>1.43</v>
      </c>
      <c r="BI26" s="246">
        <v>2.56</v>
      </c>
      <c r="BJ26" s="245">
        <v>1.8</v>
      </c>
      <c r="BK26" s="245">
        <v>1.64</v>
      </c>
      <c r="BL26" s="245">
        <v>1.06</v>
      </c>
      <c r="BM26" s="238"/>
      <c r="BN26" s="218">
        <f t="shared" si="7"/>
        <v>8.49</v>
      </c>
      <c r="BO26" s="247" t="s">
        <v>271</v>
      </c>
      <c r="BP26" s="248" t="s">
        <v>279</v>
      </c>
      <c r="BQ26" s="249">
        <f t="shared" si="8"/>
        <v>8</v>
      </c>
      <c r="BR26" s="250"/>
      <c r="BS26" s="250"/>
    </row>
    <row r="27" spans="1:71" ht="18">
      <c r="A27" s="245"/>
      <c r="B27" s="24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5"/>
      <c r="U27" s="245"/>
      <c r="V27" s="245"/>
      <c r="W27" s="245"/>
      <c r="X27" s="245"/>
      <c r="Y27" s="245"/>
      <c r="Z27" s="246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  <c r="AK27" s="245"/>
      <c r="AL27" s="245"/>
      <c r="AM27" s="245"/>
      <c r="AN27" s="245"/>
      <c r="AO27" s="245"/>
      <c r="AP27" s="245"/>
      <c r="AQ27" s="245"/>
      <c r="AR27" s="245"/>
      <c r="AS27" s="246"/>
      <c r="AT27" s="245">
        <v>4.07</v>
      </c>
      <c r="AU27" s="245"/>
      <c r="AV27" s="245"/>
      <c r="AW27" s="245"/>
      <c r="AX27" s="245"/>
      <c r="AY27" s="245"/>
      <c r="AZ27" s="245"/>
      <c r="BA27" s="245"/>
      <c r="BB27" s="245"/>
      <c r="BC27" s="245"/>
      <c r="BD27" s="245"/>
      <c r="BE27" s="245"/>
      <c r="BF27" s="245"/>
      <c r="BG27" s="245"/>
      <c r="BH27" s="246"/>
      <c r="BI27" s="246">
        <v>2.56</v>
      </c>
      <c r="BJ27" s="245"/>
      <c r="BK27" s="245"/>
      <c r="BL27" s="245"/>
      <c r="BM27" s="238"/>
      <c r="BN27" s="218">
        <f t="shared" si="7"/>
        <v>6.6300000000000008</v>
      </c>
      <c r="BO27" s="247" t="s">
        <v>271</v>
      </c>
      <c r="BP27" s="248" t="s">
        <v>280</v>
      </c>
      <c r="BQ27" s="249">
        <f t="shared" si="8"/>
        <v>9</v>
      </c>
      <c r="BR27" s="250"/>
      <c r="BS27" s="250"/>
    </row>
    <row r="28" spans="1:71" ht="18">
      <c r="A28" s="251"/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  <c r="Z28" s="251"/>
      <c r="AA28" s="251"/>
      <c r="AB28" s="251"/>
      <c r="AC28" s="251"/>
      <c r="AD28" s="251"/>
      <c r="AE28" s="251"/>
      <c r="AF28" s="251"/>
      <c r="AG28" s="251"/>
      <c r="AH28" s="251"/>
      <c r="AI28" s="251"/>
      <c r="AJ28" s="251"/>
      <c r="AK28" s="251"/>
      <c r="AL28" s="251"/>
      <c r="AM28" s="251"/>
      <c r="AN28" s="251"/>
      <c r="AO28" s="251"/>
      <c r="AP28" s="251"/>
      <c r="AQ28" s="251"/>
      <c r="AR28" s="246">
        <v>0.33</v>
      </c>
      <c r="AS28" s="251"/>
      <c r="AT28" s="245">
        <v>4.07</v>
      </c>
      <c r="AU28" s="251"/>
      <c r="AV28" s="251"/>
      <c r="AW28" s="245">
        <v>1.81</v>
      </c>
      <c r="AX28" s="245">
        <v>3.07</v>
      </c>
      <c r="AY28" s="251"/>
      <c r="AZ28" s="251"/>
      <c r="BA28" s="251"/>
      <c r="BB28" s="251"/>
      <c r="BC28" s="251"/>
      <c r="BD28" s="251"/>
      <c r="BE28" s="246">
        <v>3.01</v>
      </c>
      <c r="BF28" s="246">
        <v>1.67</v>
      </c>
      <c r="BG28" s="251"/>
      <c r="BH28" s="251"/>
      <c r="BI28" s="251"/>
      <c r="BJ28" s="251"/>
      <c r="BK28" s="251"/>
      <c r="BL28" s="251"/>
      <c r="BM28" s="252"/>
      <c r="BN28" s="253">
        <f t="shared" si="7"/>
        <v>13.96</v>
      </c>
      <c r="BO28" s="254" t="s">
        <v>109</v>
      </c>
      <c r="BP28" s="255" t="s">
        <v>281</v>
      </c>
      <c r="BQ28" s="249">
        <f t="shared" si="8"/>
        <v>10</v>
      </c>
      <c r="BR28" s="256"/>
      <c r="BS28" s="250"/>
    </row>
    <row r="29" spans="1:71" ht="18">
      <c r="A29" s="251"/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  <c r="Z29" s="251"/>
      <c r="AA29" s="251"/>
      <c r="AB29" s="251"/>
      <c r="AC29" s="251"/>
      <c r="AD29" s="251"/>
      <c r="AE29" s="251"/>
      <c r="AF29" s="251"/>
      <c r="AG29" s="251"/>
      <c r="AH29" s="251"/>
      <c r="AI29" s="251"/>
      <c r="AJ29" s="251"/>
      <c r="AK29" s="251"/>
      <c r="AL29" s="251"/>
      <c r="AM29" s="251"/>
      <c r="AN29" s="251"/>
      <c r="AO29" s="251"/>
      <c r="AP29" s="251"/>
      <c r="AQ29" s="251"/>
      <c r="AR29" s="251"/>
      <c r="AS29" s="251"/>
      <c r="AT29" s="251"/>
      <c r="AU29" s="251"/>
      <c r="AV29" s="251"/>
      <c r="AW29" s="245">
        <v>1.81</v>
      </c>
      <c r="AX29" s="245">
        <v>3.07</v>
      </c>
      <c r="AY29" s="251"/>
      <c r="AZ29" s="251"/>
      <c r="BA29" s="251"/>
      <c r="BB29" s="251"/>
      <c r="BC29" s="251"/>
      <c r="BD29" s="251"/>
      <c r="BE29" s="246">
        <v>3.01</v>
      </c>
      <c r="BF29" s="246">
        <v>1.67</v>
      </c>
      <c r="BG29" s="251"/>
      <c r="BH29" s="251"/>
      <c r="BI29" s="251"/>
      <c r="BJ29" s="251"/>
      <c r="BK29" s="251"/>
      <c r="BL29" s="251"/>
      <c r="BM29" s="252"/>
      <c r="BN29" s="253">
        <f t="shared" si="7"/>
        <v>9.5599999999999987</v>
      </c>
      <c r="BO29" s="254" t="s">
        <v>109</v>
      </c>
      <c r="BP29" s="255" t="s">
        <v>282</v>
      </c>
      <c r="BQ29" s="249">
        <f t="shared" si="8"/>
        <v>11</v>
      </c>
      <c r="BR29" s="256"/>
      <c r="BS29" s="250"/>
    </row>
    <row r="30" spans="1:71" ht="18">
      <c r="A30" s="251"/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  <c r="Z30" s="251"/>
      <c r="AA30" s="251"/>
      <c r="AB30" s="251"/>
      <c r="AC30" s="251"/>
      <c r="AD30" s="251"/>
      <c r="AE30" s="251"/>
      <c r="AF30" s="251"/>
      <c r="AG30" s="251"/>
      <c r="AH30" s="251"/>
      <c r="AI30" s="251"/>
      <c r="AJ30" s="251"/>
      <c r="AK30" s="251"/>
      <c r="AL30" s="251"/>
      <c r="AM30" s="251"/>
      <c r="AN30" s="251"/>
      <c r="AO30" s="251"/>
      <c r="AP30" s="251"/>
      <c r="AQ30" s="251"/>
      <c r="AR30" s="246">
        <v>0.33</v>
      </c>
      <c r="AS30" s="251"/>
      <c r="AT30" s="245">
        <v>4.07</v>
      </c>
      <c r="AU30" s="251"/>
      <c r="AV30" s="251"/>
      <c r="AW30" s="245"/>
      <c r="AX30" s="245"/>
      <c r="AY30" s="251"/>
      <c r="AZ30" s="251"/>
      <c r="BA30" s="251"/>
      <c r="BB30" s="251"/>
      <c r="BC30" s="251"/>
      <c r="BD30" s="251"/>
      <c r="BE30" s="251"/>
      <c r="BF30" s="251"/>
      <c r="BG30" s="251"/>
      <c r="BH30" s="251"/>
      <c r="BI30" s="251"/>
      <c r="BJ30" s="251"/>
      <c r="BK30" s="251"/>
      <c r="BL30" s="251"/>
      <c r="BM30" s="252"/>
      <c r="BN30" s="257">
        <f t="shared" si="7"/>
        <v>4.4000000000000004</v>
      </c>
      <c r="BO30" s="258" t="s">
        <v>283</v>
      </c>
      <c r="BP30" s="259" t="s">
        <v>284</v>
      </c>
      <c r="BQ30" s="249">
        <f t="shared" si="8"/>
        <v>12</v>
      </c>
      <c r="BR30" s="256"/>
      <c r="BS30" s="250"/>
    </row>
    <row r="31" spans="1:71" ht="18">
      <c r="A31" s="251"/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  <c r="Z31" s="251"/>
      <c r="AA31" s="251"/>
      <c r="AB31" s="251"/>
      <c r="AC31" s="251"/>
      <c r="AD31" s="251"/>
      <c r="AE31" s="251"/>
      <c r="AF31" s="251"/>
      <c r="AG31" s="251"/>
      <c r="AH31" s="251"/>
      <c r="AI31" s="251"/>
      <c r="AJ31" s="251"/>
      <c r="AK31" s="251"/>
      <c r="AL31" s="251"/>
      <c r="AM31" s="251"/>
      <c r="AN31" s="251"/>
      <c r="AO31" s="251"/>
      <c r="AP31" s="251"/>
      <c r="AQ31" s="251"/>
      <c r="AR31" s="246">
        <v>0.33</v>
      </c>
      <c r="AS31" s="251"/>
      <c r="AT31" s="245"/>
      <c r="AU31" s="251"/>
      <c r="AV31" s="251"/>
      <c r="AW31" s="245"/>
      <c r="AX31" s="245"/>
      <c r="AY31" s="251"/>
      <c r="AZ31" s="251"/>
      <c r="BA31" s="251"/>
      <c r="BB31" s="251"/>
      <c r="BC31" s="251"/>
      <c r="BD31" s="251"/>
      <c r="BE31" s="251"/>
      <c r="BF31" s="251"/>
      <c r="BG31" s="251"/>
      <c r="BH31" s="251"/>
      <c r="BI31" s="251"/>
      <c r="BJ31" s="251"/>
      <c r="BK31" s="251"/>
      <c r="BL31" s="251"/>
      <c r="BM31" s="252"/>
      <c r="BN31" s="257">
        <f>SUM(A31:BL31)</f>
        <v>0.33</v>
      </c>
      <c r="BO31" s="258" t="s">
        <v>283</v>
      </c>
      <c r="BP31" s="259" t="s">
        <v>285</v>
      </c>
      <c r="BQ31" s="249">
        <f t="shared" si="8"/>
        <v>13</v>
      </c>
      <c r="BR31" s="256"/>
      <c r="BS31" s="250"/>
    </row>
    <row r="32" spans="1:71" ht="18">
      <c r="A32" s="251"/>
      <c r="B32" s="251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  <c r="Z32" s="251"/>
      <c r="AA32" s="251"/>
      <c r="AB32" s="251"/>
      <c r="AC32" s="251"/>
      <c r="AD32" s="251"/>
      <c r="AE32" s="251"/>
      <c r="AF32" s="251"/>
      <c r="AG32" s="251"/>
      <c r="AH32" s="251"/>
      <c r="AI32" s="251"/>
      <c r="AJ32" s="251"/>
      <c r="AK32" s="251"/>
      <c r="AL32" s="251"/>
      <c r="AM32" s="251"/>
      <c r="AN32" s="251"/>
      <c r="AO32" s="251"/>
      <c r="AP32" s="251"/>
      <c r="AQ32" s="251"/>
      <c r="AR32" s="246">
        <v>0.33</v>
      </c>
      <c r="AS32" s="251"/>
      <c r="AT32" s="245"/>
      <c r="AU32" s="251"/>
      <c r="AV32" s="251"/>
      <c r="AW32" s="245"/>
      <c r="AX32" s="245"/>
      <c r="AY32" s="251"/>
      <c r="AZ32" s="251"/>
      <c r="BA32" s="251"/>
      <c r="BB32" s="251"/>
      <c r="BC32" s="251"/>
      <c r="BD32" s="251"/>
      <c r="BE32" s="251"/>
      <c r="BF32" s="251"/>
      <c r="BG32" s="251"/>
      <c r="BH32" s="251"/>
      <c r="BI32" s="251"/>
      <c r="BJ32" s="251"/>
      <c r="BK32" s="251"/>
      <c r="BL32" s="251"/>
      <c r="BM32" s="252"/>
      <c r="BN32" s="257">
        <f>SUM(A32:BL32)</f>
        <v>0.33</v>
      </c>
      <c r="BO32" s="258" t="s">
        <v>283</v>
      </c>
      <c r="BP32" s="259" t="s">
        <v>286</v>
      </c>
      <c r="BQ32" s="249">
        <f t="shared" si="8"/>
        <v>14</v>
      </c>
      <c r="BR32" s="256"/>
      <c r="BS32" s="250"/>
    </row>
    <row r="33" spans="1:71" ht="18">
      <c r="A33" s="251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  <c r="Z33" s="251"/>
      <c r="AA33" s="251"/>
      <c r="AB33" s="251"/>
      <c r="AC33" s="251"/>
      <c r="AD33" s="251"/>
      <c r="AE33" s="251"/>
      <c r="AF33" s="251"/>
      <c r="AG33" s="251"/>
      <c r="AH33" s="251"/>
      <c r="AI33" s="251"/>
      <c r="AJ33" s="251"/>
      <c r="AK33" s="251"/>
      <c r="AL33" s="251"/>
      <c r="AM33" s="251"/>
      <c r="AN33" s="251"/>
      <c r="AO33" s="251"/>
      <c r="AP33" s="251"/>
      <c r="AQ33" s="251"/>
      <c r="AR33" s="246">
        <v>0.33</v>
      </c>
      <c r="AS33" s="251"/>
      <c r="AT33" s="245"/>
      <c r="AU33" s="251"/>
      <c r="AV33" s="251"/>
      <c r="AW33" s="245"/>
      <c r="AX33" s="245"/>
      <c r="AY33" s="251"/>
      <c r="AZ33" s="251"/>
      <c r="BA33" s="251"/>
      <c r="BB33" s="251"/>
      <c r="BC33" s="251"/>
      <c r="BD33" s="251"/>
      <c r="BE33" s="251"/>
      <c r="BF33" s="251"/>
      <c r="BG33" s="251"/>
      <c r="BH33" s="251"/>
      <c r="BI33" s="251"/>
      <c r="BJ33" s="251"/>
      <c r="BK33" s="251"/>
      <c r="BL33" s="251"/>
      <c r="BM33" s="252"/>
      <c r="BN33" s="257">
        <f>SUM(A33:BL33)</f>
        <v>0.33</v>
      </c>
      <c r="BO33" s="258" t="s">
        <v>283</v>
      </c>
      <c r="BP33" s="259" t="s">
        <v>287</v>
      </c>
      <c r="BQ33" s="249">
        <f t="shared" si="8"/>
        <v>15</v>
      </c>
      <c r="BR33" s="256"/>
      <c r="BS33" s="250"/>
    </row>
    <row r="34" spans="1:71" ht="18">
      <c r="A34" s="251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  <c r="Z34" s="251"/>
      <c r="AA34" s="251"/>
      <c r="AB34" s="251"/>
      <c r="AC34" s="251"/>
      <c r="AD34" s="251"/>
      <c r="AE34" s="251"/>
      <c r="AF34" s="251"/>
      <c r="AG34" s="251"/>
      <c r="AH34" s="251"/>
      <c r="AI34" s="251"/>
      <c r="AJ34" s="251"/>
      <c r="AK34" s="251"/>
      <c r="AL34" s="251"/>
      <c r="AM34" s="251"/>
      <c r="AN34" s="251"/>
      <c r="AO34" s="251"/>
      <c r="AP34" s="251"/>
      <c r="AQ34" s="251"/>
      <c r="AR34" s="246">
        <v>0.33</v>
      </c>
      <c r="AS34" s="251"/>
      <c r="AT34" s="245"/>
      <c r="AU34" s="251"/>
      <c r="AV34" s="251"/>
      <c r="AW34" s="245"/>
      <c r="AX34" s="245"/>
      <c r="AY34" s="251"/>
      <c r="AZ34" s="251"/>
      <c r="BA34" s="251"/>
      <c r="BB34" s="251"/>
      <c r="BC34" s="251"/>
      <c r="BD34" s="251"/>
      <c r="BE34" s="251"/>
      <c r="BF34" s="251"/>
      <c r="BG34" s="251"/>
      <c r="BH34" s="251"/>
      <c r="BI34" s="251"/>
      <c r="BJ34" s="251"/>
      <c r="BK34" s="251"/>
      <c r="BL34" s="251"/>
      <c r="BM34" s="252"/>
      <c r="BN34" s="257">
        <f>SUM(A34:BL34)</f>
        <v>0.33</v>
      </c>
      <c r="BO34" s="258" t="s">
        <v>283</v>
      </c>
      <c r="BP34" s="259" t="s">
        <v>288</v>
      </c>
      <c r="BQ34" s="249">
        <f t="shared" si="8"/>
        <v>16</v>
      </c>
      <c r="BR34" s="256"/>
      <c r="BS34" s="250"/>
    </row>
    <row r="35" spans="1:71" ht="18">
      <c r="A35" s="245">
        <v>2.14</v>
      </c>
      <c r="B35" s="245">
        <v>2.14</v>
      </c>
      <c r="C35" s="245">
        <v>8.57</v>
      </c>
      <c r="D35" s="245">
        <v>2.14</v>
      </c>
      <c r="E35" s="245">
        <v>11.74</v>
      </c>
      <c r="F35" s="245">
        <v>10.210000000000001</v>
      </c>
      <c r="G35" s="245">
        <v>2.78</v>
      </c>
      <c r="H35" s="245">
        <v>1.95</v>
      </c>
      <c r="I35" s="245">
        <v>2.29</v>
      </c>
      <c r="J35" s="245">
        <v>2.14</v>
      </c>
      <c r="K35" s="245">
        <v>1.8</v>
      </c>
      <c r="L35" s="245">
        <v>2.04</v>
      </c>
      <c r="M35" s="245">
        <v>3.06</v>
      </c>
      <c r="N35" s="245">
        <v>1.3</v>
      </c>
      <c r="O35" s="245">
        <v>1.73</v>
      </c>
      <c r="P35" s="245">
        <v>2.36</v>
      </c>
      <c r="Q35" s="245">
        <v>2.04</v>
      </c>
      <c r="R35" s="245">
        <v>2.5</v>
      </c>
      <c r="S35" s="245">
        <v>2.25</v>
      </c>
      <c r="T35" s="245">
        <v>2.36</v>
      </c>
      <c r="U35" s="245">
        <v>2.14</v>
      </c>
      <c r="V35" s="245">
        <v>2.25</v>
      </c>
      <c r="W35" s="245">
        <v>2.36</v>
      </c>
      <c r="X35" s="245">
        <v>9</v>
      </c>
      <c r="Y35" s="245">
        <v>3.06</v>
      </c>
      <c r="Z35" s="246">
        <v>7</v>
      </c>
      <c r="AA35" s="245"/>
      <c r="AB35" s="245">
        <v>4.99</v>
      </c>
      <c r="AC35" s="245">
        <v>9</v>
      </c>
      <c r="AD35" s="245">
        <v>2.04</v>
      </c>
      <c r="AE35" s="245">
        <v>7.63</v>
      </c>
      <c r="AF35" s="245">
        <v>1.7</v>
      </c>
      <c r="AG35" s="245">
        <v>1.82</v>
      </c>
      <c r="AH35" s="245">
        <v>8</v>
      </c>
      <c r="AI35" s="245">
        <v>2.52</v>
      </c>
      <c r="AJ35" s="245">
        <v>1.8</v>
      </c>
      <c r="AK35" s="245">
        <v>2.04</v>
      </c>
      <c r="AL35" s="245">
        <v>2.4500000000000002</v>
      </c>
      <c r="AM35" s="245">
        <v>2.14</v>
      </c>
      <c r="AN35" s="245">
        <v>7.24</v>
      </c>
      <c r="AO35" s="245">
        <v>1.84</v>
      </c>
      <c r="AP35" s="245">
        <v>1.3</v>
      </c>
      <c r="AQ35" s="245">
        <v>1.8</v>
      </c>
      <c r="AR35" s="245">
        <v>0.33</v>
      </c>
      <c r="AS35" s="246"/>
      <c r="AT35" s="245">
        <v>4.07</v>
      </c>
      <c r="AU35" s="245"/>
      <c r="AV35" s="245"/>
      <c r="AW35" s="245">
        <v>1.81</v>
      </c>
      <c r="AX35" s="245"/>
      <c r="AY35" s="245">
        <v>5.33</v>
      </c>
      <c r="AZ35" s="245">
        <v>1.25</v>
      </c>
      <c r="BA35" s="245">
        <v>1.99</v>
      </c>
      <c r="BB35" s="245">
        <v>1.76</v>
      </c>
      <c r="BC35" s="245">
        <v>1.9</v>
      </c>
      <c r="BD35" s="245">
        <v>0.81</v>
      </c>
      <c r="BE35" s="245"/>
      <c r="BF35" s="245"/>
      <c r="BG35" s="245"/>
      <c r="BH35" s="246"/>
      <c r="BI35" s="246"/>
      <c r="BJ35" s="245"/>
      <c r="BK35" s="245"/>
      <c r="BL35" s="245"/>
      <c r="BM35" s="238"/>
      <c r="BN35" s="257">
        <f t="shared" si="7"/>
        <v>170.91000000000005</v>
      </c>
      <c r="BO35" s="258" t="s">
        <v>283</v>
      </c>
      <c r="BP35" s="259" t="s">
        <v>289</v>
      </c>
      <c r="BQ35" s="249">
        <f t="shared" si="8"/>
        <v>17</v>
      </c>
      <c r="BR35" s="250"/>
      <c r="BS35" s="250"/>
    </row>
    <row r="36" spans="1:71" ht="18">
      <c r="A36" s="245">
        <v>1.07</v>
      </c>
      <c r="B36" s="245">
        <v>1.07</v>
      </c>
      <c r="C36" s="245">
        <v>4.28</v>
      </c>
      <c r="D36" s="245">
        <v>2.14</v>
      </c>
      <c r="E36" s="245"/>
      <c r="F36" s="245">
        <v>10.210000000000001</v>
      </c>
      <c r="G36" s="245">
        <v>1.39</v>
      </c>
      <c r="H36" s="245">
        <v>0.97</v>
      </c>
      <c r="I36" s="245">
        <v>2.29</v>
      </c>
      <c r="J36" s="245">
        <v>1.07</v>
      </c>
      <c r="K36" s="245"/>
      <c r="L36" s="245">
        <v>1.02</v>
      </c>
      <c r="M36" s="245">
        <v>1.53</v>
      </c>
      <c r="N36" s="245">
        <v>0.65</v>
      </c>
      <c r="O36" s="245">
        <v>0.86</v>
      </c>
      <c r="P36" s="245"/>
      <c r="Q36" s="245"/>
      <c r="R36" s="245">
        <v>1.25</v>
      </c>
      <c r="S36" s="245">
        <v>1.1200000000000001</v>
      </c>
      <c r="T36" s="245">
        <v>1.18</v>
      </c>
      <c r="U36" s="245"/>
      <c r="V36" s="245">
        <v>1.1200000000000001</v>
      </c>
      <c r="W36" s="245"/>
      <c r="X36" s="245">
        <v>4.5</v>
      </c>
      <c r="Y36" s="245"/>
      <c r="Z36" s="246">
        <v>7</v>
      </c>
      <c r="AA36" s="245">
        <v>3.63</v>
      </c>
      <c r="AB36" s="245"/>
      <c r="AC36" s="245"/>
      <c r="AD36" s="245"/>
      <c r="AE36" s="245">
        <v>3.81</v>
      </c>
      <c r="AF36" s="245"/>
      <c r="AG36" s="245">
        <v>0.91</v>
      </c>
      <c r="AH36" s="245">
        <v>8</v>
      </c>
      <c r="AI36" s="245">
        <v>2.52</v>
      </c>
      <c r="AJ36" s="245">
        <v>0.9</v>
      </c>
      <c r="AK36" s="245">
        <v>2.04</v>
      </c>
      <c r="AL36" s="245">
        <v>1.22</v>
      </c>
      <c r="AM36" s="245"/>
      <c r="AN36" s="245"/>
      <c r="AO36" s="245"/>
      <c r="AP36" s="245"/>
      <c r="AQ36" s="245"/>
      <c r="AR36" s="245">
        <v>0.33</v>
      </c>
      <c r="AS36" s="246"/>
      <c r="AT36" s="245"/>
      <c r="AU36" s="245"/>
      <c r="AV36" s="245"/>
      <c r="AW36" s="245">
        <v>1.81</v>
      </c>
      <c r="AX36" s="245">
        <v>3.07</v>
      </c>
      <c r="AY36" s="245"/>
      <c r="AZ36" s="245">
        <v>1.25</v>
      </c>
      <c r="BA36" s="245"/>
      <c r="BB36" s="245"/>
      <c r="BC36" s="245">
        <v>1.9</v>
      </c>
      <c r="BD36" s="245"/>
      <c r="BE36" s="245"/>
      <c r="BF36" s="245"/>
      <c r="BG36" s="245"/>
      <c r="BH36" s="246"/>
      <c r="BI36" s="246"/>
      <c r="BJ36" s="245"/>
      <c r="BK36" s="245"/>
      <c r="BL36" s="245"/>
      <c r="BM36" s="238"/>
      <c r="BN36" s="218">
        <f t="shared" si="7"/>
        <v>76.110000000000014</v>
      </c>
      <c r="BO36" s="260" t="s">
        <v>283</v>
      </c>
      <c r="BP36" s="261" t="s">
        <v>290</v>
      </c>
      <c r="BQ36" s="249">
        <f t="shared" si="8"/>
        <v>18</v>
      </c>
      <c r="BR36" s="250"/>
      <c r="BS36" s="250"/>
    </row>
    <row r="37" spans="1:71" ht="18">
      <c r="A37" s="245">
        <v>2.14</v>
      </c>
      <c r="B37" s="245">
        <v>2.14</v>
      </c>
      <c r="C37" s="245"/>
      <c r="D37" s="245"/>
      <c r="E37" s="245">
        <v>11.74</v>
      </c>
      <c r="F37" s="245"/>
      <c r="G37" s="245">
        <v>1.39</v>
      </c>
      <c r="H37" s="245">
        <v>1.95</v>
      </c>
      <c r="I37" s="245">
        <v>2.29</v>
      </c>
      <c r="J37" s="245">
        <v>2.14</v>
      </c>
      <c r="K37" s="245">
        <v>0.9</v>
      </c>
      <c r="L37" s="245">
        <v>2.04</v>
      </c>
      <c r="M37" s="245">
        <v>3.06</v>
      </c>
      <c r="N37" s="245">
        <v>1.3</v>
      </c>
      <c r="O37" s="245">
        <v>0.86</v>
      </c>
      <c r="P37" s="245">
        <v>2.36</v>
      </c>
      <c r="Q37" s="245">
        <v>2.04</v>
      </c>
      <c r="R37" s="245"/>
      <c r="S37" s="245"/>
      <c r="T37" s="245">
        <v>2.36</v>
      </c>
      <c r="U37" s="245">
        <v>2.14</v>
      </c>
      <c r="V37" s="245"/>
      <c r="W37" s="245">
        <v>2.36</v>
      </c>
      <c r="X37" s="245">
        <v>9</v>
      </c>
      <c r="Y37" s="245">
        <v>3.06</v>
      </c>
      <c r="Z37" s="246">
        <v>7</v>
      </c>
      <c r="AA37" s="245">
        <v>3.63</v>
      </c>
      <c r="AB37" s="245">
        <v>4.99</v>
      </c>
      <c r="AC37" s="245">
        <v>4.5</v>
      </c>
      <c r="AD37" s="245">
        <v>2.04</v>
      </c>
      <c r="AE37" s="245">
        <v>7.63</v>
      </c>
      <c r="AF37" s="245">
        <v>1.7</v>
      </c>
      <c r="AG37" s="245">
        <v>1.82</v>
      </c>
      <c r="AH37" s="245">
        <v>4</v>
      </c>
      <c r="AI37" s="245"/>
      <c r="AJ37" s="245"/>
      <c r="AK37" s="245">
        <v>2.04</v>
      </c>
      <c r="AL37" s="245">
        <v>2.4500000000000002</v>
      </c>
      <c r="AM37" s="245">
        <v>2.14</v>
      </c>
      <c r="AN37" s="245">
        <v>7.24</v>
      </c>
      <c r="AO37" s="245">
        <v>1.84</v>
      </c>
      <c r="AP37" s="245">
        <v>1.3</v>
      </c>
      <c r="AQ37" s="245"/>
      <c r="AR37" s="245"/>
      <c r="AS37" s="246"/>
      <c r="AT37" s="245"/>
      <c r="AU37" s="245"/>
      <c r="AV37" s="245"/>
      <c r="AW37" s="245"/>
      <c r="AX37" s="245">
        <v>3.07</v>
      </c>
      <c r="AY37" s="245">
        <v>5.33</v>
      </c>
      <c r="AZ37" s="245">
        <v>1.25</v>
      </c>
      <c r="BA37" s="245">
        <v>1.99</v>
      </c>
      <c r="BB37" s="245"/>
      <c r="BC37" s="245">
        <v>1.9</v>
      </c>
      <c r="BD37" s="245"/>
      <c r="BE37" s="245"/>
      <c r="BF37" s="245"/>
      <c r="BG37" s="245"/>
      <c r="BH37" s="246"/>
      <c r="BI37" s="246"/>
      <c r="BJ37" s="245"/>
      <c r="BK37" s="245"/>
      <c r="BL37" s="245"/>
      <c r="BM37" s="238"/>
      <c r="BN37" s="218">
        <f t="shared" si="7"/>
        <v>123.12999999999998</v>
      </c>
      <c r="BO37" s="260" t="s">
        <v>283</v>
      </c>
      <c r="BP37" s="261" t="s">
        <v>291</v>
      </c>
      <c r="BQ37" s="249">
        <f t="shared" si="8"/>
        <v>19</v>
      </c>
      <c r="BR37" s="250"/>
      <c r="BS37" s="250"/>
    </row>
    <row r="38" spans="1:71" ht="18">
      <c r="A38" s="245"/>
      <c r="B38" s="245">
        <v>2.14</v>
      </c>
      <c r="C38" s="245">
        <v>4.28</v>
      </c>
      <c r="D38" s="245">
        <v>2.14</v>
      </c>
      <c r="E38" s="245">
        <v>11.74</v>
      </c>
      <c r="F38" s="245">
        <v>5.0999999999999996</v>
      </c>
      <c r="G38" s="245">
        <v>2.78</v>
      </c>
      <c r="H38" s="245">
        <v>1.95</v>
      </c>
      <c r="I38" s="245"/>
      <c r="J38" s="245">
        <v>1.07</v>
      </c>
      <c r="K38" s="245">
        <v>1.8</v>
      </c>
      <c r="L38" s="245">
        <v>1.02</v>
      </c>
      <c r="M38" s="245">
        <v>3.06</v>
      </c>
      <c r="N38" s="245"/>
      <c r="O38" s="245">
        <v>1.73</v>
      </c>
      <c r="P38" s="245"/>
      <c r="Q38" s="245">
        <v>2.04</v>
      </c>
      <c r="R38" s="245"/>
      <c r="S38" s="245"/>
      <c r="T38" s="245">
        <v>1.18</v>
      </c>
      <c r="U38" s="245"/>
      <c r="V38" s="245"/>
      <c r="W38" s="245"/>
      <c r="X38" s="245">
        <v>9</v>
      </c>
      <c r="Y38" s="245">
        <v>3.06</v>
      </c>
      <c r="Z38" s="246"/>
      <c r="AA38" s="245">
        <v>7.27</v>
      </c>
      <c r="AB38" s="245">
        <v>2.4900000000000002</v>
      </c>
      <c r="AC38" s="245">
        <v>9</v>
      </c>
      <c r="AD38" s="245">
        <v>2.04</v>
      </c>
      <c r="AE38" s="245">
        <v>7.63</v>
      </c>
      <c r="AF38" s="245">
        <v>1.7</v>
      </c>
      <c r="AG38" s="245">
        <v>1.82</v>
      </c>
      <c r="AH38" s="245">
        <v>8</v>
      </c>
      <c r="AI38" s="245"/>
      <c r="AJ38" s="245"/>
      <c r="AK38" s="245"/>
      <c r="AL38" s="245">
        <v>2.4500000000000002</v>
      </c>
      <c r="AM38" s="245"/>
      <c r="AN38" s="245"/>
      <c r="AO38" s="245"/>
      <c r="AP38" s="245"/>
      <c r="AQ38" s="245">
        <v>1.8</v>
      </c>
      <c r="AR38" s="245"/>
      <c r="AS38" s="246"/>
      <c r="AT38" s="245">
        <v>4.07</v>
      </c>
      <c r="AU38" s="245"/>
      <c r="AV38" s="245"/>
      <c r="AW38" s="245">
        <v>1.81</v>
      </c>
      <c r="AX38" s="245"/>
      <c r="AY38" s="245">
        <v>5.33</v>
      </c>
      <c r="AZ38" s="245">
        <v>1.25</v>
      </c>
      <c r="BA38" s="245">
        <v>1.99</v>
      </c>
      <c r="BB38" s="245">
        <v>1.76</v>
      </c>
      <c r="BC38" s="245"/>
      <c r="BD38" s="245">
        <v>0.81</v>
      </c>
      <c r="BE38" s="245"/>
      <c r="BF38" s="245"/>
      <c r="BG38" s="245"/>
      <c r="BH38" s="246"/>
      <c r="BI38" s="246"/>
      <c r="BJ38" s="245"/>
      <c r="BK38" s="245"/>
      <c r="BL38" s="245"/>
      <c r="BM38" s="238"/>
      <c r="BN38" s="218">
        <f t="shared" si="7"/>
        <v>115.30999999999999</v>
      </c>
      <c r="BO38" s="260" t="s">
        <v>283</v>
      </c>
      <c r="BP38" s="261" t="s">
        <v>292</v>
      </c>
      <c r="BQ38" s="249">
        <f t="shared" si="8"/>
        <v>20</v>
      </c>
      <c r="BR38" s="250"/>
      <c r="BS38" s="250"/>
    </row>
    <row r="39" spans="1:71" ht="18">
      <c r="A39" s="245">
        <v>2.14</v>
      </c>
      <c r="B39" s="245"/>
      <c r="C39" s="245"/>
      <c r="D39" s="245">
        <v>2.14</v>
      </c>
      <c r="E39" s="245"/>
      <c r="F39" s="245"/>
      <c r="G39" s="245"/>
      <c r="H39" s="245"/>
      <c r="I39" s="245">
        <v>2.29</v>
      </c>
      <c r="J39" s="245">
        <v>2.14</v>
      </c>
      <c r="K39" s="245"/>
      <c r="L39" s="245">
        <v>2.04</v>
      </c>
      <c r="M39" s="245"/>
      <c r="N39" s="245"/>
      <c r="O39" s="245"/>
      <c r="P39" s="245">
        <v>2.36</v>
      </c>
      <c r="Q39" s="245"/>
      <c r="R39" s="245"/>
      <c r="S39" s="245"/>
      <c r="T39" s="245">
        <v>2.36</v>
      </c>
      <c r="U39" s="245"/>
      <c r="V39" s="245">
        <v>2.25</v>
      </c>
      <c r="W39" s="245">
        <v>2.36</v>
      </c>
      <c r="X39" s="245"/>
      <c r="Y39" s="245"/>
      <c r="Z39" s="246">
        <v>7</v>
      </c>
      <c r="AA39" s="245">
        <v>7.27</v>
      </c>
      <c r="AB39" s="245"/>
      <c r="AC39" s="245"/>
      <c r="AD39" s="245">
        <v>2.04</v>
      </c>
      <c r="AE39" s="245">
        <v>7.63</v>
      </c>
      <c r="AF39" s="245">
        <v>1.7</v>
      </c>
      <c r="AG39" s="245">
        <v>1.82</v>
      </c>
      <c r="AH39" s="245">
        <v>8</v>
      </c>
      <c r="AI39" s="245"/>
      <c r="AJ39" s="245">
        <v>1.8</v>
      </c>
      <c r="AK39" s="245"/>
      <c r="AL39" s="245"/>
      <c r="AM39" s="245">
        <v>2.14</v>
      </c>
      <c r="AN39" s="245">
        <v>7.24</v>
      </c>
      <c r="AO39" s="245">
        <v>1.84</v>
      </c>
      <c r="AP39" s="245"/>
      <c r="AQ39" s="245">
        <v>1.8</v>
      </c>
      <c r="AR39" s="245"/>
      <c r="AS39" s="246"/>
      <c r="AT39" s="245"/>
      <c r="AU39" s="245"/>
      <c r="AV39" s="245"/>
      <c r="AW39" s="245"/>
      <c r="AX39" s="245"/>
      <c r="AY39" s="245"/>
      <c r="AZ39" s="245"/>
      <c r="BA39" s="245"/>
      <c r="BB39" s="245"/>
      <c r="BC39" s="245"/>
      <c r="BD39" s="245"/>
      <c r="BE39" s="245"/>
      <c r="BF39" s="245"/>
      <c r="BG39" s="245"/>
      <c r="BH39" s="246"/>
      <c r="BI39" s="246"/>
      <c r="BJ39" s="245"/>
      <c r="BK39" s="245"/>
      <c r="BL39" s="245"/>
      <c r="BM39" s="238"/>
      <c r="BN39" s="218">
        <f t="shared" si="7"/>
        <v>70.36</v>
      </c>
      <c r="BO39" s="260" t="s">
        <v>283</v>
      </c>
      <c r="BP39" s="262" t="s">
        <v>293</v>
      </c>
      <c r="BQ39" s="249">
        <f t="shared" si="8"/>
        <v>21</v>
      </c>
      <c r="BR39" s="250"/>
      <c r="BS39" s="250"/>
    </row>
    <row r="40" spans="1:71" ht="18">
      <c r="A40" s="245">
        <v>2.14</v>
      </c>
      <c r="B40" s="245"/>
      <c r="C40" s="245"/>
      <c r="D40" s="245">
        <v>2.14</v>
      </c>
      <c r="E40" s="245"/>
      <c r="F40" s="245">
        <v>10.210000000000001</v>
      </c>
      <c r="G40" s="245"/>
      <c r="H40" s="245"/>
      <c r="I40" s="245">
        <v>2.29</v>
      </c>
      <c r="J40" s="245"/>
      <c r="K40" s="245">
        <v>1.8</v>
      </c>
      <c r="L40" s="245"/>
      <c r="M40" s="245"/>
      <c r="N40" s="245"/>
      <c r="O40" s="245"/>
      <c r="P40" s="245"/>
      <c r="Q40" s="245"/>
      <c r="R40" s="245">
        <v>1.25</v>
      </c>
      <c r="S40" s="245"/>
      <c r="T40" s="245"/>
      <c r="U40" s="245">
        <v>2.14</v>
      </c>
      <c r="V40" s="245">
        <v>2.25</v>
      </c>
      <c r="W40" s="245">
        <v>2.36</v>
      </c>
      <c r="X40" s="245"/>
      <c r="Y40" s="245">
        <v>3.06</v>
      </c>
      <c r="Z40" s="246"/>
      <c r="AA40" s="245"/>
      <c r="AB40" s="245"/>
      <c r="AC40" s="245"/>
      <c r="AD40" s="245"/>
      <c r="AE40" s="245"/>
      <c r="AF40" s="245">
        <v>1.7</v>
      </c>
      <c r="AG40" s="245">
        <v>1.82</v>
      </c>
      <c r="AH40" s="245"/>
      <c r="AI40" s="245"/>
      <c r="AJ40" s="245"/>
      <c r="AK40" s="245">
        <v>2.04</v>
      </c>
      <c r="AL40" s="245"/>
      <c r="AM40" s="245">
        <v>2.14</v>
      </c>
      <c r="AN40" s="245"/>
      <c r="AO40" s="245"/>
      <c r="AP40" s="245">
        <v>1.3</v>
      </c>
      <c r="AQ40" s="245"/>
      <c r="AR40" s="245"/>
      <c r="AS40" s="246"/>
      <c r="AT40" s="245"/>
      <c r="AU40" s="245"/>
      <c r="AV40" s="245"/>
      <c r="AW40" s="245"/>
      <c r="AX40" s="245"/>
      <c r="AY40" s="245"/>
      <c r="AZ40" s="245"/>
      <c r="BA40" s="245"/>
      <c r="BB40" s="245"/>
      <c r="BC40" s="245"/>
      <c r="BD40" s="245"/>
      <c r="BE40" s="245"/>
      <c r="BF40" s="245"/>
      <c r="BG40" s="245"/>
      <c r="BH40" s="246"/>
      <c r="BI40" s="246"/>
      <c r="BJ40" s="245"/>
      <c r="BK40" s="245"/>
      <c r="BL40" s="245"/>
      <c r="BM40" s="238"/>
      <c r="BN40" s="218">
        <f t="shared" si="7"/>
        <v>38.639999999999993</v>
      </c>
      <c r="BO40" s="260" t="s">
        <v>283</v>
      </c>
      <c r="BP40" s="262" t="s">
        <v>294</v>
      </c>
      <c r="BQ40" s="249">
        <f t="shared" si="8"/>
        <v>22</v>
      </c>
      <c r="BR40" s="250"/>
      <c r="BS40" s="250"/>
    </row>
    <row r="41" spans="1:71" ht="18">
      <c r="A41" s="245"/>
      <c r="B41" s="245">
        <v>2.14</v>
      </c>
      <c r="C41" s="245"/>
      <c r="D41" s="245"/>
      <c r="E41" s="245">
        <v>11.74</v>
      </c>
      <c r="F41" s="245"/>
      <c r="G41" s="245">
        <v>2.78</v>
      </c>
      <c r="H41" s="245">
        <v>1.95</v>
      </c>
      <c r="I41" s="245"/>
      <c r="J41" s="245">
        <v>2.14</v>
      </c>
      <c r="K41" s="245"/>
      <c r="L41" s="245"/>
      <c r="M41" s="245"/>
      <c r="N41" s="245"/>
      <c r="O41" s="245">
        <v>1.73</v>
      </c>
      <c r="P41" s="245"/>
      <c r="Q41" s="245"/>
      <c r="R41" s="245"/>
      <c r="S41" s="245"/>
      <c r="T41" s="245"/>
      <c r="U41" s="245">
        <v>2.14</v>
      </c>
      <c r="V41" s="245"/>
      <c r="W41" s="245"/>
      <c r="X41" s="245"/>
      <c r="Y41" s="245"/>
      <c r="Z41" s="246">
        <v>7</v>
      </c>
      <c r="AA41" s="245">
        <v>7.27</v>
      </c>
      <c r="AB41" s="245">
        <v>4.99</v>
      </c>
      <c r="AC41" s="245"/>
      <c r="AD41" s="245">
        <v>2.04</v>
      </c>
      <c r="AE41" s="245">
        <v>7.63</v>
      </c>
      <c r="AF41" s="245">
        <v>1.7</v>
      </c>
      <c r="AG41" s="245">
        <v>1.82</v>
      </c>
      <c r="AH41" s="245">
        <v>8</v>
      </c>
      <c r="AI41" s="245">
        <v>2.52</v>
      </c>
      <c r="AJ41" s="245"/>
      <c r="AK41" s="245">
        <v>2.04</v>
      </c>
      <c r="AL41" s="245"/>
      <c r="AM41" s="245"/>
      <c r="AN41" s="245">
        <v>7.24</v>
      </c>
      <c r="AO41" s="245">
        <v>1.84</v>
      </c>
      <c r="AP41" s="245"/>
      <c r="AQ41" s="245">
        <v>1.8</v>
      </c>
      <c r="AR41" s="245"/>
      <c r="AS41" s="246"/>
      <c r="AT41" s="245"/>
      <c r="AU41" s="245"/>
      <c r="AV41" s="245"/>
      <c r="AW41" s="245"/>
      <c r="AX41" s="245"/>
      <c r="AY41" s="245"/>
      <c r="AZ41" s="245"/>
      <c r="BA41" s="245"/>
      <c r="BB41" s="245"/>
      <c r="BC41" s="245"/>
      <c r="BD41" s="245"/>
      <c r="BE41" s="245"/>
      <c r="BF41" s="245"/>
      <c r="BG41" s="245"/>
      <c r="BH41" s="246"/>
      <c r="BI41" s="246"/>
      <c r="BJ41" s="245"/>
      <c r="BK41" s="245"/>
      <c r="BL41" s="245"/>
      <c r="BM41" s="238"/>
      <c r="BN41" s="218">
        <f t="shared" si="7"/>
        <v>80.510000000000005</v>
      </c>
      <c r="BO41" s="263" t="s">
        <v>283</v>
      </c>
      <c r="BP41" s="264" t="s">
        <v>295</v>
      </c>
      <c r="BQ41" s="249">
        <f t="shared" si="8"/>
        <v>23</v>
      </c>
      <c r="BR41" s="250"/>
      <c r="BS41" s="250"/>
    </row>
    <row r="42" spans="1:71" ht="18">
      <c r="A42" s="245"/>
      <c r="B42" s="245"/>
      <c r="C42" s="245"/>
      <c r="D42" s="245"/>
      <c r="E42" s="245"/>
      <c r="F42" s="245"/>
      <c r="G42" s="245"/>
      <c r="H42" s="245">
        <v>0.97</v>
      </c>
      <c r="I42" s="245">
        <v>1.1399999999999999</v>
      </c>
      <c r="J42" s="245"/>
      <c r="K42" s="245"/>
      <c r="L42" s="245"/>
      <c r="M42" s="245"/>
      <c r="N42" s="245">
        <v>0.65</v>
      </c>
      <c r="O42" s="245"/>
      <c r="P42" s="245"/>
      <c r="Q42" s="245"/>
      <c r="R42" s="245"/>
      <c r="S42" s="245"/>
      <c r="T42" s="245"/>
      <c r="U42" s="245"/>
      <c r="V42" s="245"/>
      <c r="W42" s="245"/>
      <c r="X42" s="245">
        <v>4.5</v>
      </c>
      <c r="Y42" s="245"/>
      <c r="Z42" s="265"/>
      <c r="AA42" s="245"/>
      <c r="AB42" s="245">
        <v>2.4900000000000002</v>
      </c>
      <c r="AC42" s="245">
        <v>4.5</v>
      </c>
      <c r="AD42" s="245"/>
      <c r="AE42" s="245"/>
      <c r="AF42" s="245">
        <v>0.85</v>
      </c>
      <c r="AG42" s="245">
        <v>0.91</v>
      </c>
      <c r="AH42" s="245"/>
      <c r="AI42" s="245"/>
      <c r="AJ42" s="245"/>
      <c r="AK42" s="245">
        <v>1.02</v>
      </c>
      <c r="AL42" s="245">
        <v>1.22</v>
      </c>
      <c r="AM42" s="245">
        <v>1.07</v>
      </c>
      <c r="AN42" s="245">
        <v>3.62</v>
      </c>
      <c r="AO42" s="245"/>
      <c r="AP42" s="245"/>
      <c r="AQ42" s="245">
        <v>0.9</v>
      </c>
      <c r="AR42" s="245"/>
      <c r="AS42" s="246"/>
      <c r="AT42" s="245"/>
      <c r="AU42" s="245"/>
      <c r="AV42" s="245"/>
      <c r="AW42" s="245"/>
      <c r="AX42" s="245"/>
      <c r="AY42" s="245"/>
      <c r="AZ42" s="245"/>
      <c r="BA42" s="245"/>
      <c r="BB42" s="245">
        <v>1.76</v>
      </c>
      <c r="BC42" s="245"/>
      <c r="BD42" s="245"/>
      <c r="BE42" s="245"/>
      <c r="BF42" s="245"/>
      <c r="BG42" s="245"/>
      <c r="BH42" s="265"/>
      <c r="BI42" s="265"/>
      <c r="BJ42" s="245"/>
      <c r="BK42" s="245"/>
      <c r="BL42" s="245"/>
      <c r="BM42" s="238"/>
      <c r="BN42" s="218">
        <f t="shared" si="7"/>
        <v>25.599999999999998</v>
      </c>
      <c r="BO42" s="260" t="s">
        <v>283</v>
      </c>
      <c r="BP42" s="261" t="s">
        <v>296</v>
      </c>
      <c r="BQ42" s="249">
        <f t="shared" si="8"/>
        <v>24</v>
      </c>
      <c r="BR42" s="250"/>
      <c r="BS42" s="250"/>
    </row>
    <row r="43" spans="1:71" ht="18">
      <c r="A43" s="245"/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>
        <v>2.04</v>
      </c>
      <c r="M43" s="245">
        <v>1.53</v>
      </c>
      <c r="N43" s="245">
        <v>1.3</v>
      </c>
      <c r="O43" s="245"/>
      <c r="P43" s="245">
        <v>1.18</v>
      </c>
      <c r="Q43" s="245"/>
      <c r="R43" s="245"/>
      <c r="S43" s="245">
        <v>2.25</v>
      </c>
      <c r="T43" s="245"/>
      <c r="U43" s="245">
        <v>1.07</v>
      </c>
      <c r="V43" s="245"/>
      <c r="W43" s="245">
        <v>1.18</v>
      </c>
      <c r="X43" s="245"/>
      <c r="Y43" s="245">
        <v>1.53</v>
      </c>
      <c r="Z43" s="265"/>
      <c r="AA43" s="245"/>
      <c r="AB43" s="245"/>
      <c r="AC43" s="245"/>
      <c r="AD43" s="245"/>
      <c r="AE43" s="245"/>
      <c r="AF43" s="245"/>
      <c r="AG43" s="245"/>
      <c r="AH43" s="245"/>
      <c r="AI43" s="245"/>
      <c r="AJ43" s="245"/>
      <c r="AK43" s="245"/>
      <c r="AL43" s="245"/>
      <c r="AM43" s="245"/>
      <c r="AN43" s="245"/>
      <c r="AO43" s="245"/>
      <c r="AP43" s="245">
        <v>1.3</v>
      </c>
      <c r="AQ43" s="245"/>
      <c r="AR43" s="245"/>
      <c r="AS43" s="246"/>
      <c r="AT43" s="245"/>
      <c r="AU43" s="245"/>
      <c r="AV43" s="245"/>
      <c r="AW43" s="245"/>
      <c r="AX43" s="245"/>
      <c r="AY43" s="245"/>
      <c r="AZ43" s="245"/>
      <c r="BA43" s="245"/>
      <c r="BB43" s="245"/>
      <c r="BC43" s="245"/>
      <c r="BD43" s="245">
        <v>0.81</v>
      </c>
      <c r="BE43" s="245"/>
      <c r="BF43" s="245"/>
      <c r="BG43" s="245"/>
      <c r="BH43" s="265"/>
      <c r="BI43" s="265"/>
      <c r="BJ43" s="245"/>
      <c r="BK43" s="245"/>
      <c r="BL43" s="245"/>
      <c r="BM43" s="238"/>
      <c r="BN43" s="218">
        <f t="shared" si="7"/>
        <v>14.190000000000001</v>
      </c>
      <c r="BO43" s="260" t="s">
        <v>283</v>
      </c>
      <c r="BP43" s="261" t="s">
        <v>297</v>
      </c>
      <c r="BQ43" s="249">
        <f t="shared" si="8"/>
        <v>25</v>
      </c>
      <c r="BR43" s="250"/>
      <c r="BS43" s="250"/>
    </row>
    <row r="44" spans="1:71" ht="18">
      <c r="A44" s="245"/>
      <c r="B44" s="245"/>
      <c r="C44" s="245"/>
      <c r="D44" s="245">
        <v>1.07</v>
      </c>
      <c r="E44" s="245">
        <v>5.87</v>
      </c>
      <c r="F44" s="245"/>
      <c r="G44" s="245"/>
      <c r="H44" s="245"/>
      <c r="I44" s="245"/>
      <c r="J44" s="245"/>
      <c r="K44" s="245"/>
      <c r="L44" s="245"/>
      <c r="M44" s="245"/>
      <c r="N44" s="245"/>
      <c r="O44" s="245"/>
      <c r="P44" s="245"/>
      <c r="Q44" s="245"/>
      <c r="R44" s="245"/>
      <c r="S44" s="245"/>
      <c r="T44" s="245"/>
      <c r="U44" s="245">
        <v>1.07</v>
      </c>
      <c r="V44" s="245"/>
      <c r="W44" s="245">
        <v>1.18</v>
      </c>
      <c r="X44" s="245"/>
      <c r="Y44" s="245"/>
      <c r="Z44" s="265"/>
      <c r="AA44" s="245"/>
      <c r="AB44" s="245"/>
      <c r="AC44" s="245"/>
      <c r="AD44" s="245"/>
      <c r="AE44" s="245"/>
      <c r="AF44" s="245">
        <v>0.85</v>
      </c>
      <c r="AG44" s="245">
        <v>0.91</v>
      </c>
      <c r="AH44" s="245"/>
      <c r="AI44" s="245"/>
      <c r="AJ44" s="245"/>
      <c r="AK44" s="245">
        <v>1.02</v>
      </c>
      <c r="AL44" s="245"/>
      <c r="AM44" s="245">
        <v>1.07</v>
      </c>
      <c r="AN44" s="245"/>
      <c r="AO44" s="245">
        <v>0.92</v>
      </c>
      <c r="AP44" s="245">
        <v>0.65</v>
      </c>
      <c r="AQ44" s="245"/>
      <c r="AR44" s="245"/>
      <c r="AS44" s="246"/>
      <c r="AT44" s="245"/>
      <c r="AU44" s="245"/>
      <c r="AV44" s="245"/>
      <c r="AW44" s="245"/>
      <c r="AX44" s="245"/>
      <c r="AY44" s="245">
        <v>5.33</v>
      </c>
      <c r="AZ44" s="245">
        <v>1.25</v>
      </c>
      <c r="BA44" s="245"/>
      <c r="BB44" s="245"/>
      <c r="BC44" s="245"/>
      <c r="BD44" s="245"/>
      <c r="BE44" s="245"/>
      <c r="BF44" s="245"/>
      <c r="BG44" s="245"/>
      <c r="BH44" s="265"/>
      <c r="BI44" s="265"/>
      <c r="BJ44" s="245"/>
      <c r="BK44" s="245"/>
      <c r="BL44" s="245"/>
      <c r="BM44" s="238"/>
      <c r="BN44" s="218">
        <f t="shared" si="7"/>
        <v>21.189999999999998</v>
      </c>
      <c r="BO44" s="260" t="s">
        <v>283</v>
      </c>
      <c r="BP44" s="261" t="s">
        <v>298</v>
      </c>
      <c r="BQ44" s="249">
        <f t="shared" si="8"/>
        <v>26</v>
      </c>
      <c r="BR44" s="250"/>
      <c r="BS44" s="250"/>
    </row>
    <row r="45" spans="1:71" ht="18">
      <c r="A45" s="245"/>
      <c r="B45" s="245"/>
      <c r="C45" s="245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65"/>
      <c r="AA45" s="245"/>
      <c r="AB45" s="245"/>
      <c r="AC45" s="245"/>
      <c r="AD45" s="245"/>
      <c r="AE45" s="245"/>
      <c r="AF45" s="245"/>
      <c r="AG45" s="245"/>
      <c r="AH45" s="245"/>
      <c r="AI45" s="245"/>
      <c r="AJ45" s="245"/>
      <c r="AK45" s="245"/>
      <c r="AL45" s="245"/>
      <c r="AM45" s="245"/>
      <c r="AN45" s="245">
        <v>3.62</v>
      </c>
      <c r="AO45" s="245">
        <v>0.92</v>
      </c>
      <c r="AP45" s="245">
        <v>0.65</v>
      </c>
      <c r="AQ45" s="245"/>
      <c r="AR45" s="245"/>
      <c r="AS45" s="246"/>
      <c r="AT45" s="245"/>
      <c r="AU45" s="245"/>
      <c r="AV45" s="245"/>
      <c r="AW45" s="245">
        <v>1.81</v>
      </c>
      <c r="AX45" s="245">
        <v>3.07</v>
      </c>
      <c r="AY45" s="245"/>
      <c r="AZ45" s="245"/>
      <c r="BA45" s="245"/>
      <c r="BB45" s="245"/>
      <c r="BC45" s="245"/>
      <c r="BD45" s="245"/>
      <c r="BE45" s="245"/>
      <c r="BF45" s="245"/>
      <c r="BG45" s="245"/>
      <c r="BH45" s="265"/>
      <c r="BI45" s="265"/>
      <c r="BJ45" s="245"/>
      <c r="BK45" s="245"/>
      <c r="BL45" s="245"/>
      <c r="BM45" s="238"/>
      <c r="BN45" s="218">
        <f t="shared" si="7"/>
        <v>10.07</v>
      </c>
      <c r="BO45" s="260" t="s">
        <v>283</v>
      </c>
      <c r="BP45" s="261" t="s">
        <v>299</v>
      </c>
      <c r="BQ45" s="249">
        <f t="shared" si="8"/>
        <v>27</v>
      </c>
      <c r="BR45" s="250"/>
      <c r="BS45" s="250"/>
    </row>
    <row r="46" spans="1:71" ht="18">
      <c r="A46" s="245"/>
      <c r="B46" s="245"/>
      <c r="C46" s="245">
        <v>8.57</v>
      </c>
      <c r="D46" s="245"/>
      <c r="E46" s="245"/>
      <c r="F46" s="245">
        <v>10.210000000000001</v>
      </c>
      <c r="G46" s="245">
        <v>2.78</v>
      </c>
      <c r="H46" s="245">
        <v>1.95</v>
      </c>
      <c r="I46" s="245">
        <v>1.1399999999999999</v>
      </c>
      <c r="J46" s="245"/>
      <c r="K46" s="245"/>
      <c r="L46" s="245"/>
      <c r="M46" s="245"/>
      <c r="N46" s="245"/>
      <c r="O46" s="245"/>
      <c r="P46" s="245"/>
      <c r="Q46" s="245"/>
      <c r="R46" s="245">
        <v>2.5</v>
      </c>
      <c r="S46" s="245">
        <v>2.25</v>
      </c>
      <c r="T46" s="245"/>
      <c r="U46" s="245"/>
      <c r="V46" s="245"/>
      <c r="W46" s="245"/>
      <c r="X46" s="245"/>
      <c r="Y46" s="245"/>
      <c r="Z46" s="246">
        <v>3.5</v>
      </c>
      <c r="AA46" s="245"/>
      <c r="AB46" s="245">
        <v>4.99</v>
      </c>
      <c r="AC46" s="245">
        <v>9</v>
      </c>
      <c r="AD46" s="245"/>
      <c r="AE46" s="245"/>
      <c r="AF46" s="245"/>
      <c r="AG46" s="245"/>
      <c r="AH46" s="245"/>
      <c r="AI46" s="245"/>
      <c r="AJ46" s="245"/>
      <c r="AK46" s="245"/>
      <c r="AL46" s="245">
        <v>2.4500000000000002</v>
      </c>
      <c r="AM46" s="245"/>
      <c r="AN46" s="245"/>
      <c r="AO46" s="245"/>
      <c r="AP46" s="245"/>
      <c r="AQ46" s="245"/>
      <c r="AR46" s="245"/>
      <c r="AS46" s="246"/>
      <c r="AT46" s="245"/>
      <c r="AU46" s="245"/>
      <c r="AV46" s="245"/>
      <c r="AW46" s="245"/>
      <c r="AX46" s="245"/>
      <c r="AY46" s="245"/>
      <c r="AZ46" s="245"/>
      <c r="BA46" s="245">
        <v>1.99</v>
      </c>
      <c r="BB46" s="245">
        <v>1.76</v>
      </c>
      <c r="BC46" s="245"/>
      <c r="BD46" s="245"/>
      <c r="BE46" s="245"/>
      <c r="BF46" s="245"/>
      <c r="BG46" s="245"/>
      <c r="BH46" s="265"/>
      <c r="BI46" s="265"/>
      <c r="BJ46" s="245"/>
      <c r="BK46" s="245"/>
      <c r="BL46" s="245"/>
      <c r="BM46" s="238"/>
      <c r="BN46" s="218">
        <f t="shared" si="7"/>
        <v>53.090000000000011</v>
      </c>
      <c r="BO46" s="260" t="s">
        <v>283</v>
      </c>
      <c r="BP46" s="261" t="s">
        <v>300</v>
      </c>
      <c r="BQ46" s="249">
        <f t="shared" si="8"/>
        <v>28</v>
      </c>
      <c r="BR46" s="250"/>
      <c r="BS46" s="250"/>
    </row>
    <row r="47" spans="1:71" ht="18">
      <c r="A47" s="245">
        <v>2.14</v>
      </c>
      <c r="B47" s="245"/>
      <c r="C47" s="245">
        <v>8.57</v>
      </c>
      <c r="D47" s="245"/>
      <c r="E47" s="245"/>
      <c r="F47" s="245"/>
      <c r="G47" s="245"/>
      <c r="H47" s="245">
        <v>1.95</v>
      </c>
      <c r="I47" s="245"/>
      <c r="J47" s="245"/>
      <c r="K47" s="245"/>
      <c r="L47" s="245"/>
      <c r="M47" s="245">
        <v>1.53</v>
      </c>
      <c r="N47" s="245"/>
      <c r="O47" s="245"/>
      <c r="P47" s="245"/>
      <c r="Q47" s="245">
        <v>2.04</v>
      </c>
      <c r="R47" s="245">
        <v>2.5</v>
      </c>
      <c r="S47" s="245">
        <v>2.25</v>
      </c>
      <c r="T47" s="245"/>
      <c r="U47" s="245"/>
      <c r="V47" s="245">
        <v>2.25</v>
      </c>
      <c r="W47" s="245"/>
      <c r="X47" s="245"/>
      <c r="Y47" s="245"/>
      <c r="Z47" s="246">
        <v>7</v>
      </c>
      <c r="AA47" s="245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5"/>
      <c r="AQ47" s="245"/>
      <c r="AR47" s="245"/>
      <c r="AS47" s="246"/>
      <c r="AT47" s="245"/>
      <c r="AU47" s="245"/>
      <c r="AV47" s="245"/>
      <c r="AW47" s="245"/>
      <c r="AX47" s="245"/>
      <c r="AY47" s="245">
        <v>5.33</v>
      </c>
      <c r="AZ47" s="245"/>
      <c r="BA47" s="245"/>
      <c r="BB47" s="245"/>
      <c r="BC47" s="245"/>
      <c r="BD47" s="245"/>
      <c r="BE47" s="245"/>
      <c r="BF47" s="245"/>
      <c r="BG47" s="245"/>
      <c r="BH47" s="246"/>
      <c r="BI47" s="246"/>
      <c r="BJ47" s="245"/>
      <c r="BK47" s="245"/>
      <c r="BL47" s="245"/>
      <c r="BM47" s="238"/>
      <c r="BN47" s="218">
        <f t="shared" si="7"/>
        <v>35.56</v>
      </c>
      <c r="BO47" s="260" t="s">
        <v>283</v>
      </c>
      <c r="BP47" s="261" t="s">
        <v>301</v>
      </c>
      <c r="BQ47" s="249">
        <f t="shared" si="8"/>
        <v>29</v>
      </c>
      <c r="BR47" s="250"/>
      <c r="BS47" s="250"/>
    </row>
    <row r="48" spans="1:71" ht="18">
      <c r="A48" s="245">
        <v>1.07</v>
      </c>
      <c r="B48" s="245">
        <v>1.07</v>
      </c>
      <c r="C48" s="245"/>
      <c r="D48" s="245">
        <v>1.07</v>
      </c>
      <c r="E48" s="245">
        <v>5.87</v>
      </c>
      <c r="F48" s="245">
        <v>5.0999999999999996</v>
      </c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>
        <v>1.1200000000000001</v>
      </c>
      <c r="T48" s="245"/>
      <c r="U48" s="245"/>
      <c r="V48" s="245">
        <v>1.1200000000000001</v>
      </c>
      <c r="W48" s="245"/>
      <c r="X48" s="245"/>
      <c r="Y48" s="245">
        <v>1.53</v>
      </c>
      <c r="Z48" s="265"/>
      <c r="AA48" s="245"/>
      <c r="AB48" s="245"/>
      <c r="AC48" s="245"/>
      <c r="AD48" s="245"/>
      <c r="AE48" s="245"/>
      <c r="AF48" s="245"/>
      <c r="AG48" s="245"/>
      <c r="AH48" s="245"/>
      <c r="AI48" s="245">
        <v>2.52</v>
      </c>
      <c r="AJ48" s="245">
        <v>0.9</v>
      </c>
      <c r="AK48" s="245"/>
      <c r="AL48" s="245"/>
      <c r="AM48" s="245"/>
      <c r="AN48" s="245"/>
      <c r="AO48" s="245"/>
      <c r="AP48" s="245"/>
      <c r="AQ48" s="245"/>
      <c r="AR48" s="245"/>
      <c r="AS48" s="246"/>
      <c r="AT48" s="245"/>
      <c r="AU48" s="245"/>
      <c r="AV48" s="245"/>
      <c r="AW48" s="245"/>
      <c r="AX48" s="245"/>
      <c r="AY48" s="245"/>
      <c r="AZ48" s="245"/>
      <c r="BA48" s="245"/>
      <c r="BB48" s="245"/>
      <c r="BC48" s="245"/>
      <c r="BD48" s="245"/>
      <c r="BE48" s="245"/>
      <c r="BF48" s="245"/>
      <c r="BG48" s="245"/>
      <c r="BH48" s="265"/>
      <c r="BI48" s="265"/>
      <c r="BJ48" s="245"/>
      <c r="BK48" s="245"/>
      <c r="BL48" s="245"/>
      <c r="BM48" s="238"/>
      <c r="BN48" s="218">
        <f t="shared" si="7"/>
        <v>21.37</v>
      </c>
      <c r="BO48" s="260" t="s">
        <v>283</v>
      </c>
      <c r="BP48" s="261" t="s">
        <v>302</v>
      </c>
      <c r="BQ48" s="249">
        <f t="shared" si="8"/>
        <v>30</v>
      </c>
      <c r="BR48" s="250"/>
      <c r="BS48" s="250"/>
    </row>
    <row r="49" spans="1:71" ht="18">
      <c r="A49" s="245"/>
      <c r="B49" s="245"/>
      <c r="C49" s="245"/>
      <c r="D49" s="245"/>
      <c r="E49" s="245"/>
      <c r="F49" s="245"/>
      <c r="G49" s="245">
        <v>2.78</v>
      </c>
      <c r="H49" s="245"/>
      <c r="I49" s="245"/>
      <c r="J49" s="245"/>
      <c r="K49" s="245">
        <v>1.8</v>
      </c>
      <c r="L49" s="245"/>
      <c r="M49" s="245"/>
      <c r="N49" s="245"/>
      <c r="O49" s="245">
        <v>1.73</v>
      </c>
      <c r="P49" s="245"/>
      <c r="Q49" s="245"/>
      <c r="R49" s="245"/>
      <c r="S49" s="245">
        <v>1.1200000000000001</v>
      </c>
      <c r="T49" s="245"/>
      <c r="U49" s="245"/>
      <c r="V49" s="245"/>
      <c r="W49" s="245"/>
      <c r="X49" s="245">
        <v>9</v>
      </c>
      <c r="Y49" s="245">
        <v>3.06</v>
      </c>
      <c r="Z49" s="265"/>
      <c r="AA49" s="245">
        <v>7.27</v>
      </c>
      <c r="AB49" s="245"/>
      <c r="AC49" s="245">
        <v>9</v>
      </c>
      <c r="AD49" s="245">
        <v>1.02</v>
      </c>
      <c r="AE49" s="245">
        <v>3.81</v>
      </c>
      <c r="AF49" s="245"/>
      <c r="AG49" s="245"/>
      <c r="AH49" s="245"/>
      <c r="AI49" s="245">
        <v>2.52</v>
      </c>
      <c r="AJ49" s="245"/>
      <c r="AK49" s="245"/>
      <c r="AL49" s="245">
        <v>2.4500000000000002</v>
      </c>
      <c r="AM49" s="245">
        <v>2.14</v>
      </c>
      <c r="AN49" s="245"/>
      <c r="AO49" s="245"/>
      <c r="AP49" s="245"/>
      <c r="AQ49" s="245">
        <v>0.9</v>
      </c>
      <c r="AR49" s="245"/>
      <c r="AS49" s="246"/>
      <c r="AT49" s="245">
        <v>4.07</v>
      </c>
      <c r="AU49" s="245"/>
      <c r="AV49" s="245"/>
      <c r="AW49" s="245"/>
      <c r="AX49" s="245">
        <v>3.07</v>
      </c>
      <c r="AY49" s="245"/>
      <c r="AZ49" s="245"/>
      <c r="BA49" s="245"/>
      <c r="BB49" s="245">
        <v>1.76</v>
      </c>
      <c r="BC49" s="245"/>
      <c r="BD49" s="245"/>
      <c r="BE49" s="245"/>
      <c r="BF49" s="245"/>
      <c r="BG49" s="245"/>
      <c r="BH49" s="265"/>
      <c r="BI49" s="265"/>
      <c r="BJ49" s="245"/>
      <c r="BK49" s="245"/>
      <c r="BL49" s="245"/>
      <c r="BM49" s="238"/>
      <c r="BN49" s="218">
        <f t="shared" si="7"/>
        <v>57.500000000000007</v>
      </c>
      <c r="BO49" s="260" t="s">
        <v>283</v>
      </c>
      <c r="BP49" s="261" t="s">
        <v>303</v>
      </c>
      <c r="BQ49" s="249">
        <f t="shared" si="8"/>
        <v>31</v>
      </c>
      <c r="BR49" s="250"/>
      <c r="BS49" s="250"/>
    </row>
    <row r="50" spans="1:71" ht="18">
      <c r="A50" s="245"/>
      <c r="B50" s="245">
        <v>2.14</v>
      </c>
      <c r="C50" s="245">
        <v>8.57</v>
      </c>
      <c r="D50" s="245"/>
      <c r="E50" s="245"/>
      <c r="F50" s="245">
        <v>10.210000000000001</v>
      </c>
      <c r="G50" s="245"/>
      <c r="H50" s="245"/>
      <c r="I50" s="245"/>
      <c r="J50" s="245"/>
      <c r="K50" s="245"/>
      <c r="L50" s="245"/>
      <c r="M50" s="245">
        <v>1.53</v>
      </c>
      <c r="N50" s="245"/>
      <c r="O50" s="245">
        <v>1.73</v>
      </c>
      <c r="P50" s="245">
        <v>2.36</v>
      </c>
      <c r="Q50" s="245">
        <v>2.04</v>
      </c>
      <c r="R50" s="245"/>
      <c r="S50" s="245"/>
      <c r="T50" s="245">
        <v>2.36</v>
      </c>
      <c r="U50" s="245">
        <v>2.14</v>
      </c>
      <c r="V50" s="245"/>
      <c r="W50" s="245"/>
      <c r="X50" s="245"/>
      <c r="Y50" s="245"/>
      <c r="Z50" s="265"/>
      <c r="AA50" s="245"/>
      <c r="AB50" s="245"/>
      <c r="AC50" s="245"/>
      <c r="AD50" s="245"/>
      <c r="AE50" s="245"/>
      <c r="AF50" s="245"/>
      <c r="AG50" s="245"/>
      <c r="AH50" s="245"/>
      <c r="AI50" s="245"/>
      <c r="AJ50" s="245">
        <v>1.8</v>
      </c>
      <c r="AK50" s="245"/>
      <c r="AL50" s="245"/>
      <c r="AM50" s="245"/>
      <c r="AN50" s="245"/>
      <c r="AO50" s="245"/>
      <c r="AP50" s="245"/>
      <c r="AQ50" s="245"/>
      <c r="AR50" s="245"/>
      <c r="AS50" s="246"/>
      <c r="AT50" s="245"/>
      <c r="AU50" s="245"/>
      <c r="AV50" s="245"/>
      <c r="AW50" s="245"/>
      <c r="AX50" s="245"/>
      <c r="AY50" s="245"/>
      <c r="AZ50" s="245"/>
      <c r="BA50" s="245"/>
      <c r="BB50" s="245"/>
      <c r="BC50" s="245"/>
      <c r="BD50" s="245"/>
      <c r="BE50" s="245"/>
      <c r="BF50" s="245"/>
      <c r="BG50" s="245"/>
      <c r="BH50" s="265"/>
      <c r="BI50" s="265"/>
      <c r="BJ50" s="245"/>
      <c r="BK50" s="245"/>
      <c r="BL50" s="245"/>
      <c r="BM50" s="238"/>
      <c r="BN50" s="218">
        <f t="shared" si="7"/>
        <v>34.879999999999995</v>
      </c>
      <c r="BO50" s="260" t="s">
        <v>283</v>
      </c>
      <c r="BP50" s="261" t="s">
        <v>304</v>
      </c>
      <c r="BQ50" s="249">
        <f t="shared" si="8"/>
        <v>32</v>
      </c>
      <c r="BR50" s="250"/>
      <c r="BS50" s="250"/>
    </row>
    <row r="51" spans="1:71" ht="18">
      <c r="A51" s="245"/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66"/>
      <c r="S51" s="245"/>
      <c r="T51" s="245"/>
      <c r="U51" s="266"/>
      <c r="V51" s="245"/>
      <c r="W51" s="245"/>
      <c r="X51" s="245"/>
      <c r="Y51" s="266"/>
      <c r="Z51" s="265"/>
      <c r="AA51" s="245"/>
      <c r="AB51" s="245"/>
      <c r="AC51" s="245"/>
      <c r="AD51" s="245"/>
      <c r="AE51" s="266"/>
      <c r="AF51" s="266"/>
      <c r="AG51" s="245"/>
      <c r="AH51" s="266"/>
      <c r="AI51" s="245"/>
      <c r="AJ51" s="266"/>
      <c r="AK51" s="245"/>
      <c r="AL51" s="245"/>
      <c r="AM51" s="245"/>
      <c r="AN51" s="245"/>
      <c r="AO51" s="245"/>
      <c r="AP51" s="245"/>
      <c r="AQ51" s="266"/>
      <c r="AR51" s="266"/>
      <c r="AS51" s="246"/>
      <c r="AT51" s="245">
        <v>4.07</v>
      </c>
      <c r="AU51" s="245"/>
      <c r="AV51" s="245"/>
      <c r="AW51" s="245"/>
      <c r="AX51" s="245"/>
      <c r="AY51" s="245"/>
      <c r="AZ51" s="245"/>
      <c r="BA51" s="245"/>
      <c r="BB51" s="245"/>
      <c r="BC51" s="245"/>
      <c r="BD51" s="245"/>
      <c r="BE51" s="245"/>
      <c r="BF51" s="245"/>
      <c r="BG51" s="245"/>
      <c r="BH51" s="265"/>
      <c r="BI51" s="265"/>
      <c r="BJ51" s="245"/>
      <c r="BK51" s="245"/>
      <c r="BL51" s="245"/>
      <c r="BM51" s="238"/>
      <c r="BN51" s="218">
        <f t="shared" si="7"/>
        <v>4.07</v>
      </c>
      <c r="BO51" s="260" t="s">
        <v>283</v>
      </c>
      <c r="BP51" s="261" t="s">
        <v>305</v>
      </c>
      <c r="BQ51" s="249">
        <f t="shared" si="8"/>
        <v>33</v>
      </c>
      <c r="BR51" s="250"/>
      <c r="BS51" s="250"/>
    </row>
    <row r="52" spans="1:71" ht="18">
      <c r="A52" s="245"/>
      <c r="B52" s="245"/>
      <c r="C52" s="245"/>
      <c r="D52" s="245"/>
      <c r="E52" s="245"/>
      <c r="F52" s="245"/>
      <c r="G52" s="245"/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S52" s="245"/>
      <c r="T52" s="245"/>
      <c r="V52" s="245"/>
      <c r="W52" s="245"/>
      <c r="X52" s="245"/>
      <c r="Z52" s="265"/>
      <c r="AA52" s="245"/>
      <c r="AB52" s="245"/>
      <c r="AC52" s="245"/>
      <c r="AD52" s="245"/>
      <c r="AG52" s="245"/>
      <c r="AI52" s="245"/>
      <c r="AK52" s="245"/>
      <c r="AL52" s="245"/>
      <c r="AM52" s="245"/>
      <c r="AN52" s="245"/>
      <c r="AO52" s="245"/>
      <c r="AP52" s="245"/>
      <c r="AS52" s="246"/>
      <c r="AT52" s="245"/>
      <c r="AU52" s="245"/>
      <c r="AV52" s="245"/>
      <c r="AW52" s="245"/>
      <c r="AX52" s="245">
        <v>3.07</v>
      </c>
      <c r="AY52" s="245"/>
      <c r="AZ52" s="245"/>
      <c r="BA52" s="245"/>
      <c r="BB52" s="245"/>
      <c r="BC52" s="245"/>
      <c r="BD52" s="245"/>
      <c r="BE52" s="245"/>
      <c r="BF52" s="245"/>
      <c r="BG52" s="245"/>
      <c r="BH52" s="265"/>
      <c r="BI52" s="265"/>
      <c r="BJ52" s="245"/>
      <c r="BK52" s="245"/>
      <c r="BL52" s="245"/>
      <c r="BM52" s="238"/>
      <c r="BN52" s="218">
        <f>SUM(A52:BL52)</f>
        <v>3.07</v>
      </c>
      <c r="BO52" s="260" t="s">
        <v>283</v>
      </c>
      <c r="BP52" s="261" t="s">
        <v>306</v>
      </c>
      <c r="BQ52" s="249">
        <f t="shared" si="8"/>
        <v>34</v>
      </c>
      <c r="BR52" s="250"/>
      <c r="BS52" s="250"/>
    </row>
    <row r="53" spans="1:71" ht="18">
      <c r="A53" s="245">
        <v>1.07</v>
      </c>
      <c r="B53" s="245">
        <v>1.07</v>
      </c>
      <c r="C53" s="245">
        <v>4.28</v>
      </c>
      <c r="D53" s="245">
        <v>1.07</v>
      </c>
      <c r="E53" s="245">
        <v>5.87</v>
      </c>
      <c r="F53" s="245">
        <v>5.0999999999999996</v>
      </c>
      <c r="G53" s="245">
        <v>1.39</v>
      </c>
      <c r="H53" s="245">
        <v>0.97</v>
      </c>
      <c r="I53" s="245">
        <v>1.1399999999999999</v>
      </c>
      <c r="J53" s="245">
        <v>1.07</v>
      </c>
      <c r="K53" s="245">
        <v>0.9</v>
      </c>
      <c r="L53" s="245">
        <v>1.02</v>
      </c>
      <c r="M53" s="267">
        <v>1.53</v>
      </c>
      <c r="N53" s="245">
        <v>0.65</v>
      </c>
      <c r="O53" s="245">
        <v>0.86</v>
      </c>
      <c r="P53" s="245">
        <v>1.18</v>
      </c>
      <c r="Q53" s="245"/>
      <c r="R53" s="245"/>
      <c r="S53" s="245"/>
      <c r="T53" s="245"/>
      <c r="U53" s="245"/>
      <c r="V53" s="245"/>
      <c r="W53" s="245"/>
      <c r="X53" s="245"/>
      <c r="Y53" s="245"/>
      <c r="Z53" s="265"/>
      <c r="AA53" s="245"/>
      <c r="AB53" s="245"/>
      <c r="AC53" s="245"/>
      <c r="AD53" s="245"/>
      <c r="AE53" s="245"/>
      <c r="AF53" s="245"/>
      <c r="AG53" s="245"/>
      <c r="AH53" s="245"/>
      <c r="AI53" s="245"/>
      <c r="AJ53" s="245"/>
      <c r="AK53" s="245">
        <v>1.02</v>
      </c>
      <c r="AL53" s="245"/>
      <c r="AM53" s="245"/>
      <c r="AN53" s="245"/>
      <c r="AO53" s="245"/>
      <c r="AP53" s="245"/>
      <c r="AQ53" s="245"/>
      <c r="AR53" s="245"/>
      <c r="AS53" s="246"/>
      <c r="AT53" s="245"/>
      <c r="AU53" s="245"/>
      <c r="AV53" s="245"/>
      <c r="AW53" s="245"/>
      <c r="AX53" s="245"/>
      <c r="AY53" s="245"/>
      <c r="AZ53" s="245"/>
      <c r="BA53" s="245"/>
      <c r="BB53" s="245"/>
      <c r="BC53" s="245"/>
      <c r="BD53" s="245"/>
      <c r="BE53" s="245"/>
      <c r="BF53" s="245"/>
      <c r="BG53" s="245"/>
      <c r="BH53" s="265"/>
      <c r="BI53" s="265"/>
      <c r="BJ53" s="245"/>
      <c r="BK53" s="245"/>
      <c r="BL53" s="245"/>
      <c r="BM53" s="238"/>
      <c r="BN53" s="218">
        <f t="shared" ref="BN53:BN85" si="9">SUM(A53:BL53)</f>
        <v>30.189999999999998</v>
      </c>
      <c r="BO53" s="268" t="s">
        <v>307</v>
      </c>
      <c r="BP53" s="269" t="s">
        <v>308</v>
      </c>
      <c r="BQ53" s="249">
        <f t="shared" si="8"/>
        <v>35</v>
      </c>
      <c r="BR53" s="250"/>
      <c r="BS53" s="250"/>
    </row>
    <row r="54" spans="1:71" ht="18">
      <c r="A54" s="245"/>
      <c r="B54" s="245"/>
      <c r="C54" s="245"/>
      <c r="D54" s="245"/>
      <c r="E54" s="245"/>
      <c r="F54" s="245"/>
      <c r="G54" s="245"/>
      <c r="H54" s="245"/>
      <c r="I54" s="245"/>
      <c r="J54" s="245"/>
      <c r="K54" s="245"/>
      <c r="L54" s="245"/>
      <c r="M54" s="267"/>
      <c r="N54" s="245"/>
      <c r="O54" s="245"/>
      <c r="P54" s="245"/>
      <c r="Q54" s="245"/>
      <c r="R54" s="245"/>
      <c r="S54" s="245"/>
      <c r="T54" s="245"/>
      <c r="U54" s="245"/>
      <c r="V54" s="245"/>
      <c r="W54" s="245"/>
      <c r="X54" s="245"/>
      <c r="Y54" s="245"/>
      <c r="Z54" s="265"/>
      <c r="AA54" s="245"/>
      <c r="AB54" s="245"/>
      <c r="AC54" s="245"/>
      <c r="AD54" s="245"/>
      <c r="AE54" s="245"/>
      <c r="AF54" s="245"/>
      <c r="AG54" s="245"/>
      <c r="AH54" s="245"/>
      <c r="AI54" s="245"/>
      <c r="AJ54" s="245"/>
      <c r="AK54" s="245"/>
      <c r="AL54" s="245"/>
      <c r="AM54" s="245"/>
      <c r="AN54" s="245"/>
      <c r="AO54" s="245"/>
      <c r="AP54" s="245"/>
      <c r="AQ54" s="245"/>
      <c r="AR54" s="245">
        <v>0.33</v>
      </c>
      <c r="AS54" s="246"/>
      <c r="AT54" s="245">
        <v>4.07</v>
      </c>
      <c r="AU54" s="245"/>
      <c r="AV54" s="245"/>
      <c r="AW54" s="245"/>
      <c r="AX54" s="245"/>
      <c r="AY54" s="245"/>
      <c r="AZ54" s="245"/>
      <c r="BA54" s="245"/>
      <c r="BB54" s="245"/>
      <c r="BC54" s="245"/>
      <c r="BD54" s="245"/>
      <c r="BE54" s="245">
        <v>3.01</v>
      </c>
      <c r="BF54" s="245"/>
      <c r="BG54" s="245"/>
      <c r="BH54" s="265"/>
      <c r="BI54" s="265"/>
      <c r="BJ54" s="245"/>
      <c r="BK54" s="245"/>
      <c r="BL54" s="245"/>
      <c r="BM54" s="238"/>
      <c r="BN54" s="218">
        <f t="shared" si="9"/>
        <v>7.41</v>
      </c>
      <c r="BO54" s="268" t="s">
        <v>307</v>
      </c>
      <c r="BP54" s="269" t="s">
        <v>309</v>
      </c>
      <c r="BQ54" s="249">
        <f t="shared" si="8"/>
        <v>36</v>
      </c>
      <c r="BR54" s="250"/>
      <c r="BS54" s="250"/>
    </row>
    <row r="55" spans="1:71" ht="18">
      <c r="A55" s="245"/>
      <c r="B55" s="245"/>
      <c r="C55" s="245"/>
      <c r="D55" s="245"/>
      <c r="E55" s="245"/>
      <c r="F55" s="245"/>
      <c r="G55" s="245"/>
      <c r="H55" s="245"/>
      <c r="I55" s="245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6"/>
      <c r="AA55" s="245"/>
      <c r="AB55" s="245"/>
      <c r="AC55" s="245"/>
      <c r="AD55" s="245"/>
      <c r="AE55" s="245"/>
      <c r="AF55" s="245"/>
      <c r="AG55" s="245"/>
      <c r="AH55" s="245"/>
      <c r="AI55" s="245"/>
      <c r="AJ55" s="245"/>
      <c r="AK55" s="245"/>
      <c r="AL55" s="245"/>
      <c r="AM55" s="245"/>
      <c r="AN55" s="245"/>
      <c r="AO55" s="245"/>
      <c r="AP55" s="245">
        <v>0.65</v>
      </c>
      <c r="AQ55" s="245"/>
      <c r="AR55" s="245"/>
      <c r="AS55" s="246"/>
      <c r="AT55" s="245"/>
      <c r="AU55" s="245">
        <v>10.01</v>
      </c>
      <c r="AV55" s="245">
        <v>1.94</v>
      </c>
      <c r="AW55" s="245">
        <v>1.81</v>
      </c>
      <c r="AX55" s="245"/>
      <c r="AY55" s="245"/>
      <c r="AZ55" s="245"/>
      <c r="BA55" s="245"/>
      <c r="BB55" s="245"/>
      <c r="BC55" s="245"/>
      <c r="BD55" s="245">
        <v>0.81</v>
      </c>
      <c r="BE55" s="245"/>
      <c r="BF55" s="245">
        <v>1.67</v>
      </c>
      <c r="BG55" s="245">
        <v>2.37</v>
      </c>
      <c r="BH55" s="246">
        <v>1.43</v>
      </c>
      <c r="BI55" s="246"/>
      <c r="BJ55" s="245"/>
      <c r="BK55" s="245"/>
      <c r="BL55" s="245"/>
      <c r="BM55" s="238"/>
      <c r="BN55" s="218">
        <f t="shared" si="9"/>
        <v>20.69</v>
      </c>
      <c r="BO55" s="268" t="s">
        <v>307</v>
      </c>
      <c r="BP55" s="269" t="s">
        <v>310</v>
      </c>
      <c r="BQ55" s="249">
        <f t="shared" si="8"/>
        <v>37</v>
      </c>
      <c r="BR55" s="250"/>
      <c r="BS55" s="250"/>
    </row>
    <row r="56" spans="1:71" ht="18">
      <c r="A56" s="245"/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  <c r="O56" s="245"/>
      <c r="P56" s="245"/>
      <c r="Q56" s="245">
        <v>1.02</v>
      </c>
      <c r="R56" s="245">
        <v>1.25</v>
      </c>
      <c r="S56" s="245">
        <v>1.1200000000000001</v>
      </c>
      <c r="T56" s="245">
        <v>1.18</v>
      </c>
      <c r="U56" s="245">
        <v>1.07</v>
      </c>
      <c r="V56" s="245">
        <v>1.1200000000000001</v>
      </c>
      <c r="W56" s="245">
        <v>1.18</v>
      </c>
      <c r="X56" s="245">
        <v>4.5</v>
      </c>
      <c r="Y56" s="245">
        <v>1.53</v>
      </c>
      <c r="Z56" s="246">
        <v>3.5</v>
      </c>
      <c r="AA56" s="245">
        <v>3.63</v>
      </c>
      <c r="AB56" s="245">
        <v>2.4900000000000002</v>
      </c>
      <c r="AC56" s="245">
        <v>4.5</v>
      </c>
      <c r="AD56" s="245">
        <v>1.02</v>
      </c>
      <c r="AE56" s="245">
        <v>3.81</v>
      </c>
      <c r="AF56" s="245">
        <v>0.85</v>
      </c>
      <c r="AG56" s="245">
        <v>0.91</v>
      </c>
      <c r="AH56" s="245">
        <v>4</v>
      </c>
      <c r="AI56" s="245">
        <v>1.26</v>
      </c>
      <c r="AJ56" s="245">
        <v>0.9</v>
      </c>
      <c r="AK56" s="245"/>
      <c r="AL56" s="245">
        <v>1.22</v>
      </c>
      <c r="AM56" s="245">
        <v>1.07</v>
      </c>
      <c r="AN56" s="245">
        <v>3.62</v>
      </c>
      <c r="AO56" s="245">
        <v>0.92</v>
      </c>
      <c r="AP56" s="245"/>
      <c r="AQ56" s="245">
        <v>0.9</v>
      </c>
      <c r="AR56" s="245"/>
      <c r="AS56" s="246">
        <v>5.0999999999999996</v>
      </c>
      <c r="AT56" s="245"/>
      <c r="AU56" s="245"/>
      <c r="AV56" s="245"/>
      <c r="AW56" s="245"/>
      <c r="AX56" s="245">
        <v>3.07</v>
      </c>
      <c r="AY56" s="245">
        <v>5.33</v>
      </c>
      <c r="AZ56" s="245">
        <v>1.25</v>
      </c>
      <c r="BA56" s="245">
        <v>1.99</v>
      </c>
      <c r="BB56" s="245">
        <v>1.76</v>
      </c>
      <c r="BC56" s="245">
        <v>1.9</v>
      </c>
      <c r="BD56" s="245"/>
      <c r="BE56" s="245"/>
      <c r="BF56" s="245"/>
      <c r="BG56" s="245"/>
      <c r="BH56" s="246"/>
      <c r="BI56" s="246">
        <v>2.88</v>
      </c>
      <c r="BJ56" s="245">
        <v>1.8</v>
      </c>
      <c r="BK56" s="245">
        <v>1.64</v>
      </c>
      <c r="BL56" s="245">
        <v>1.06</v>
      </c>
      <c r="BM56" s="238"/>
      <c r="BN56" s="218">
        <f t="shared" si="9"/>
        <v>76.349999999999994</v>
      </c>
      <c r="BO56" s="268" t="s">
        <v>307</v>
      </c>
      <c r="BP56" s="269" t="s">
        <v>311</v>
      </c>
      <c r="BQ56" s="249">
        <f t="shared" si="8"/>
        <v>38</v>
      </c>
      <c r="BR56" s="250"/>
      <c r="BS56" s="250"/>
    </row>
    <row r="57" spans="1:71" ht="18">
      <c r="A57" s="245">
        <v>1.07</v>
      </c>
      <c r="B57" s="245">
        <v>1.07</v>
      </c>
      <c r="C57" s="245">
        <v>4.28</v>
      </c>
      <c r="D57" s="245">
        <v>1.07</v>
      </c>
      <c r="E57" s="245">
        <v>5.87</v>
      </c>
      <c r="F57" s="245">
        <v>5.0999999999999996</v>
      </c>
      <c r="G57" s="245">
        <v>1.39</v>
      </c>
      <c r="H57" s="245">
        <v>0.97</v>
      </c>
      <c r="I57" s="245">
        <v>1.1399999999999999</v>
      </c>
      <c r="J57" s="245">
        <v>1.07</v>
      </c>
      <c r="K57" s="245">
        <v>0.9</v>
      </c>
      <c r="L57" s="245">
        <v>1.02</v>
      </c>
      <c r="M57" s="245">
        <v>1.53</v>
      </c>
      <c r="N57" s="245">
        <v>0.65</v>
      </c>
      <c r="O57" s="245">
        <v>0.86</v>
      </c>
      <c r="P57" s="245">
        <v>1.18</v>
      </c>
      <c r="Q57" s="245">
        <v>1.02</v>
      </c>
      <c r="R57" s="245">
        <v>1.25</v>
      </c>
      <c r="S57" s="245">
        <v>1.1200000000000001</v>
      </c>
      <c r="T57" s="245">
        <v>1.18</v>
      </c>
      <c r="U57" s="245">
        <v>1.07</v>
      </c>
      <c r="V57" s="245">
        <v>1.1200000000000001</v>
      </c>
      <c r="W57" s="245">
        <v>1.18</v>
      </c>
      <c r="X57" s="245">
        <v>4.5</v>
      </c>
      <c r="Y57" s="245">
        <v>1.53</v>
      </c>
      <c r="Z57" s="246">
        <v>3.5</v>
      </c>
      <c r="AA57" s="245">
        <v>3.63</v>
      </c>
      <c r="AB57" s="245">
        <v>2.4900000000000002</v>
      </c>
      <c r="AC57" s="245">
        <v>4.5</v>
      </c>
      <c r="AD57" s="245">
        <v>1.02</v>
      </c>
      <c r="AE57" s="245">
        <v>3.81</v>
      </c>
      <c r="AF57" s="245">
        <v>0.85</v>
      </c>
      <c r="AG57" s="245">
        <v>0.91</v>
      </c>
      <c r="AH57" s="245">
        <v>4</v>
      </c>
      <c r="AI57" s="245">
        <v>1.26</v>
      </c>
      <c r="AJ57" s="245">
        <v>0.9</v>
      </c>
      <c r="AK57" s="245">
        <v>1.02</v>
      </c>
      <c r="AL57" s="245">
        <v>1.22</v>
      </c>
      <c r="AM57" s="245">
        <v>1.07</v>
      </c>
      <c r="AN57" s="245">
        <v>3.62</v>
      </c>
      <c r="AO57" s="245">
        <v>0.92</v>
      </c>
      <c r="AP57" s="245">
        <v>0.65</v>
      </c>
      <c r="AQ57" s="245">
        <v>0.9</v>
      </c>
      <c r="AR57" s="245">
        <v>0.33</v>
      </c>
      <c r="AS57" s="246">
        <v>5.0999999999999996</v>
      </c>
      <c r="AT57" s="245">
        <v>4.07</v>
      </c>
      <c r="AU57" s="245">
        <v>10.01</v>
      </c>
      <c r="AV57" s="245">
        <v>1.94</v>
      </c>
      <c r="AW57" s="245">
        <v>1.81</v>
      </c>
      <c r="AX57" s="245">
        <v>3.07</v>
      </c>
      <c r="AY57" s="245">
        <v>5.33</v>
      </c>
      <c r="AZ57" s="245">
        <v>1.25</v>
      </c>
      <c r="BA57" s="245">
        <v>1.99</v>
      </c>
      <c r="BB57" s="245">
        <v>1.76</v>
      </c>
      <c r="BC57" s="245">
        <v>1.9</v>
      </c>
      <c r="BD57" s="245">
        <v>0.81</v>
      </c>
      <c r="BE57" s="245">
        <v>3.01</v>
      </c>
      <c r="BF57" s="245">
        <v>1.67</v>
      </c>
      <c r="BG57" s="245">
        <v>2.37</v>
      </c>
      <c r="BH57" s="246">
        <v>1.43</v>
      </c>
      <c r="BI57" s="246">
        <v>2.88</v>
      </c>
      <c r="BJ57" s="245">
        <v>1.8</v>
      </c>
      <c r="BK57" s="245">
        <v>1.64</v>
      </c>
      <c r="BL57" s="245">
        <v>1.06</v>
      </c>
      <c r="BM57" s="238"/>
      <c r="BN57" s="218">
        <f t="shared" si="9"/>
        <v>134.64000000000001</v>
      </c>
      <c r="BO57" s="268" t="s">
        <v>307</v>
      </c>
      <c r="BP57" s="269" t="s">
        <v>312</v>
      </c>
      <c r="BQ57" s="249">
        <f t="shared" si="8"/>
        <v>39</v>
      </c>
      <c r="BR57" s="250"/>
      <c r="BS57" s="250"/>
    </row>
    <row r="58" spans="1:71" ht="18">
      <c r="A58" s="245">
        <v>1.07</v>
      </c>
      <c r="B58" s="245">
        <v>1.07</v>
      </c>
      <c r="C58" s="245">
        <v>4.28</v>
      </c>
      <c r="D58" s="245">
        <v>1.07</v>
      </c>
      <c r="E58" s="245"/>
      <c r="F58" s="245">
        <v>5.0999999999999996</v>
      </c>
      <c r="G58" s="245">
        <v>1.39</v>
      </c>
      <c r="H58" s="245">
        <v>0.97</v>
      </c>
      <c r="I58" s="245">
        <v>1.1399999999999999</v>
      </c>
      <c r="J58" s="245">
        <v>1.07</v>
      </c>
      <c r="K58" s="245">
        <v>0.9</v>
      </c>
      <c r="L58" s="245">
        <v>1.02</v>
      </c>
      <c r="M58" s="245">
        <v>1.53</v>
      </c>
      <c r="N58" s="245">
        <v>0.65</v>
      </c>
      <c r="O58" s="245">
        <v>0.86</v>
      </c>
      <c r="P58" s="245">
        <v>1.18</v>
      </c>
      <c r="Q58" s="245">
        <v>1.02</v>
      </c>
      <c r="R58" s="245">
        <v>1.25</v>
      </c>
      <c r="S58" s="245">
        <v>1.1200000000000001</v>
      </c>
      <c r="T58" s="245">
        <v>1.18</v>
      </c>
      <c r="U58" s="245">
        <v>1.07</v>
      </c>
      <c r="V58" s="245">
        <v>1.1200000000000001</v>
      </c>
      <c r="W58" s="245">
        <v>1.18</v>
      </c>
      <c r="X58" s="245">
        <v>4.5</v>
      </c>
      <c r="Y58" s="245">
        <v>1.53</v>
      </c>
      <c r="Z58" s="246">
        <v>3.5</v>
      </c>
      <c r="AA58" s="245">
        <v>3.63</v>
      </c>
      <c r="AB58" s="245">
        <v>2.4900000000000002</v>
      </c>
      <c r="AC58" s="245">
        <v>4.5</v>
      </c>
      <c r="AD58" s="245">
        <v>1.02</v>
      </c>
      <c r="AE58" s="245">
        <v>3.81</v>
      </c>
      <c r="AF58" s="245">
        <v>0.85</v>
      </c>
      <c r="AG58" s="245">
        <v>0.91</v>
      </c>
      <c r="AH58" s="245">
        <v>4</v>
      </c>
      <c r="AI58" s="245">
        <v>1.26</v>
      </c>
      <c r="AJ58" s="245">
        <v>0.9</v>
      </c>
      <c r="AK58" s="245">
        <v>1.02</v>
      </c>
      <c r="AL58" s="245">
        <v>1.22</v>
      </c>
      <c r="AM58" s="245">
        <v>1.07</v>
      </c>
      <c r="AN58" s="245">
        <v>3.62</v>
      </c>
      <c r="AO58" s="245">
        <v>0.92</v>
      </c>
      <c r="AP58" s="245">
        <v>0.65</v>
      </c>
      <c r="AQ58" s="245">
        <v>0.9</v>
      </c>
      <c r="AR58" s="245"/>
      <c r="AS58" s="246">
        <v>5.0999999999999996</v>
      </c>
      <c r="AT58" s="245"/>
      <c r="AU58" s="245">
        <v>10.01</v>
      </c>
      <c r="AV58" s="245">
        <v>1.94</v>
      </c>
      <c r="AW58" s="245">
        <v>1.81</v>
      </c>
      <c r="AX58" s="245">
        <v>3.07</v>
      </c>
      <c r="AY58" s="245">
        <v>5.33</v>
      </c>
      <c r="AZ58" s="245">
        <v>1.25</v>
      </c>
      <c r="BA58" s="245">
        <v>1.99</v>
      </c>
      <c r="BB58" s="245">
        <v>1.76</v>
      </c>
      <c r="BC58" s="245">
        <v>1.9</v>
      </c>
      <c r="BD58" s="245">
        <v>0.81</v>
      </c>
      <c r="BE58" s="245">
        <v>3.01</v>
      </c>
      <c r="BF58" s="245">
        <v>1.67</v>
      </c>
      <c r="BG58" s="245">
        <v>2.37</v>
      </c>
      <c r="BH58" s="246"/>
      <c r="BI58" s="246"/>
      <c r="BJ58" s="245"/>
      <c r="BK58" s="245">
        <v>1.64</v>
      </c>
      <c r="BL58" s="245">
        <v>1.06</v>
      </c>
      <c r="BM58" s="238"/>
      <c r="BN58" s="218">
        <f t="shared" si="9"/>
        <v>118.26000000000002</v>
      </c>
      <c r="BO58" s="268" t="s">
        <v>307</v>
      </c>
      <c r="BP58" s="270" t="s">
        <v>313</v>
      </c>
      <c r="BQ58" s="249">
        <f t="shared" si="8"/>
        <v>40</v>
      </c>
      <c r="BR58" s="250"/>
      <c r="BS58" s="250"/>
    </row>
    <row r="59" spans="1:71" ht="18">
      <c r="A59" s="245">
        <v>1.07</v>
      </c>
      <c r="B59" s="245">
        <v>1.07</v>
      </c>
      <c r="C59" s="245">
        <v>4.28</v>
      </c>
      <c r="D59" s="245">
        <v>1.07</v>
      </c>
      <c r="E59" s="245">
        <v>5.87</v>
      </c>
      <c r="F59" s="245">
        <v>5.0999999999999996</v>
      </c>
      <c r="G59" s="245">
        <v>1.39</v>
      </c>
      <c r="H59" s="245">
        <v>0.97</v>
      </c>
      <c r="I59" s="245">
        <v>1.1399999999999999</v>
      </c>
      <c r="J59" s="245">
        <v>1.07</v>
      </c>
      <c r="K59" s="245">
        <v>0.9</v>
      </c>
      <c r="L59" s="245">
        <v>1.02</v>
      </c>
      <c r="M59" s="245">
        <v>1.53</v>
      </c>
      <c r="N59" s="245">
        <v>0.65</v>
      </c>
      <c r="O59" s="245">
        <v>0.86</v>
      </c>
      <c r="P59" s="245">
        <v>1.18</v>
      </c>
      <c r="Q59" s="245">
        <v>1.02</v>
      </c>
      <c r="R59" s="245">
        <v>1.25</v>
      </c>
      <c r="S59" s="245">
        <v>1.1200000000000001</v>
      </c>
      <c r="T59" s="245">
        <v>1.18</v>
      </c>
      <c r="U59" s="245">
        <v>1.07</v>
      </c>
      <c r="V59" s="245">
        <v>1.1200000000000001</v>
      </c>
      <c r="W59" s="245">
        <v>1.18</v>
      </c>
      <c r="X59" s="245">
        <v>4.5</v>
      </c>
      <c r="Y59" s="245">
        <v>1.53</v>
      </c>
      <c r="Z59" s="246">
        <v>3.5</v>
      </c>
      <c r="AA59" s="245">
        <v>3.63</v>
      </c>
      <c r="AB59" s="245">
        <v>2.4900000000000002</v>
      </c>
      <c r="AC59" s="245">
        <v>4.5</v>
      </c>
      <c r="AD59" s="245">
        <v>1.02</v>
      </c>
      <c r="AE59" s="245">
        <v>3.81</v>
      </c>
      <c r="AF59" s="245">
        <v>0.85</v>
      </c>
      <c r="AG59" s="245">
        <v>0.91</v>
      </c>
      <c r="AH59" s="245">
        <v>4</v>
      </c>
      <c r="AI59" s="245">
        <v>1.26</v>
      </c>
      <c r="AJ59" s="245">
        <v>0.9</v>
      </c>
      <c r="AK59" s="245">
        <v>1.02</v>
      </c>
      <c r="AL59" s="245">
        <v>1.22</v>
      </c>
      <c r="AM59" s="245">
        <v>1.07</v>
      </c>
      <c r="AN59" s="245">
        <v>3.62</v>
      </c>
      <c r="AO59" s="245">
        <v>0.92</v>
      </c>
      <c r="AP59" s="245">
        <v>0.65</v>
      </c>
      <c r="AQ59" s="245">
        <v>0.9</v>
      </c>
      <c r="AR59" s="245">
        <v>0.33</v>
      </c>
      <c r="AS59" s="246">
        <v>5.0999999999999996</v>
      </c>
      <c r="AT59" s="245">
        <v>4.07</v>
      </c>
      <c r="AU59" s="245">
        <v>10.01</v>
      </c>
      <c r="AV59" s="245">
        <v>1.94</v>
      </c>
      <c r="AW59" s="245">
        <v>1.81</v>
      </c>
      <c r="AX59" s="245">
        <v>3.07</v>
      </c>
      <c r="AY59" s="245">
        <v>5.33</v>
      </c>
      <c r="AZ59" s="245">
        <v>1.25</v>
      </c>
      <c r="BA59" s="245">
        <v>1.99</v>
      </c>
      <c r="BB59" s="245">
        <v>1.76</v>
      </c>
      <c r="BC59" s="245">
        <v>1.9</v>
      </c>
      <c r="BD59" s="245">
        <v>0.81</v>
      </c>
      <c r="BE59" s="245">
        <v>3.01</v>
      </c>
      <c r="BF59" s="245">
        <v>1.67</v>
      </c>
      <c r="BG59" s="245">
        <v>2.37</v>
      </c>
      <c r="BH59" s="246">
        <v>1.43</v>
      </c>
      <c r="BI59" s="246">
        <v>2.88</v>
      </c>
      <c r="BJ59" s="245">
        <v>1.8</v>
      </c>
      <c r="BK59" s="245">
        <v>1.64</v>
      </c>
      <c r="BL59" s="245">
        <v>1.06</v>
      </c>
      <c r="BM59" s="238"/>
      <c r="BN59" s="218">
        <f t="shared" si="9"/>
        <v>134.64000000000001</v>
      </c>
      <c r="BO59" s="268" t="s">
        <v>307</v>
      </c>
      <c r="BP59" s="270" t="s">
        <v>314</v>
      </c>
      <c r="BQ59" s="249">
        <f t="shared" si="8"/>
        <v>41</v>
      </c>
      <c r="BR59" s="250"/>
      <c r="BS59" s="250"/>
    </row>
    <row r="60" spans="1:71" ht="18">
      <c r="A60" s="245"/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6"/>
      <c r="AA60" s="245"/>
      <c r="AB60" s="245"/>
      <c r="AC60" s="245"/>
      <c r="AD60" s="245"/>
      <c r="AE60" s="245"/>
      <c r="AF60" s="245"/>
      <c r="AG60" s="245"/>
      <c r="AH60" s="245"/>
      <c r="AI60" s="245"/>
      <c r="AJ60" s="245"/>
      <c r="AK60" s="245"/>
      <c r="AL60" s="245"/>
      <c r="AM60" s="245"/>
      <c r="AN60" s="245"/>
      <c r="AO60" s="245"/>
      <c r="AP60" s="245"/>
      <c r="AQ60" s="245"/>
      <c r="AR60" s="245">
        <v>0.33</v>
      </c>
      <c r="AS60" s="246"/>
      <c r="AT60" s="245">
        <v>4.07</v>
      </c>
      <c r="AU60" s="245"/>
      <c r="AV60" s="245"/>
      <c r="AW60" s="245"/>
      <c r="AX60" s="245"/>
      <c r="AY60" s="245"/>
      <c r="AZ60" s="245"/>
      <c r="BA60" s="245"/>
      <c r="BB60" s="245"/>
      <c r="BC60" s="245"/>
      <c r="BD60" s="245"/>
      <c r="BE60" s="245"/>
      <c r="BF60" s="245"/>
      <c r="BG60" s="245"/>
      <c r="BH60" s="246"/>
      <c r="BI60" s="246"/>
      <c r="BJ60" s="245"/>
      <c r="BK60" s="245"/>
      <c r="BL60" s="245"/>
      <c r="BM60" s="238"/>
      <c r="BN60" s="218">
        <f>SUM(A60:BL60)</f>
        <v>4.4000000000000004</v>
      </c>
      <c r="BO60" s="268" t="s">
        <v>307</v>
      </c>
      <c r="BP60" s="271" t="s">
        <v>315</v>
      </c>
      <c r="BQ60" s="249">
        <f t="shared" si="8"/>
        <v>42</v>
      </c>
      <c r="BR60" s="250"/>
      <c r="BS60" s="250"/>
    </row>
    <row r="61" spans="1:71" ht="18">
      <c r="A61" s="245"/>
      <c r="B61" s="245"/>
      <c r="C61" s="245"/>
      <c r="D61" s="245"/>
      <c r="E61" s="245"/>
      <c r="F61" s="245"/>
      <c r="G61" s="245"/>
      <c r="H61" s="245"/>
      <c r="I61" s="245"/>
      <c r="J61" s="245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6"/>
      <c r="AA61" s="245"/>
      <c r="AB61" s="245"/>
      <c r="AC61" s="245"/>
      <c r="AD61" s="245"/>
      <c r="AE61" s="245"/>
      <c r="AF61" s="245"/>
      <c r="AG61" s="245"/>
      <c r="AH61" s="245"/>
      <c r="AI61" s="245"/>
      <c r="AJ61" s="245"/>
      <c r="AK61" s="245"/>
      <c r="AL61" s="245"/>
      <c r="AM61" s="245"/>
      <c r="AN61" s="245"/>
      <c r="AO61" s="245"/>
      <c r="AP61" s="245"/>
      <c r="AQ61" s="245"/>
      <c r="AR61" s="245"/>
      <c r="AS61" s="246"/>
      <c r="AT61" s="245"/>
      <c r="AU61" s="245"/>
      <c r="AV61" s="245"/>
      <c r="AW61" s="245"/>
      <c r="AX61" s="245"/>
      <c r="AY61" s="245"/>
      <c r="AZ61" s="245"/>
      <c r="BA61" s="245"/>
      <c r="BB61" s="245"/>
      <c r="BC61" s="245"/>
      <c r="BD61" s="245"/>
      <c r="BE61" s="245"/>
      <c r="BF61" s="245"/>
      <c r="BG61" s="245"/>
      <c r="BH61" s="246">
        <v>1.43</v>
      </c>
      <c r="BI61" s="246">
        <v>2.88</v>
      </c>
      <c r="BJ61" s="245">
        <v>1.8</v>
      </c>
      <c r="BK61" s="245"/>
      <c r="BL61" s="245"/>
      <c r="BM61" s="238"/>
      <c r="BN61" s="218">
        <f t="shared" si="9"/>
        <v>6.1099999999999994</v>
      </c>
      <c r="BO61" s="268" t="s">
        <v>307</v>
      </c>
      <c r="BP61" s="270" t="s">
        <v>316</v>
      </c>
      <c r="BQ61" s="249">
        <f t="shared" si="8"/>
        <v>43</v>
      </c>
      <c r="BR61" s="250"/>
      <c r="BS61" s="250"/>
    </row>
    <row r="62" spans="1:71" ht="18">
      <c r="A62" s="245"/>
      <c r="B62" s="245"/>
      <c r="C62" s="245"/>
      <c r="D62" s="245"/>
      <c r="E62" s="245"/>
      <c r="F62" s="245"/>
      <c r="G62" s="245"/>
      <c r="H62" s="245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6"/>
      <c r="AA62" s="245"/>
      <c r="AB62" s="245"/>
      <c r="AC62" s="245"/>
      <c r="AD62" s="245"/>
      <c r="AE62" s="245"/>
      <c r="AF62" s="245"/>
      <c r="AG62" s="245"/>
      <c r="AH62" s="245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>
        <v>0.33</v>
      </c>
      <c r="AS62" s="246"/>
      <c r="AT62" s="245">
        <v>4.07</v>
      </c>
      <c r="AU62" s="245">
        <v>10.01</v>
      </c>
      <c r="AV62" s="245">
        <v>1.94</v>
      </c>
      <c r="AW62" s="245"/>
      <c r="AX62" s="245"/>
      <c r="AY62" s="245"/>
      <c r="AZ62" s="245"/>
      <c r="BA62" s="245"/>
      <c r="BB62" s="245"/>
      <c r="BC62" s="245"/>
      <c r="BD62" s="245"/>
      <c r="BE62" s="245">
        <v>3.01</v>
      </c>
      <c r="BF62" s="245"/>
      <c r="BG62" s="245"/>
      <c r="BH62" s="246"/>
      <c r="BI62" s="246"/>
      <c r="BJ62" s="245"/>
      <c r="BK62" s="245"/>
      <c r="BL62" s="245"/>
      <c r="BM62" s="238"/>
      <c r="BN62" s="218">
        <f t="shared" si="9"/>
        <v>19.36</v>
      </c>
      <c r="BO62" s="268" t="s">
        <v>317</v>
      </c>
      <c r="BP62" s="272" t="s">
        <v>318</v>
      </c>
      <c r="BQ62" s="249">
        <f t="shared" si="8"/>
        <v>44</v>
      </c>
      <c r="BR62" s="250"/>
      <c r="BS62" s="250"/>
    </row>
    <row r="63" spans="1:71" ht="18">
      <c r="A63" s="273"/>
      <c r="B63" s="273"/>
      <c r="C63" s="273"/>
      <c r="D63" s="273"/>
      <c r="E63" s="273"/>
      <c r="F63" s="273"/>
      <c r="G63" s="273"/>
      <c r="H63" s="273"/>
      <c r="I63" s="273"/>
      <c r="J63" s="273"/>
      <c r="K63" s="273"/>
      <c r="L63" s="273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3"/>
      <c r="Y63" s="273"/>
      <c r="Z63" s="273"/>
      <c r="AA63" s="273"/>
      <c r="AB63" s="273"/>
      <c r="AC63" s="273"/>
      <c r="AD63" s="273"/>
      <c r="AE63" s="273"/>
      <c r="AF63" s="273"/>
      <c r="AG63" s="273"/>
      <c r="AH63" s="273"/>
      <c r="AI63" s="273"/>
      <c r="AJ63" s="273"/>
      <c r="AK63" s="273"/>
      <c r="AL63" s="273"/>
      <c r="AM63" s="273"/>
      <c r="AN63" s="273"/>
      <c r="AO63" s="273"/>
      <c r="AP63" s="273"/>
      <c r="AQ63" s="273"/>
      <c r="AR63" s="273"/>
      <c r="AS63" s="273"/>
      <c r="AT63" s="273">
        <v>4.07</v>
      </c>
      <c r="AU63" s="273"/>
      <c r="AV63" s="273"/>
      <c r="AW63" s="273"/>
      <c r="AX63" s="274"/>
      <c r="AY63" s="273"/>
      <c r="AZ63" s="273"/>
      <c r="BA63" s="273"/>
      <c r="BB63" s="273"/>
      <c r="BC63" s="273"/>
      <c r="BD63" s="273"/>
      <c r="BE63" s="273"/>
      <c r="BF63" s="273"/>
      <c r="BG63" s="273"/>
      <c r="BH63" s="273"/>
      <c r="BI63" s="273"/>
      <c r="BJ63" s="273"/>
      <c r="BK63" s="273"/>
      <c r="BL63" s="273"/>
      <c r="BM63" s="275"/>
      <c r="BN63" s="218">
        <f>SUM(A63:BL63)</f>
        <v>4.07</v>
      </c>
      <c r="BO63" s="276" t="s">
        <v>271</v>
      </c>
      <c r="BP63" s="277" t="s">
        <v>319</v>
      </c>
      <c r="BQ63" s="249">
        <f t="shared" si="8"/>
        <v>45</v>
      </c>
      <c r="BR63" s="250"/>
      <c r="BS63" s="250"/>
    </row>
    <row r="64" spans="1:71" ht="18">
      <c r="A64" s="245">
        <v>1.07</v>
      </c>
      <c r="B64" s="245">
        <v>1.07</v>
      </c>
      <c r="C64" s="245">
        <v>4.28</v>
      </c>
      <c r="D64" s="245">
        <v>1.07</v>
      </c>
      <c r="E64" s="245">
        <v>5.87</v>
      </c>
      <c r="F64" s="245">
        <v>5.0999999999999996</v>
      </c>
      <c r="G64" s="245">
        <v>1.39</v>
      </c>
      <c r="H64" s="245">
        <v>0.97</v>
      </c>
      <c r="I64" s="245">
        <v>1.1399999999999999</v>
      </c>
      <c r="J64" s="245">
        <v>1.07</v>
      </c>
      <c r="K64" s="245">
        <v>0.9</v>
      </c>
      <c r="L64" s="245">
        <v>1.02</v>
      </c>
      <c r="M64" s="245">
        <v>1.53</v>
      </c>
      <c r="N64" s="245">
        <v>0.65</v>
      </c>
      <c r="O64" s="245">
        <v>0.86</v>
      </c>
      <c r="P64" s="245">
        <v>1.18</v>
      </c>
      <c r="Q64" s="245">
        <v>1.02</v>
      </c>
      <c r="R64" s="245">
        <v>1.25</v>
      </c>
      <c r="S64" s="245">
        <v>1.1200000000000001</v>
      </c>
      <c r="T64" s="245"/>
      <c r="U64" s="245">
        <v>1.07</v>
      </c>
      <c r="V64" s="245">
        <v>1.1200000000000001</v>
      </c>
      <c r="W64" s="245">
        <v>1.18</v>
      </c>
      <c r="X64" s="245">
        <v>4.5</v>
      </c>
      <c r="Y64" s="245">
        <v>1.53</v>
      </c>
      <c r="Z64" s="246">
        <v>3.5</v>
      </c>
      <c r="AA64" s="245">
        <v>3.63</v>
      </c>
      <c r="AB64" s="245">
        <v>2.4900000000000002</v>
      </c>
      <c r="AC64" s="245">
        <v>4.5</v>
      </c>
      <c r="AD64" s="245">
        <v>1.02</v>
      </c>
      <c r="AE64" s="245">
        <v>3.81</v>
      </c>
      <c r="AF64" s="245">
        <v>0.85</v>
      </c>
      <c r="AG64" s="245">
        <v>0.91</v>
      </c>
      <c r="AH64" s="245">
        <v>4</v>
      </c>
      <c r="AI64" s="245">
        <v>1.26</v>
      </c>
      <c r="AJ64" s="245">
        <v>0.9</v>
      </c>
      <c r="AK64" s="245">
        <v>1.02</v>
      </c>
      <c r="AL64" s="245">
        <v>1.22</v>
      </c>
      <c r="AM64" s="245">
        <v>1.07</v>
      </c>
      <c r="AN64" s="245">
        <v>3.62</v>
      </c>
      <c r="AO64" s="245">
        <v>0.92</v>
      </c>
      <c r="AP64" s="245">
        <v>0.65</v>
      </c>
      <c r="AQ64" s="245">
        <v>0.9</v>
      </c>
      <c r="AR64" s="245">
        <v>0.33</v>
      </c>
      <c r="AS64" s="246">
        <v>5.0999999999999996</v>
      </c>
      <c r="AT64" s="245">
        <v>4.07</v>
      </c>
      <c r="AU64" s="245">
        <v>10.01</v>
      </c>
      <c r="AV64" s="245">
        <v>1.94</v>
      </c>
      <c r="AW64" s="245">
        <v>1.81</v>
      </c>
      <c r="AX64" s="245">
        <v>3.07</v>
      </c>
      <c r="AY64" s="245">
        <v>5.33</v>
      </c>
      <c r="AZ64" s="245">
        <v>1.25</v>
      </c>
      <c r="BA64" s="245">
        <v>1.99</v>
      </c>
      <c r="BB64" s="245">
        <v>1.76</v>
      </c>
      <c r="BC64" s="245">
        <v>1.9</v>
      </c>
      <c r="BD64" s="245">
        <v>0.81</v>
      </c>
      <c r="BE64" s="245">
        <v>3.01</v>
      </c>
      <c r="BF64" s="245">
        <v>1.67</v>
      </c>
      <c r="BG64" s="245">
        <v>2.37</v>
      </c>
      <c r="BH64" s="246">
        <v>1.43</v>
      </c>
      <c r="BI64" s="246">
        <v>2.88</v>
      </c>
      <c r="BJ64" s="245">
        <v>1.8</v>
      </c>
      <c r="BK64" s="245">
        <v>1.64</v>
      </c>
      <c r="BL64" s="278">
        <v>1.06</v>
      </c>
      <c r="BM64" s="238"/>
      <c r="BN64" s="279">
        <f>SUM(A64:BL64)</f>
        <v>133.46000000000004</v>
      </c>
      <c r="BO64" s="250" t="s">
        <v>320</v>
      </c>
      <c r="BP64" s="280" t="s">
        <v>321</v>
      </c>
      <c r="BQ64" s="249">
        <f t="shared" si="8"/>
        <v>46</v>
      </c>
      <c r="BR64" s="250"/>
      <c r="BS64" s="250"/>
    </row>
    <row r="65" spans="1:71" ht="18">
      <c r="A65" s="281">
        <v>1.07</v>
      </c>
      <c r="B65" s="281">
        <v>1.07</v>
      </c>
      <c r="C65" s="281">
        <v>4.28</v>
      </c>
      <c r="D65" s="281">
        <v>1.07</v>
      </c>
      <c r="E65" s="281">
        <v>5.87</v>
      </c>
      <c r="F65" s="281">
        <v>5.0999999999999996</v>
      </c>
      <c r="G65" s="281">
        <v>1.39</v>
      </c>
      <c r="H65" s="281">
        <v>0.97</v>
      </c>
      <c r="I65" s="281">
        <v>1.1399999999999999</v>
      </c>
      <c r="J65" s="281">
        <v>1.07</v>
      </c>
      <c r="K65" s="281">
        <v>0.9</v>
      </c>
      <c r="L65" s="281">
        <v>1.02</v>
      </c>
      <c r="M65" s="281">
        <v>1.53</v>
      </c>
      <c r="N65" s="281">
        <v>0.65</v>
      </c>
      <c r="O65" s="281">
        <v>0.86</v>
      </c>
      <c r="P65" s="281">
        <v>1.18</v>
      </c>
      <c r="Q65" s="281">
        <v>1.02</v>
      </c>
      <c r="R65" s="281">
        <v>1.25</v>
      </c>
      <c r="S65" s="281">
        <v>1.1200000000000001</v>
      </c>
      <c r="T65" s="281">
        <v>1.18</v>
      </c>
      <c r="U65" s="281">
        <v>1.07</v>
      </c>
      <c r="V65" s="281">
        <v>1.1200000000000001</v>
      </c>
      <c r="W65" s="281">
        <v>1.18</v>
      </c>
      <c r="X65" s="281">
        <v>4.5</v>
      </c>
      <c r="Y65" s="281">
        <v>1.53</v>
      </c>
      <c r="Z65" s="281">
        <v>3.5</v>
      </c>
      <c r="AA65" s="281">
        <v>3.63</v>
      </c>
      <c r="AB65" s="281">
        <v>2.4900000000000002</v>
      </c>
      <c r="AC65" s="281">
        <v>4.5</v>
      </c>
      <c r="AD65" s="281">
        <v>1.02</v>
      </c>
      <c r="AE65" s="281">
        <v>3.81</v>
      </c>
      <c r="AF65" s="281">
        <v>0.85</v>
      </c>
      <c r="AG65" s="281">
        <v>0.91</v>
      </c>
      <c r="AH65" s="281">
        <v>4</v>
      </c>
      <c r="AI65" s="281">
        <v>1.26</v>
      </c>
      <c r="AJ65" s="281">
        <v>0.9</v>
      </c>
      <c r="AK65" s="281">
        <v>1.02</v>
      </c>
      <c r="AL65" s="281">
        <v>1.22</v>
      </c>
      <c r="AM65" s="281">
        <v>1.07</v>
      </c>
      <c r="AN65" s="281">
        <v>3.62</v>
      </c>
      <c r="AO65" s="281">
        <v>0.92</v>
      </c>
      <c r="AP65" s="281">
        <v>0.65</v>
      </c>
      <c r="AQ65" s="281">
        <v>0.9</v>
      </c>
      <c r="AR65" s="281">
        <v>0.33</v>
      </c>
      <c r="AS65" s="281">
        <v>5.0999999999999996</v>
      </c>
      <c r="AT65" s="281">
        <v>4.07</v>
      </c>
      <c r="AU65" s="281">
        <v>10.01</v>
      </c>
      <c r="AV65" s="281">
        <v>1.94</v>
      </c>
      <c r="AW65" s="281">
        <v>1.81</v>
      </c>
      <c r="AX65" s="245">
        <v>3.07</v>
      </c>
      <c r="AY65" s="281">
        <v>5.33</v>
      </c>
      <c r="AZ65" s="281">
        <v>1.25</v>
      </c>
      <c r="BA65" s="281">
        <v>1.99</v>
      </c>
      <c r="BB65" s="281">
        <v>1.76</v>
      </c>
      <c r="BC65" s="281">
        <v>1.9</v>
      </c>
      <c r="BD65" s="281">
        <v>0.81</v>
      </c>
      <c r="BE65" s="281">
        <v>3.01</v>
      </c>
      <c r="BF65" s="281">
        <v>1.67</v>
      </c>
      <c r="BG65" s="281">
        <v>2.37</v>
      </c>
      <c r="BH65" s="281">
        <v>1.43</v>
      </c>
      <c r="BI65" s="281">
        <v>2.88</v>
      </c>
      <c r="BJ65" s="281">
        <v>1.8</v>
      </c>
      <c r="BK65" s="281">
        <v>1.64</v>
      </c>
      <c r="BL65" s="281">
        <v>1.06</v>
      </c>
      <c r="BM65" s="282"/>
      <c r="BN65" s="283">
        <f>SUM(A65:BL65)-50</f>
        <v>84.640000000000015</v>
      </c>
      <c r="BO65" s="284" t="s">
        <v>322</v>
      </c>
      <c r="BP65" s="285" t="s">
        <v>323</v>
      </c>
      <c r="BQ65" s="249">
        <f t="shared" si="8"/>
        <v>47</v>
      </c>
      <c r="BR65" s="286"/>
      <c r="BS65" s="250"/>
    </row>
    <row r="66" spans="1:71" ht="18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  <c r="AJ66" s="245"/>
      <c r="AK66" s="245"/>
      <c r="AL66" s="245"/>
      <c r="AM66" s="245"/>
      <c r="AN66" s="245"/>
      <c r="AO66" s="245"/>
      <c r="AP66" s="245"/>
      <c r="AQ66" s="245"/>
      <c r="AR66" s="245"/>
      <c r="AS66" s="245"/>
      <c r="AT66" s="245">
        <v>4.07</v>
      </c>
      <c r="AU66" s="245">
        <v>10.01</v>
      </c>
      <c r="AV66" s="245">
        <v>1.94</v>
      </c>
      <c r="AW66" s="245"/>
      <c r="AX66" s="245">
        <v>3.07</v>
      </c>
      <c r="AY66" s="245"/>
      <c r="AZ66" s="245"/>
      <c r="BA66" s="245"/>
      <c r="BB66" s="245"/>
      <c r="BC66" s="245"/>
      <c r="BD66" s="245"/>
      <c r="BE66" s="245">
        <v>3.01</v>
      </c>
      <c r="BF66" s="245"/>
      <c r="BG66" s="245"/>
      <c r="BH66" s="245"/>
      <c r="BI66" s="245"/>
      <c r="BJ66" s="245"/>
      <c r="BK66" s="245"/>
      <c r="BL66" s="245"/>
      <c r="BM66" s="287"/>
      <c r="BN66" s="257">
        <f t="shared" si="9"/>
        <v>22.1</v>
      </c>
      <c r="BO66" s="288" t="s">
        <v>320</v>
      </c>
      <c r="BP66" s="289" t="s">
        <v>324</v>
      </c>
      <c r="BQ66" s="249">
        <f t="shared" si="8"/>
        <v>48</v>
      </c>
      <c r="BR66" s="250"/>
      <c r="BS66" s="250"/>
    </row>
    <row r="67" spans="1:71" ht="18">
      <c r="A67" s="245"/>
      <c r="B67" s="245"/>
      <c r="C67" s="245"/>
      <c r="D67" s="245"/>
      <c r="E67" s="245"/>
      <c r="F67" s="245"/>
      <c r="G67" s="245">
        <v>1.39</v>
      </c>
      <c r="H67" s="245"/>
      <c r="I67" s="245"/>
      <c r="J67" s="245">
        <v>1.07</v>
      </c>
      <c r="K67" s="245"/>
      <c r="L67" s="245">
        <v>1.02</v>
      </c>
      <c r="M67" s="245"/>
      <c r="N67" s="245"/>
      <c r="O67" s="245"/>
      <c r="P67" s="245"/>
      <c r="Q67" s="245">
        <v>1.02</v>
      </c>
      <c r="R67" s="245">
        <v>1.25</v>
      </c>
      <c r="S67" s="245"/>
      <c r="T67" s="245">
        <v>1.18</v>
      </c>
      <c r="U67" s="245"/>
      <c r="V67" s="245">
        <v>1.1200000000000001</v>
      </c>
      <c r="W67" s="245"/>
      <c r="X67" s="245"/>
      <c r="Y67" s="245"/>
      <c r="Z67" s="246">
        <v>3.5</v>
      </c>
      <c r="AA67" s="245"/>
      <c r="AB67" s="245"/>
      <c r="AC67" s="245"/>
      <c r="AD67" s="245"/>
      <c r="AE67" s="245"/>
      <c r="AF67" s="245"/>
      <c r="AG67" s="245"/>
      <c r="AH67" s="245">
        <v>4</v>
      </c>
      <c r="AI67" s="245"/>
      <c r="AJ67" s="245"/>
      <c r="AK67" s="245"/>
      <c r="AL67" s="245">
        <v>1.22</v>
      </c>
      <c r="AM67" s="245"/>
      <c r="AN67" s="245"/>
      <c r="AO67" s="245"/>
      <c r="AP67" s="245"/>
      <c r="AQ67" s="245">
        <v>0.9</v>
      </c>
      <c r="AR67" s="245"/>
      <c r="AS67" s="246">
        <v>5.0999999999999996</v>
      </c>
      <c r="AT67" s="245"/>
      <c r="AU67" s="245">
        <v>10.01</v>
      </c>
      <c r="AV67" s="245">
        <v>1.94</v>
      </c>
      <c r="AW67" s="245"/>
      <c r="AX67" s="245">
        <v>3.07</v>
      </c>
      <c r="AY67" s="245">
        <v>5.33</v>
      </c>
      <c r="AZ67" s="245"/>
      <c r="BA67" s="245"/>
      <c r="BB67" s="245">
        <v>1.76</v>
      </c>
      <c r="BC67" s="245">
        <v>1.9</v>
      </c>
      <c r="BD67" s="245"/>
      <c r="BE67" s="245"/>
      <c r="BF67" s="245">
        <v>1.67</v>
      </c>
      <c r="BG67" s="245"/>
      <c r="BH67" s="246"/>
      <c r="BI67" s="246"/>
      <c r="BJ67" s="245">
        <v>1.8</v>
      </c>
      <c r="BK67" s="245"/>
      <c r="BL67" s="273">
        <v>1.06</v>
      </c>
      <c r="BM67" s="238"/>
      <c r="BN67" s="218">
        <f t="shared" si="9"/>
        <v>51.309999999999988</v>
      </c>
      <c r="BO67" s="250" t="s">
        <v>325</v>
      </c>
      <c r="BP67" s="277" t="s">
        <v>326</v>
      </c>
      <c r="BQ67" s="249">
        <f t="shared" si="8"/>
        <v>49</v>
      </c>
      <c r="BR67" s="250"/>
      <c r="BS67" s="250"/>
    </row>
    <row r="68" spans="1:71" ht="18">
      <c r="A68" s="245">
        <v>1.07</v>
      </c>
      <c r="B68" s="245">
        <v>1.07</v>
      </c>
      <c r="C68" s="245">
        <v>4.28</v>
      </c>
      <c r="D68" s="245">
        <v>1.07</v>
      </c>
      <c r="E68" s="245">
        <v>5.87</v>
      </c>
      <c r="F68" s="245">
        <v>5.0999999999999996</v>
      </c>
      <c r="G68" s="245"/>
      <c r="H68" s="245">
        <v>0.97</v>
      </c>
      <c r="I68" s="245"/>
      <c r="J68" s="245"/>
      <c r="K68" s="245">
        <v>0.9</v>
      </c>
      <c r="L68" s="245"/>
      <c r="M68" s="245">
        <v>1.53</v>
      </c>
      <c r="N68" s="245">
        <v>0.65</v>
      </c>
      <c r="O68" s="245">
        <v>0.86</v>
      </c>
      <c r="P68" s="245">
        <v>1.18</v>
      </c>
      <c r="Q68" s="245"/>
      <c r="R68" s="245"/>
      <c r="S68" s="245"/>
      <c r="T68" s="245"/>
      <c r="U68" s="245">
        <v>1.07</v>
      </c>
      <c r="V68" s="245">
        <v>1.1200000000000001</v>
      </c>
      <c r="W68" s="245">
        <v>1.18</v>
      </c>
      <c r="X68" s="245">
        <v>4.5</v>
      </c>
      <c r="Y68" s="245">
        <v>1.53</v>
      </c>
      <c r="Z68" s="246">
        <v>3.5</v>
      </c>
      <c r="AA68" s="245"/>
      <c r="AB68" s="245">
        <v>2.4900000000000002</v>
      </c>
      <c r="AC68" s="245">
        <v>4.5</v>
      </c>
      <c r="AD68" s="245"/>
      <c r="AE68" s="245"/>
      <c r="AF68" s="245">
        <v>0.85</v>
      </c>
      <c r="AG68" s="245"/>
      <c r="AH68" s="245"/>
      <c r="AI68" s="245">
        <v>1.26</v>
      </c>
      <c r="AJ68" s="245">
        <v>0.9</v>
      </c>
      <c r="AK68" s="245">
        <v>1.02</v>
      </c>
      <c r="AL68" s="245"/>
      <c r="AM68" s="245">
        <v>1.07</v>
      </c>
      <c r="AN68" s="245">
        <v>3.62</v>
      </c>
      <c r="AO68" s="245">
        <v>0.92</v>
      </c>
      <c r="AP68" s="245">
        <v>0.65</v>
      </c>
      <c r="AQ68" s="245">
        <v>0.9</v>
      </c>
      <c r="AR68" s="245">
        <v>0.33</v>
      </c>
      <c r="AS68" s="246"/>
      <c r="AT68" s="245">
        <v>4.07</v>
      </c>
      <c r="AU68" s="245">
        <v>10.01</v>
      </c>
      <c r="AV68" s="245">
        <v>1.94</v>
      </c>
      <c r="AW68" s="245">
        <v>1.81</v>
      </c>
      <c r="AX68" s="245">
        <v>3.07</v>
      </c>
      <c r="AY68" s="245">
        <v>5.33</v>
      </c>
      <c r="AZ68" s="245">
        <v>1.25</v>
      </c>
      <c r="BA68" s="245">
        <v>1.99</v>
      </c>
      <c r="BB68" s="245">
        <v>1.76</v>
      </c>
      <c r="BC68" s="245">
        <v>1.9</v>
      </c>
      <c r="BD68" s="245"/>
      <c r="BE68" s="245">
        <v>3.01</v>
      </c>
      <c r="BF68" s="245">
        <v>1.67</v>
      </c>
      <c r="BG68" s="245"/>
      <c r="BH68" s="246"/>
      <c r="BI68" s="246">
        <v>2.88</v>
      </c>
      <c r="BJ68" s="245"/>
      <c r="BK68" s="245">
        <v>1.64</v>
      </c>
      <c r="BL68" s="245"/>
      <c r="BM68" s="238"/>
      <c r="BN68" s="218">
        <f t="shared" si="9"/>
        <v>98.29</v>
      </c>
      <c r="BO68" s="250" t="s">
        <v>327</v>
      </c>
      <c r="BP68" s="277" t="s">
        <v>328</v>
      </c>
      <c r="BQ68" s="249">
        <f t="shared" si="8"/>
        <v>50</v>
      </c>
      <c r="BR68" s="250"/>
      <c r="BS68" s="250"/>
    </row>
    <row r="69" spans="1:71" ht="18">
      <c r="A69" s="245"/>
      <c r="B69" s="245"/>
      <c r="C69" s="245"/>
      <c r="D69" s="245"/>
      <c r="E69" s="245"/>
      <c r="F69" s="245"/>
      <c r="G69" s="245">
        <v>1.39</v>
      </c>
      <c r="H69" s="245"/>
      <c r="I69" s="245">
        <v>1.1399999999999999</v>
      </c>
      <c r="J69" s="245">
        <v>1.07</v>
      </c>
      <c r="K69" s="245"/>
      <c r="L69" s="245">
        <v>1.02</v>
      </c>
      <c r="M69" s="245"/>
      <c r="N69" s="245"/>
      <c r="O69" s="245"/>
      <c r="P69" s="245"/>
      <c r="Q69" s="245">
        <v>1.02</v>
      </c>
      <c r="R69" s="245">
        <v>1.25</v>
      </c>
      <c r="S69" s="245">
        <v>1.1200000000000001</v>
      </c>
      <c r="T69" s="245">
        <v>1.18</v>
      </c>
      <c r="U69" s="245"/>
      <c r="V69" s="245"/>
      <c r="W69" s="245"/>
      <c r="X69" s="245"/>
      <c r="Y69" s="245"/>
      <c r="Z69" s="246"/>
      <c r="AA69" s="245">
        <v>3.63</v>
      </c>
      <c r="AB69" s="245"/>
      <c r="AC69" s="245"/>
      <c r="AD69" s="245">
        <v>1.02</v>
      </c>
      <c r="AE69" s="245">
        <v>3.81</v>
      </c>
      <c r="AF69" s="245"/>
      <c r="AG69" s="245">
        <v>0.91</v>
      </c>
      <c r="AH69" s="245"/>
      <c r="AI69" s="245"/>
      <c r="AJ69" s="245"/>
      <c r="AK69" s="245"/>
      <c r="AL69" s="245">
        <v>1.22</v>
      </c>
      <c r="AM69" s="245"/>
      <c r="AN69" s="245"/>
      <c r="AO69" s="245"/>
      <c r="AP69" s="245"/>
      <c r="AQ69" s="245"/>
      <c r="AR69" s="245"/>
      <c r="AS69" s="246">
        <v>5.0999999999999996</v>
      </c>
      <c r="AT69" s="245"/>
      <c r="AU69" s="245"/>
      <c r="AV69" s="245"/>
      <c r="AW69" s="245"/>
      <c r="AX69" s="245"/>
      <c r="AY69" s="245"/>
      <c r="AZ69" s="245"/>
      <c r="BA69" s="245"/>
      <c r="BB69" s="245"/>
      <c r="BC69" s="245"/>
      <c r="BD69" s="245">
        <v>0.81</v>
      </c>
      <c r="BE69" s="245"/>
      <c r="BF69" s="245"/>
      <c r="BG69" s="245">
        <v>2.37</v>
      </c>
      <c r="BH69" s="246">
        <v>1.43</v>
      </c>
      <c r="BI69" s="246"/>
      <c r="BJ69" s="245">
        <v>1.8</v>
      </c>
      <c r="BK69" s="245"/>
      <c r="BL69" s="245">
        <v>1.06</v>
      </c>
      <c r="BM69" s="238"/>
      <c r="BN69" s="218">
        <f t="shared" si="9"/>
        <v>32.349999999999994</v>
      </c>
      <c r="BO69" s="250" t="s">
        <v>327</v>
      </c>
      <c r="BP69" s="277" t="s">
        <v>329</v>
      </c>
      <c r="BQ69" s="249">
        <f t="shared" si="8"/>
        <v>51</v>
      </c>
      <c r="BR69" s="250"/>
      <c r="BS69" s="250"/>
    </row>
    <row r="70" spans="1:71" ht="18">
      <c r="A70" s="245">
        <v>1.07</v>
      </c>
      <c r="B70" s="245">
        <v>1.07</v>
      </c>
      <c r="C70" s="245"/>
      <c r="D70" s="245"/>
      <c r="E70" s="245"/>
      <c r="F70" s="245"/>
      <c r="G70" s="245">
        <v>1.39</v>
      </c>
      <c r="H70" s="245">
        <v>0.97</v>
      </c>
      <c r="I70" s="245">
        <v>1.1399999999999999</v>
      </c>
      <c r="J70" s="245">
        <v>1.07</v>
      </c>
      <c r="K70" s="245">
        <v>0.9</v>
      </c>
      <c r="L70" s="245">
        <v>1.02</v>
      </c>
      <c r="M70" s="245">
        <v>1.53</v>
      </c>
      <c r="N70" s="245">
        <v>0.65</v>
      </c>
      <c r="O70" s="245">
        <v>0.86</v>
      </c>
      <c r="P70" s="245">
        <v>1.18</v>
      </c>
      <c r="Q70" s="245">
        <v>1.02</v>
      </c>
      <c r="R70" s="245">
        <v>1.25</v>
      </c>
      <c r="S70" s="245">
        <v>1.1200000000000001</v>
      </c>
      <c r="T70" s="245">
        <v>1.18</v>
      </c>
      <c r="U70" s="245">
        <v>1.07</v>
      </c>
      <c r="V70" s="245">
        <v>1.1200000000000001</v>
      </c>
      <c r="W70" s="245">
        <v>1.18</v>
      </c>
      <c r="X70" s="245">
        <v>4.5</v>
      </c>
      <c r="Y70" s="245">
        <v>1.53</v>
      </c>
      <c r="Z70" s="246">
        <v>3.5</v>
      </c>
      <c r="AA70" s="245">
        <v>3.63</v>
      </c>
      <c r="AB70" s="245">
        <v>2.4900000000000002</v>
      </c>
      <c r="AC70" s="245">
        <v>4.5</v>
      </c>
      <c r="AD70" s="245">
        <v>1.02</v>
      </c>
      <c r="AE70" s="245">
        <v>3.81</v>
      </c>
      <c r="AF70" s="245">
        <v>0.85</v>
      </c>
      <c r="AG70" s="245">
        <v>0.91</v>
      </c>
      <c r="AH70" s="245">
        <v>4</v>
      </c>
      <c r="AI70" s="245">
        <v>1.26</v>
      </c>
      <c r="AJ70" s="245"/>
      <c r="AK70" s="245">
        <v>1.02</v>
      </c>
      <c r="AL70" s="245">
        <v>1.22</v>
      </c>
      <c r="AM70" s="245">
        <v>1.07</v>
      </c>
      <c r="AN70" s="245">
        <v>3.62</v>
      </c>
      <c r="AO70" s="245">
        <v>0.92</v>
      </c>
      <c r="AP70" s="245">
        <v>0.65</v>
      </c>
      <c r="AQ70" s="245"/>
      <c r="AR70" s="245">
        <v>0.33</v>
      </c>
      <c r="AS70" s="246">
        <v>5.0999999999999996</v>
      </c>
      <c r="AT70" s="245">
        <v>4.07</v>
      </c>
      <c r="AU70" s="245">
        <v>10.01</v>
      </c>
      <c r="AV70" s="245">
        <v>1.94</v>
      </c>
      <c r="AW70" s="245">
        <v>1.81</v>
      </c>
      <c r="AX70" s="245">
        <v>3.07</v>
      </c>
      <c r="AY70" s="245">
        <v>5.33</v>
      </c>
      <c r="AZ70" s="245">
        <v>1.25</v>
      </c>
      <c r="BA70" s="245">
        <v>1.99</v>
      </c>
      <c r="BB70" s="245">
        <v>1.76</v>
      </c>
      <c r="BC70" s="245">
        <v>1.9</v>
      </c>
      <c r="BD70" s="245">
        <v>0.81</v>
      </c>
      <c r="BE70" s="245"/>
      <c r="BF70" s="245">
        <v>1.67</v>
      </c>
      <c r="BG70" s="245">
        <v>2.37</v>
      </c>
      <c r="BH70" s="246">
        <v>1.43</v>
      </c>
      <c r="BI70" s="246">
        <v>2.88</v>
      </c>
      <c r="BJ70" s="245">
        <v>1.8</v>
      </c>
      <c r="BK70" s="245">
        <v>1.64</v>
      </c>
      <c r="BL70" s="245">
        <v>1.06</v>
      </c>
      <c r="BM70" s="238"/>
      <c r="BN70" s="218">
        <f t="shared" si="9"/>
        <v>113.51</v>
      </c>
      <c r="BO70" s="250" t="s">
        <v>330</v>
      </c>
      <c r="BP70" s="277" t="s">
        <v>331</v>
      </c>
      <c r="BQ70" s="249">
        <f t="shared" si="8"/>
        <v>52</v>
      </c>
      <c r="BR70" s="250"/>
      <c r="BS70" s="250"/>
    </row>
    <row r="71" spans="1:71" ht="18">
      <c r="A71" s="245"/>
      <c r="B71" s="245"/>
      <c r="C71" s="245"/>
      <c r="D71" s="245"/>
      <c r="E71" s="245"/>
      <c r="F71" s="245"/>
      <c r="G71" s="245"/>
      <c r="H71" s="245"/>
      <c r="I71" s="245"/>
      <c r="J71" s="245">
        <v>1.07</v>
      </c>
      <c r="K71" s="245"/>
      <c r="L71" s="245"/>
      <c r="M71" s="245">
        <v>1.53</v>
      </c>
      <c r="N71" s="245"/>
      <c r="O71" s="245"/>
      <c r="P71" s="245"/>
      <c r="Q71" s="245">
        <v>1.02</v>
      </c>
      <c r="R71" s="245"/>
      <c r="S71" s="245"/>
      <c r="T71" s="245"/>
      <c r="U71" s="245"/>
      <c r="V71" s="245"/>
      <c r="W71" s="245"/>
      <c r="X71" s="245"/>
      <c r="Y71" s="245"/>
      <c r="Z71" s="246"/>
      <c r="AA71" s="245"/>
      <c r="AB71" s="245"/>
      <c r="AC71" s="245"/>
      <c r="AD71" s="245"/>
      <c r="AE71" s="245"/>
      <c r="AF71" s="245"/>
      <c r="AG71" s="245"/>
      <c r="AH71" s="245"/>
      <c r="AI71" s="245">
        <v>1.26</v>
      </c>
      <c r="AJ71" s="245"/>
      <c r="AK71" s="245"/>
      <c r="AL71" s="245"/>
      <c r="AM71" s="245">
        <v>1.07</v>
      </c>
      <c r="AN71" s="245"/>
      <c r="AO71" s="245"/>
      <c r="AP71" s="245"/>
      <c r="AQ71" s="245"/>
      <c r="AR71" s="245"/>
      <c r="AS71" s="246"/>
      <c r="AT71" s="245"/>
      <c r="AU71" s="245"/>
      <c r="AV71" s="245"/>
      <c r="AW71" s="245">
        <v>1.81</v>
      </c>
      <c r="AX71" s="245"/>
      <c r="AY71" s="245"/>
      <c r="AZ71" s="245">
        <v>1.25</v>
      </c>
      <c r="BA71" s="245">
        <v>1.99</v>
      </c>
      <c r="BB71" s="245">
        <v>1.76</v>
      </c>
      <c r="BC71" s="245"/>
      <c r="BD71" s="245"/>
      <c r="BE71" s="245"/>
      <c r="BF71" s="245">
        <v>1.67</v>
      </c>
      <c r="BG71" s="245"/>
      <c r="BH71" s="246"/>
      <c r="BI71" s="246"/>
      <c r="BJ71" s="245"/>
      <c r="BK71" s="245"/>
      <c r="BL71" s="245"/>
      <c r="BM71" s="238"/>
      <c r="BN71" s="218">
        <f t="shared" si="9"/>
        <v>14.43</v>
      </c>
      <c r="BO71" s="250" t="s">
        <v>330</v>
      </c>
      <c r="BP71" s="277" t="s">
        <v>332</v>
      </c>
      <c r="BQ71" s="249">
        <f t="shared" si="8"/>
        <v>53</v>
      </c>
      <c r="BR71" s="250"/>
      <c r="BS71" s="250"/>
    </row>
    <row r="72" spans="1:71" ht="18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  <c r="M72" s="245"/>
      <c r="N72" s="245"/>
      <c r="O72" s="245"/>
      <c r="P72" s="245"/>
      <c r="Q72" s="245"/>
      <c r="R72" s="245"/>
      <c r="S72" s="245"/>
      <c r="T72" s="245"/>
      <c r="U72" s="245"/>
      <c r="V72" s="245"/>
      <c r="W72" s="245"/>
      <c r="X72" s="245"/>
      <c r="Y72" s="245"/>
      <c r="Z72" s="246"/>
      <c r="AA72" s="245"/>
      <c r="AB72" s="245"/>
      <c r="AC72" s="245"/>
      <c r="AD72" s="245"/>
      <c r="AE72" s="245"/>
      <c r="AF72" s="245"/>
      <c r="AG72" s="245"/>
      <c r="AH72" s="245"/>
      <c r="AI72" s="245"/>
      <c r="AJ72" s="245">
        <v>0.9</v>
      </c>
      <c r="AK72" s="245"/>
      <c r="AL72" s="245"/>
      <c r="AM72" s="245"/>
      <c r="AN72" s="245"/>
      <c r="AO72" s="245"/>
      <c r="AP72" s="245"/>
      <c r="AQ72" s="245">
        <v>0.9</v>
      </c>
      <c r="AR72" s="245"/>
      <c r="AS72" s="246"/>
      <c r="AT72" s="245"/>
      <c r="AU72" s="245"/>
      <c r="AV72" s="245"/>
      <c r="AW72" s="245"/>
      <c r="AX72" s="245"/>
      <c r="AY72" s="245"/>
      <c r="AZ72" s="245"/>
      <c r="BA72" s="245"/>
      <c r="BB72" s="245"/>
      <c r="BC72" s="245"/>
      <c r="BD72" s="245"/>
      <c r="BE72" s="245"/>
      <c r="BF72" s="245"/>
      <c r="BG72" s="245"/>
      <c r="BH72" s="246"/>
      <c r="BI72" s="246"/>
      <c r="BJ72" s="245"/>
      <c r="BK72" s="245"/>
      <c r="BL72" s="245"/>
      <c r="BM72" s="238"/>
      <c r="BN72" s="218">
        <f t="shared" si="9"/>
        <v>1.8</v>
      </c>
      <c r="BO72" s="250" t="s">
        <v>330</v>
      </c>
      <c r="BP72" s="277" t="s">
        <v>333</v>
      </c>
      <c r="BQ72" s="249">
        <f t="shared" si="8"/>
        <v>54</v>
      </c>
      <c r="BR72" s="250"/>
      <c r="BS72" s="250"/>
    </row>
    <row r="73" spans="1:71" ht="18">
      <c r="A73" s="245"/>
      <c r="B73" s="245"/>
      <c r="C73" s="245">
        <v>4.28</v>
      </c>
      <c r="D73" s="245"/>
      <c r="E73" s="245">
        <v>5.87</v>
      </c>
      <c r="F73" s="245"/>
      <c r="G73" s="245"/>
      <c r="H73" s="245"/>
      <c r="I73" s="245"/>
      <c r="J73" s="245"/>
      <c r="K73" s="245"/>
      <c r="L73" s="245"/>
      <c r="M73" s="245"/>
      <c r="N73" s="245"/>
      <c r="O73" s="245"/>
      <c r="P73" s="245"/>
      <c r="Q73" s="245"/>
      <c r="R73" s="245"/>
      <c r="S73" s="245"/>
      <c r="T73" s="245"/>
      <c r="U73" s="245"/>
      <c r="V73" s="245"/>
      <c r="W73" s="245"/>
      <c r="X73" s="245"/>
      <c r="Y73" s="245"/>
      <c r="Z73" s="246"/>
      <c r="AA73" s="245"/>
      <c r="AB73" s="245"/>
      <c r="AC73" s="245"/>
      <c r="AD73" s="245"/>
      <c r="AE73" s="245"/>
      <c r="AF73" s="245"/>
      <c r="AG73" s="245"/>
      <c r="AH73" s="245"/>
      <c r="AI73" s="245"/>
      <c r="AJ73" s="245"/>
      <c r="AK73" s="245"/>
      <c r="AL73" s="245"/>
      <c r="AM73" s="245"/>
      <c r="AN73" s="245"/>
      <c r="AO73" s="245"/>
      <c r="AP73" s="245"/>
      <c r="AQ73" s="245"/>
      <c r="AR73" s="245"/>
      <c r="AS73" s="246"/>
      <c r="AT73" s="245">
        <v>4.07</v>
      </c>
      <c r="AU73" s="245"/>
      <c r="AV73" s="245"/>
      <c r="AW73" s="245"/>
      <c r="AX73" s="245"/>
      <c r="AY73" s="245"/>
      <c r="AZ73" s="245"/>
      <c r="BA73" s="245"/>
      <c r="BB73" s="245"/>
      <c r="BC73" s="245"/>
      <c r="BD73" s="245"/>
      <c r="BE73" s="245"/>
      <c r="BF73" s="245"/>
      <c r="BG73" s="245"/>
      <c r="BH73" s="246"/>
      <c r="BI73" s="246"/>
      <c r="BJ73" s="245"/>
      <c r="BK73" s="245"/>
      <c r="BL73" s="245"/>
      <c r="BM73" s="238"/>
      <c r="BN73" s="218">
        <f t="shared" si="9"/>
        <v>14.22</v>
      </c>
      <c r="BO73" s="250" t="s">
        <v>334</v>
      </c>
      <c r="BP73" s="277" t="s">
        <v>335</v>
      </c>
      <c r="BQ73" s="249">
        <f t="shared" si="8"/>
        <v>55</v>
      </c>
      <c r="BR73" s="250"/>
      <c r="BS73" s="250"/>
    </row>
    <row r="74" spans="1:71" ht="18">
      <c r="A74" s="245"/>
      <c r="B74" s="245"/>
      <c r="C74" s="245">
        <v>4.28</v>
      </c>
      <c r="D74" s="245">
        <v>1.07</v>
      </c>
      <c r="E74" s="245"/>
      <c r="F74" s="245">
        <v>5.0999999999999996</v>
      </c>
      <c r="G74" s="245"/>
      <c r="H74" s="245"/>
      <c r="I74" s="245"/>
      <c r="J74" s="245">
        <v>1.07</v>
      </c>
      <c r="K74" s="245"/>
      <c r="L74" s="245">
        <v>1.02</v>
      </c>
      <c r="M74" s="245">
        <v>1.53</v>
      </c>
      <c r="N74" s="245">
        <v>0.65</v>
      </c>
      <c r="O74" s="245"/>
      <c r="P74" s="245">
        <v>1.18</v>
      </c>
      <c r="Q74" s="245">
        <v>1.02</v>
      </c>
      <c r="R74" s="245"/>
      <c r="S74" s="245"/>
      <c r="T74" s="245"/>
      <c r="U74" s="245"/>
      <c r="V74" s="245"/>
      <c r="W74" s="245"/>
      <c r="X74" s="245"/>
      <c r="Y74" s="245"/>
      <c r="Z74" s="246"/>
      <c r="AA74" s="245"/>
      <c r="AB74" s="245"/>
      <c r="AC74" s="245"/>
      <c r="AD74" s="245">
        <v>1.02</v>
      </c>
      <c r="AE74" s="245"/>
      <c r="AF74" s="245"/>
      <c r="AG74" s="245"/>
      <c r="AH74" s="245"/>
      <c r="AI74" s="245"/>
      <c r="AJ74" s="245">
        <v>0.9</v>
      </c>
      <c r="AK74" s="245"/>
      <c r="AL74" s="245"/>
      <c r="AM74" s="245"/>
      <c r="AN74" s="245"/>
      <c r="AO74" s="245"/>
      <c r="AP74" s="245">
        <v>0.65</v>
      </c>
      <c r="AQ74" s="245"/>
      <c r="AR74" s="245"/>
      <c r="AS74" s="246"/>
      <c r="AT74" s="245">
        <v>4.07</v>
      </c>
      <c r="AU74" s="245">
        <v>10.01</v>
      </c>
      <c r="AV74" s="245">
        <v>1.94</v>
      </c>
      <c r="AW74" s="245"/>
      <c r="AX74" s="245"/>
      <c r="AY74" s="245"/>
      <c r="AZ74" s="245"/>
      <c r="BA74" s="245"/>
      <c r="BB74" s="245">
        <v>1.76</v>
      </c>
      <c r="BC74" s="245"/>
      <c r="BD74" s="245"/>
      <c r="BE74" s="245"/>
      <c r="BF74" s="245">
        <v>1.67</v>
      </c>
      <c r="BG74" s="245">
        <v>2.37</v>
      </c>
      <c r="BH74" s="246"/>
      <c r="BI74" s="246"/>
      <c r="BJ74" s="245">
        <v>1.8</v>
      </c>
      <c r="BK74" s="245"/>
      <c r="BL74" s="245">
        <v>1.06</v>
      </c>
      <c r="BM74" s="238"/>
      <c r="BN74" s="218">
        <f>SUM(A74:BL74)</f>
        <v>44.169999999999987</v>
      </c>
      <c r="BO74" s="250" t="s">
        <v>330</v>
      </c>
      <c r="BP74" s="277" t="s">
        <v>336</v>
      </c>
      <c r="BQ74" s="249">
        <f t="shared" si="8"/>
        <v>56</v>
      </c>
      <c r="BR74" s="250"/>
      <c r="BS74" s="250"/>
    </row>
    <row r="75" spans="1:71" ht="18">
      <c r="A75" s="245"/>
      <c r="B75" s="245"/>
      <c r="C75" s="245"/>
      <c r="D75" s="245"/>
      <c r="E75" s="245">
        <v>5.87</v>
      </c>
      <c r="F75" s="245"/>
      <c r="G75" s="245"/>
      <c r="H75" s="245"/>
      <c r="I75" s="245"/>
      <c r="J75" s="245"/>
      <c r="K75" s="245">
        <v>0.9</v>
      </c>
      <c r="L75" s="245">
        <v>1.02</v>
      </c>
      <c r="M75" s="245"/>
      <c r="N75" s="245">
        <v>0.65</v>
      </c>
      <c r="O75" s="245"/>
      <c r="P75" s="245"/>
      <c r="Q75" s="245"/>
      <c r="R75" s="245"/>
      <c r="S75" s="245"/>
      <c r="T75" s="245"/>
      <c r="U75" s="245"/>
      <c r="V75" s="245"/>
      <c r="W75" s="245"/>
      <c r="X75" s="245">
        <v>4.5</v>
      </c>
      <c r="Y75" s="245">
        <v>1.53</v>
      </c>
      <c r="Z75" s="246">
        <v>3.5</v>
      </c>
      <c r="AA75" s="245"/>
      <c r="AB75" s="245"/>
      <c r="AC75" s="245"/>
      <c r="AD75" s="245">
        <v>1.02</v>
      </c>
      <c r="AE75" s="245">
        <v>3.81</v>
      </c>
      <c r="AF75" s="245"/>
      <c r="AG75" s="245"/>
      <c r="AH75" s="245">
        <v>4</v>
      </c>
      <c r="AI75" s="245">
        <v>1.26</v>
      </c>
      <c r="AJ75" s="245"/>
      <c r="AK75" s="245">
        <v>1.02</v>
      </c>
      <c r="AL75" s="245"/>
      <c r="AM75" s="245"/>
      <c r="AN75" s="245"/>
      <c r="AO75" s="245"/>
      <c r="AP75" s="245"/>
      <c r="AQ75" s="245"/>
      <c r="AR75" s="245"/>
      <c r="AS75" s="246"/>
      <c r="AT75" s="245">
        <v>4.07</v>
      </c>
      <c r="AU75" s="245">
        <v>10.01</v>
      </c>
      <c r="AV75" s="245">
        <v>1.94</v>
      </c>
      <c r="AW75" s="245"/>
      <c r="AX75" s="245"/>
      <c r="AY75" s="245"/>
      <c r="AZ75" s="245"/>
      <c r="BA75" s="245"/>
      <c r="BB75" s="245"/>
      <c r="BC75" s="245"/>
      <c r="BD75" s="245"/>
      <c r="BE75" s="245"/>
      <c r="BF75" s="245">
        <v>1.67</v>
      </c>
      <c r="BG75" s="245"/>
      <c r="BH75" s="246"/>
      <c r="BI75" s="246"/>
      <c r="BJ75" s="245"/>
      <c r="BK75" s="245"/>
      <c r="BL75" s="245"/>
      <c r="BM75" s="238"/>
      <c r="BN75" s="218">
        <f t="shared" si="9"/>
        <v>46.769999999999996</v>
      </c>
      <c r="BO75" s="250" t="s">
        <v>330</v>
      </c>
      <c r="BP75" s="277" t="s">
        <v>337</v>
      </c>
      <c r="BQ75" s="249">
        <f t="shared" si="8"/>
        <v>57</v>
      </c>
      <c r="BR75" s="250"/>
      <c r="BS75" s="250"/>
    </row>
    <row r="76" spans="1:71" ht="18">
      <c r="A76" s="245"/>
      <c r="B76" s="245"/>
      <c r="C76" s="245">
        <v>4.28</v>
      </c>
      <c r="D76" s="245"/>
      <c r="E76" s="245">
        <v>5.87</v>
      </c>
      <c r="F76" s="245">
        <v>5.0999999999999996</v>
      </c>
      <c r="G76" s="245"/>
      <c r="H76" s="245"/>
      <c r="I76" s="245"/>
      <c r="J76" s="245"/>
      <c r="K76" s="245"/>
      <c r="L76" s="245"/>
      <c r="M76" s="245">
        <v>1.53</v>
      </c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6">
        <v>3.5</v>
      </c>
      <c r="AA76" s="245"/>
      <c r="AB76" s="245">
        <v>2.4900000000000002</v>
      </c>
      <c r="AC76" s="245">
        <v>4.5</v>
      </c>
      <c r="AD76" s="245"/>
      <c r="AE76" s="245">
        <v>3.81</v>
      </c>
      <c r="AF76" s="245"/>
      <c r="AG76" s="245"/>
      <c r="AH76" s="245">
        <v>4</v>
      </c>
      <c r="AI76" s="245"/>
      <c r="AJ76" s="245"/>
      <c r="AK76" s="245"/>
      <c r="AL76" s="245"/>
      <c r="AM76" s="245"/>
      <c r="AN76" s="245"/>
      <c r="AO76" s="245"/>
      <c r="AP76" s="245"/>
      <c r="AQ76" s="245"/>
      <c r="AR76" s="245"/>
      <c r="AS76" s="246"/>
      <c r="AT76" s="245"/>
      <c r="AU76" s="245">
        <v>10.01</v>
      </c>
      <c r="AV76" s="245">
        <v>1.94</v>
      </c>
      <c r="AW76" s="245"/>
      <c r="AX76" s="245"/>
      <c r="AY76" s="245"/>
      <c r="AZ76" s="245"/>
      <c r="BA76" s="245"/>
      <c r="BB76" s="245"/>
      <c r="BC76" s="245"/>
      <c r="BD76" s="245"/>
      <c r="BE76" s="245"/>
      <c r="BF76" s="245"/>
      <c r="BG76" s="245"/>
      <c r="BH76" s="246"/>
      <c r="BI76" s="246"/>
      <c r="BJ76" s="245"/>
      <c r="BK76" s="245"/>
      <c r="BL76" s="245"/>
      <c r="BM76" s="238"/>
      <c r="BN76" s="218">
        <f t="shared" si="9"/>
        <v>47.029999999999994</v>
      </c>
      <c r="BO76" s="290" t="s">
        <v>338</v>
      </c>
      <c r="BP76" s="277" t="s">
        <v>339</v>
      </c>
      <c r="BQ76" s="249">
        <f t="shared" si="8"/>
        <v>58</v>
      </c>
      <c r="BR76" s="250"/>
      <c r="BS76" s="250"/>
    </row>
    <row r="77" spans="1:71" ht="18">
      <c r="A77" s="245">
        <v>1.07</v>
      </c>
      <c r="B77" s="245">
        <v>1.07</v>
      </c>
      <c r="C77" s="245">
        <v>4.28</v>
      </c>
      <c r="D77" s="245">
        <v>1.07</v>
      </c>
      <c r="E77" s="245">
        <v>5.87</v>
      </c>
      <c r="F77" s="245">
        <v>5.0999999999999996</v>
      </c>
      <c r="G77" s="245">
        <v>1.39</v>
      </c>
      <c r="H77" s="245">
        <v>0.97</v>
      </c>
      <c r="I77" s="245">
        <v>1.1399999999999999</v>
      </c>
      <c r="J77" s="245"/>
      <c r="K77" s="245">
        <v>0.9</v>
      </c>
      <c r="L77" s="245">
        <v>1.02</v>
      </c>
      <c r="M77" s="245">
        <v>1.53</v>
      </c>
      <c r="N77" s="245"/>
      <c r="O77" s="245">
        <v>0.86</v>
      </c>
      <c r="P77" s="245">
        <v>1.18</v>
      </c>
      <c r="Q77" s="245">
        <v>1.02</v>
      </c>
      <c r="R77" s="245">
        <v>1.25</v>
      </c>
      <c r="S77" s="245">
        <v>1.1200000000000001</v>
      </c>
      <c r="T77" s="245">
        <v>1.18</v>
      </c>
      <c r="U77" s="245">
        <v>1.07</v>
      </c>
      <c r="V77" s="245">
        <v>1.1200000000000001</v>
      </c>
      <c r="W77" s="245">
        <v>1.18</v>
      </c>
      <c r="X77" s="245">
        <v>4.5</v>
      </c>
      <c r="Y77" s="245">
        <v>1.53</v>
      </c>
      <c r="Z77" s="246">
        <v>3.5</v>
      </c>
      <c r="AA77" s="245">
        <v>3.63</v>
      </c>
      <c r="AB77" s="245">
        <v>2.4900000000000002</v>
      </c>
      <c r="AC77" s="245">
        <v>4.5</v>
      </c>
      <c r="AD77" s="245">
        <v>1.02</v>
      </c>
      <c r="AE77" s="245">
        <v>3.81</v>
      </c>
      <c r="AF77" s="245">
        <v>0.85</v>
      </c>
      <c r="AG77" s="245">
        <v>0.91</v>
      </c>
      <c r="AH77" s="245">
        <v>4</v>
      </c>
      <c r="AI77" s="245">
        <v>1.26</v>
      </c>
      <c r="AJ77" s="245">
        <v>0.9</v>
      </c>
      <c r="AK77" s="245">
        <v>1.02</v>
      </c>
      <c r="AL77" s="245">
        <v>1.22</v>
      </c>
      <c r="AM77" s="245"/>
      <c r="AN77" s="245">
        <v>3.62</v>
      </c>
      <c r="AO77" s="245">
        <v>0.92</v>
      </c>
      <c r="AP77" s="245">
        <v>0.65</v>
      </c>
      <c r="AQ77" s="245">
        <v>0.9</v>
      </c>
      <c r="AR77" s="245">
        <v>0.33</v>
      </c>
      <c r="AS77" s="246">
        <v>5.0999999999999996</v>
      </c>
      <c r="AT77" s="245">
        <v>4.07</v>
      </c>
      <c r="AU77" s="245">
        <v>10.01</v>
      </c>
      <c r="AV77" s="245">
        <v>1.94</v>
      </c>
      <c r="AW77" s="245">
        <v>1.81</v>
      </c>
      <c r="AX77" s="245">
        <v>3.07</v>
      </c>
      <c r="AY77" s="245">
        <v>5.33</v>
      </c>
      <c r="AZ77" s="245">
        <v>1.25</v>
      </c>
      <c r="BA77" s="245">
        <v>1.99</v>
      </c>
      <c r="BB77" s="245">
        <v>1.76</v>
      </c>
      <c r="BC77" s="245">
        <v>1.9</v>
      </c>
      <c r="BD77" s="245">
        <v>0.81</v>
      </c>
      <c r="BE77" s="245">
        <v>3.01</v>
      </c>
      <c r="BF77" s="245">
        <v>1.67</v>
      </c>
      <c r="BG77" s="245">
        <v>2.37</v>
      </c>
      <c r="BH77" s="246">
        <v>1.43</v>
      </c>
      <c r="BI77" s="246">
        <v>2.88</v>
      </c>
      <c r="BJ77" s="245">
        <v>1.8</v>
      </c>
      <c r="BK77" s="245">
        <v>1.64</v>
      </c>
      <c r="BL77" s="245">
        <v>1.06</v>
      </c>
      <c r="BM77" s="238"/>
      <c r="BN77" s="218">
        <f t="shared" si="9"/>
        <v>131.85000000000005</v>
      </c>
      <c r="BO77" s="291" t="s">
        <v>340</v>
      </c>
      <c r="BP77" s="280" t="s">
        <v>341</v>
      </c>
      <c r="BQ77" s="249">
        <f t="shared" si="8"/>
        <v>59</v>
      </c>
      <c r="BR77" s="250"/>
      <c r="BS77" s="250"/>
    </row>
    <row r="78" spans="1:71" ht="18">
      <c r="A78" s="245"/>
      <c r="B78" s="245"/>
      <c r="C78" s="245"/>
      <c r="D78" s="245"/>
      <c r="E78" s="245"/>
      <c r="F78" s="245"/>
      <c r="G78" s="245"/>
      <c r="H78" s="245"/>
      <c r="I78" s="245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6"/>
      <c r="AA78" s="245"/>
      <c r="AB78" s="245"/>
      <c r="AC78" s="245"/>
      <c r="AD78" s="245"/>
      <c r="AE78" s="245"/>
      <c r="AF78" s="245"/>
      <c r="AG78" s="245"/>
      <c r="AH78" s="245"/>
      <c r="AI78" s="245"/>
      <c r="AJ78" s="245"/>
      <c r="AK78" s="245"/>
      <c r="AL78" s="245"/>
      <c r="AM78" s="245"/>
      <c r="AN78" s="245"/>
      <c r="AO78" s="245"/>
      <c r="AP78" s="245"/>
      <c r="AQ78" s="245"/>
      <c r="AR78" s="245"/>
      <c r="AS78" s="246"/>
      <c r="AT78" s="245">
        <v>4.07</v>
      </c>
      <c r="AU78" s="245">
        <v>10.01</v>
      </c>
      <c r="AV78" s="245"/>
      <c r="AW78" s="245"/>
      <c r="AX78" s="245"/>
      <c r="AY78" s="245"/>
      <c r="AZ78" s="245"/>
      <c r="BA78" s="245"/>
      <c r="BB78" s="245"/>
      <c r="BC78" s="245">
        <v>1.9</v>
      </c>
      <c r="BD78" s="245"/>
      <c r="BE78" s="245"/>
      <c r="BF78" s="245"/>
      <c r="BG78" s="245"/>
      <c r="BH78" s="246"/>
      <c r="BI78" s="246"/>
      <c r="BJ78" s="245"/>
      <c r="BK78" s="245"/>
      <c r="BL78" s="245"/>
      <c r="BM78" s="238"/>
      <c r="BN78" s="218">
        <f t="shared" si="9"/>
        <v>15.98</v>
      </c>
      <c r="BO78" s="291" t="s">
        <v>342</v>
      </c>
      <c r="BP78" s="292" t="s">
        <v>343</v>
      </c>
      <c r="BQ78" s="249">
        <f t="shared" si="8"/>
        <v>60</v>
      </c>
      <c r="BR78" s="250"/>
      <c r="BS78" s="250"/>
    </row>
    <row r="79" spans="1:71" ht="18">
      <c r="A79" s="245"/>
      <c r="B79" s="245"/>
      <c r="C79" s="245"/>
      <c r="D79" s="245"/>
      <c r="E79" s="245"/>
      <c r="F79" s="245"/>
      <c r="G79" s="245"/>
      <c r="H79" s="245"/>
      <c r="I79" s="245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6"/>
      <c r="AA79" s="245"/>
      <c r="AB79" s="245"/>
      <c r="AC79" s="245"/>
      <c r="AD79" s="245"/>
      <c r="AE79" s="245"/>
      <c r="AF79" s="245"/>
      <c r="AG79" s="245"/>
      <c r="AH79" s="245"/>
      <c r="AI79" s="245"/>
      <c r="AJ79" s="245"/>
      <c r="AK79" s="245"/>
      <c r="AL79" s="245"/>
      <c r="AM79" s="245"/>
      <c r="AN79" s="245"/>
      <c r="AO79" s="245"/>
      <c r="AP79" s="245"/>
      <c r="AQ79" s="245"/>
      <c r="AR79" s="245"/>
      <c r="AS79" s="246"/>
      <c r="AT79" s="245"/>
      <c r="AU79" s="245"/>
      <c r="AV79" s="245"/>
      <c r="AW79" s="245"/>
      <c r="AX79" s="245"/>
      <c r="AY79" s="245"/>
      <c r="AZ79" s="245"/>
      <c r="BA79" s="245"/>
      <c r="BB79" s="245"/>
      <c r="BC79" s="245"/>
      <c r="BD79" s="245"/>
      <c r="BE79" s="245"/>
      <c r="BF79" s="245"/>
      <c r="BG79" s="245"/>
      <c r="BH79" s="246"/>
      <c r="BI79" s="246"/>
      <c r="BJ79" s="245">
        <v>3.6</v>
      </c>
      <c r="BK79" s="245">
        <v>3.28</v>
      </c>
      <c r="BL79" s="245">
        <v>2.12</v>
      </c>
      <c r="BM79" s="238"/>
      <c r="BN79" s="218">
        <f t="shared" si="9"/>
        <v>9</v>
      </c>
      <c r="BO79" s="294" t="s">
        <v>131</v>
      </c>
      <c r="BP79" s="277" t="s">
        <v>355</v>
      </c>
      <c r="BQ79" s="249">
        <f t="shared" si="8"/>
        <v>61</v>
      </c>
      <c r="BR79" s="250"/>
      <c r="BS79" s="250"/>
    </row>
    <row r="80" spans="1:71" ht="18">
      <c r="A80" s="245"/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6"/>
      <c r="AA80" s="245"/>
      <c r="AB80" s="245"/>
      <c r="AC80" s="245"/>
      <c r="AD80" s="245"/>
      <c r="AE80" s="245"/>
      <c r="AF80" s="245"/>
      <c r="AG80" s="245"/>
      <c r="AH80" s="245"/>
      <c r="AI80" s="245"/>
      <c r="AJ80" s="245"/>
      <c r="AK80" s="245"/>
      <c r="AL80" s="245"/>
      <c r="AM80" s="245"/>
      <c r="AN80" s="245"/>
      <c r="AO80" s="245"/>
      <c r="AP80" s="245"/>
      <c r="AQ80" s="245"/>
      <c r="AR80" s="245"/>
      <c r="AS80" s="246"/>
      <c r="AT80" s="245"/>
      <c r="AU80" s="245"/>
      <c r="AV80" s="245"/>
      <c r="AW80" s="245"/>
      <c r="AX80" s="245"/>
      <c r="AY80" s="245"/>
      <c r="AZ80" s="245"/>
      <c r="BA80" s="245"/>
      <c r="BB80" s="245"/>
      <c r="BC80" s="245"/>
      <c r="BD80" s="245"/>
      <c r="BE80" s="245"/>
      <c r="BF80" s="245"/>
      <c r="BG80" s="245"/>
      <c r="BH80" s="246"/>
      <c r="BI80" s="246"/>
      <c r="BJ80" s="245">
        <v>3.6</v>
      </c>
      <c r="BK80" s="245">
        <v>3.28</v>
      </c>
      <c r="BL80" s="245">
        <v>2.12</v>
      </c>
      <c r="BM80" s="238"/>
      <c r="BN80" s="218">
        <f t="shared" si="9"/>
        <v>9</v>
      </c>
      <c r="BO80" s="294" t="s">
        <v>131</v>
      </c>
      <c r="BP80" s="277" t="s">
        <v>356</v>
      </c>
      <c r="BQ80" s="249">
        <f t="shared" si="8"/>
        <v>62</v>
      </c>
      <c r="BR80" s="250"/>
      <c r="BS80" s="250"/>
    </row>
    <row r="81" spans="1:71" ht="18">
      <c r="A81" s="245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6"/>
      <c r="AA81" s="245"/>
      <c r="AB81" s="245"/>
      <c r="AC81" s="245"/>
      <c r="AD81" s="245"/>
      <c r="AE81" s="245"/>
      <c r="AF81" s="245"/>
      <c r="AG81" s="245"/>
      <c r="AH81" s="245"/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6"/>
      <c r="AT81" s="245"/>
      <c r="AU81" s="245"/>
      <c r="AV81" s="245"/>
      <c r="AW81" s="245"/>
      <c r="AX81" s="245"/>
      <c r="AY81" s="245"/>
      <c r="AZ81" s="245"/>
      <c r="BA81" s="245"/>
      <c r="BB81" s="245"/>
      <c r="BC81" s="245"/>
      <c r="BD81" s="245"/>
      <c r="BE81" s="245"/>
      <c r="BF81" s="245"/>
      <c r="BG81" s="245"/>
      <c r="BH81" s="246">
        <v>1.43</v>
      </c>
      <c r="BI81" s="246"/>
      <c r="BJ81" s="245">
        <v>1.8</v>
      </c>
      <c r="BK81" s="245">
        <v>1.64</v>
      </c>
      <c r="BL81" s="245">
        <v>1.06</v>
      </c>
      <c r="BM81" s="238"/>
      <c r="BN81" s="218">
        <f t="shared" si="9"/>
        <v>5.93</v>
      </c>
      <c r="BO81" s="295" t="s">
        <v>357</v>
      </c>
      <c r="BP81" s="277" t="s">
        <v>358</v>
      </c>
      <c r="BQ81" s="249">
        <f t="shared" si="8"/>
        <v>63</v>
      </c>
      <c r="BR81" s="250"/>
      <c r="BS81" s="250"/>
    </row>
    <row r="82" spans="1:71" ht="18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6"/>
      <c r="AA82" s="245"/>
      <c r="AB82" s="245"/>
      <c r="AC82" s="245"/>
      <c r="AD82" s="245"/>
      <c r="AE82" s="245"/>
      <c r="AF82" s="245"/>
      <c r="AG82" s="245"/>
      <c r="AH82" s="245"/>
      <c r="AI82" s="245"/>
      <c r="AJ82" s="245"/>
      <c r="AK82" s="245"/>
      <c r="AL82" s="245"/>
      <c r="AM82" s="245"/>
      <c r="AN82" s="245"/>
      <c r="AO82" s="245"/>
      <c r="AP82" s="245"/>
      <c r="AQ82" s="245"/>
      <c r="AR82" s="245"/>
      <c r="AS82" s="246"/>
      <c r="AT82" s="245"/>
      <c r="AU82" s="245"/>
      <c r="AV82" s="245"/>
      <c r="AW82" s="245"/>
      <c r="AX82" s="245"/>
      <c r="AY82" s="245"/>
      <c r="AZ82" s="245"/>
      <c r="BA82" s="245"/>
      <c r="BB82" s="245"/>
      <c r="BC82" s="245"/>
      <c r="BD82" s="245"/>
      <c r="BE82" s="245"/>
      <c r="BF82" s="245"/>
      <c r="BG82" s="245"/>
      <c r="BH82" s="246"/>
      <c r="BI82" s="246"/>
      <c r="BJ82" s="245"/>
      <c r="BK82" s="245">
        <v>1.64</v>
      </c>
      <c r="BL82" s="245"/>
      <c r="BM82" s="238"/>
      <c r="BN82" s="218">
        <f t="shared" si="9"/>
        <v>1.64</v>
      </c>
      <c r="BO82" s="294" t="s">
        <v>131</v>
      </c>
      <c r="BP82" s="277" t="s">
        <v>359</v>
      </c>
      <c r="BQ82" s="249">
        <f t="shared" si="8"/>
        <v>64</v>
      </c>
      <c r="BR82" s="250"/>
      <c r="BS82" s="250"/>
    </row>
    <row r="83" spans="1:71" ht="18">
      <c r="A83" s="245"/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6"/>
      <c r="AA83" s="245"/>
      <c r="AB83" s="245"/>
      <c r="AC83" s="245"/>
      <c r="AD83" s="245"/>
      <c r="AE83" s="245"/>
      <c r="AF83" s="245"/>
      <c r="AG83" s="245"/>
      <c r="AH83" s="245"/>
      <c r="AI83" s="245"/>
      <c r="AJ83" s="245"/>
      <c r="AK83" s="245"/>
      <c r="AL83" s="245"/>
      <c r="AM83" s="245"/>
      <c r="AN83" s="245"/>
      <c r="AO83" s="245"/>
      <c r="AP83" s="245"/>
      <c r="AQ83" s="245"/>
      <c r="AR83" s="245"/>
      <c r="AS83" s="246">
        <v>5.0999999999999996</v>
      </c>
      <c r="AT83" s="245"/>
      <c r="AU83" s="245"/>
      <c r="AV83" s="245"/>
      <c r="AW83" s="245"/>
      <c r="AX83" s="245"/>
      <c r="AY83" s="245"/>
      <c r="AZ83" s="245"/>
      <c r="BA83" s="245"/>
      <c r="BB83" s="245"/>
      <c r="BC83" s="245"/>
      <c r="BD83" s="245"/>
      <c r="BE83" s="245"/>
      <c r="BF83" s="245"/>
      <c r="BG83" s="245"/>
      <c r="BH83" s="246">
        <v>1.43</v>
      </c>
      <c r="BI83" s="246"/>
      <c r="BJ83" s="245"/>
      <c r="BK83" s="245"/>
      <c r="BL83" s="245"/>
      <c r="BM83" s="238"/>
      <c r="BN83" s="218">
        <f t="shared" si="9"/>
        <v>6.5299999999999994</v>
      </c>
      <c r="BO83" s="294" t="s">
        <v>360</v>
      </c>
      <c r="BP83" s="277" t="s">
        <v>361</v>
      </c>
      <c r="BQ83" s="249">
        <f t="shared" si="8"/>
        <v>65</v>
      </c>
      <c r="BR83" s="250"/>
      <c r="BS83" s="250"/>
    </row>
    <row r="84" spans="1:71" ht="18">
      <c r="A84" s="245"/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6"/>
      <c r="AA84" s="245"/>
      <c r="AB84" s="245"/>
      <c r="AC84" s="245"/>
      <c r="AD84" s="245"/>
      <c r="AE84" s="245"/>
      <c r="AF84" s="245"/>
      <c r="AG84" s="245"/>
      <c r="AH84" s="245"/>
      <c r="AI84" s="245"/>
      <c r="AJ84" s="245"/>
      <c r="AK84" s="245"/>
      <c r="AL84" s="245"/>
      <c r="AM84" s="245"/>
      <c r="AN84" s="245"/>
      <c r="AO84" s="245"/>
      <c r="AP84" s="245"/>
      <c r="AQ84" s="245"/>
      <c r="AR84" s="245"/>
      <c r="AS84" s="246">
        <v>5.0999999999999996</v>
      </c>
      <c r="AT84" s="245"/>
      <c r="AU84" s="245"/>
      <c r="AV84" s="245"/>
      <c r="AW84" s="245"/>
      <c r="AX84" s="245"/>
      <c r="AY84" s="245"/>
      <c r="AZ84" s="245"/>
      <c r="BA84" s="245"/>
      <c r="BB84" s="245"/>
      <c r="BC84" s="245"/>
      <c r="BD84" s="245"/>
      <c r="BE84" s="245"/>
      <c r="BF84" s="245"/>
      <c r="BG84" s="245"/>
      <c r="BH84" s="246">
        <v>1.43</v>
      </c>
      <c r="BI84" s="246"/>
      <c r="BJ84" s="245"/>
      <c r="BK84" s="245"/>
      <c r="BL84" s="245"/>
      <c r="BM84" s="238"/>
      <c r="BN84" s="218">
        <f t="shared" si="9"/>
        <v>6.5299999999999994</v>
      </c>
      <c r="BO84" s="294" t="s">
        <v>360</v>
      </c>
      <c r="BP84" s="277" t="s">
        <v>362</v>
      </c>
      <c r="BQ84" s="249">
        <f t="shared" si="8"/>
        <v>66</v>
      </c>
      <c r="BR84" s="250"/>
      <c r="BS84" s="250"/>
    </row>
    <row r="85" spans="1:71" ht="18">
      <c r="A85" s="245"/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6"/>
      <c r="AA85" s="245"/>
      <c r="AB85" s="245"/>
      <c r="AC85" s="245"/>
      <c r="AD85" s="245"/>
      <c r="AE85" s="245"/>
      <c r="AF85" s="245"/>
      <c r="AG85" s="245"/>
      <c r="AH85" s="245"/>
      <c r="AI85" s="245"/>
      <c r="AJ85" s="245"/>
      <c r="AK85" s="245"/>
      <c r="AL85" s="245"/>
      <c r="AM85" s="245"/>
      <c r="AN85" s="245"/>
      <c r="AO85" s="245"/>
      <c r="AP85" s="245"/>
      <c r="AQ85" s="245"/>
      <c r="AR85" s="245"/>
      <c r="AS85" s="246"/>
      <c r="AT85" s="245"/>
      <c r="AU85" s="245"/>
      <c r="AV85" s="245"/>
      <c r="AW85" s="245"/>
      <c r="AX85" s="245"/>
      <c r="AY85" s="245"/>
      <c r="AZ85" s="245"/>
      <c r="BA85" s="245"/>
      <c r="BB85" s="245"/>
      <c r="BC85" s="245"/>
      <c r="BD85" s="245"/>
      <c r="BE85" s="245"/>
      <c r="BF85" s="245"/>
      <c r="BG85" s="245"/>
      <c r="BH85" s="246">
        <v>1.43</v>
      </c>
      <c r="BI85" s="246"/>
      <c r="BJ85" s="245"/>
      <c r="BK85" s="245"/>
      <c r="BL85" s="245"/>
      <c r="BM85" s="238"/>
      <c r="BN85" s="218">
        <f t="shared" si="9"/>
        <v>1.43</v>
      </c>
      <c r="BO85" s="294" t="s">
        <v>360</v>
      </c>
      <c r="BP85" s="277" t="s">
        <v>363</v>
      </c>
      <c r="BQ85" s="249">
        <f t="shared" ref="BQ85:BQ148" si="10">BQ84+1</f>
        <v>67</v>
      </c>
      <c r="BR85" s="250"/>
      <c r="BS85" s="250"/>
    </row>
    <row r="86" spans="1:71" ht="18">
      <c r="A86" s="245"/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6"/>
      <c r="AA86" s="245"/>
      <c r="AB86" s="245"/>
      <c r="AC86" s="245"/>
      <c r="AD86" s="245"/>
      <c r="AE86" s="245"/>
      <c r="AF86" s="245"/>
      <c r="AG86" s="245"/>
      <c r="AH86" s="245"/>
      <c r="AI86" s="245"/>
      <c r="AJ86" s="245"/>
      <c r="AK86" s="245"/>
      <c r="AL86" s="245"/>
      <c r="AM86" s="245"/>
      <c r="AN86" s="245"/>
      <c r="AO86" s="245"/>
      <c r="AP86" s="245"/>
      <c r="AQ86" s="245"/>
      <c r="AR86" s="245"/>
      <c r="AS86" s="246"/>
      <c r="AT86" s="245"/>
      <c r="AU86" s="245"/>
      <c r="AV86" s="245"/>
      <c r="AW86" s="245"/>
      <c r="AX86" s="245"/>
      <c r="AY86" s="245"/>
      <c r="AZ86" s="245"/>
      <c r="BA86" s="245"/>
      <c r="BB86" s="245"/>
      <c r="BC86" s="245"/>
      <c r="BD86" s="245"/>
      <c r="BE86" s="245">
        <v>6.02</v>
      </c>
      <c r="BF86" s="245">
        <v>3.34</v>
      </c>
      <c r="BG86" s="245">
        <v>2.37</v>
      </c>
      <c r="BH86" s="246"/>
      <c r="BI86" s="246">
        <v>2.88</v>
      </c>
      <c r="BJ86" s="245"/>
      <c r="BK86" s="245"/>
      <c r="BL86" s="245"/>
      <c r="BM86" s="238"/>
      <c r="BN86" s="218">
        <f>SUM(A86:BL86)</f>
        <v>14.61</v>
      </c>
      <c r="BO86" s="294" t="s">
        <v>364</v>
      </c>
      <c r="BP86" s="277" t="s">
        <v>365</v>
      </c>
      <c r="BQ86" s="249">
        <f t="shared" si="10"/>
        <v>68</v>
      </c>
      <c r="BR86" s="250"/>
      <c r="BS86" s="250"/>
    </row>
    <row r="87" spans="1:71" ht="18">
      <c r="A87" s="245"/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6"/>
      <c r="AA87" s="245"/>
      <c r="AB87" s="245"/>
      <c r="AC87" s="245"/>
      <c r="AD87" s="245"/>
      <c r="AE87" s="245"/>
      <c r="AF87" s="245"/>
      <c r="AG87" s="245"/>
      <c r="AH87" s="245"/>
      <c r="AI87" s="245"/>
      <c r="AJ87" s="245"/>
      <c r="AK87" s="245"/>
      <c r="AL87" s="245"/>
      <c r="AM87" s="245"/>
      <c r="AN87" s="245"/>
      <c r="AO87" s="245"/>
      <c r="AP87" s="245"/>
      <c r="AQ87" s="245"/>
      <c r="AR87" s="245"/>
      <c r="AS87" s="246"/>
      <c r="AT87" s="245"/>
      <c r="AU87" s="245"/>
      <c r="AV87" s="245"/>
      <c r="AW87" s="245"/>
      <c r="AX87" s="245"/>
      <c r="AY87" s="245"/>
      <c r="AZ87" s="245"/>
      <c r="BA87" s="245"/>
      <c r="BB87" s="245"/>
      <c r="BC87" s="245"/>
      <c r="BD87" s="245"/>
      <c r="BE87" s="267">
        <v>6.02</v>
      </c>
      <c r="BF87" s="245">
        <v>3.34</v>
      </c>
      <c r="BG87" s="245">
        <v>2.37</v>
      </c>
      <c r="BH87" s="246"/>
      <c r="BI87" s="246">
        <v>2.88</v>
      </c>
      <c r="BJ87" s="245"/>
      <c r="BK87" s="245"/>
      <c r="BL87" s="245"/>
      <c r="BM87" s="238"/>
      <c r="BN87" s="218">
        <f t="shared" ref="BN87:BN129" si="11">SUM(A87:BL87)</f>
        <v>14.61</v>
      </c>
      <c r="BO87" s="294" t="s">
        <v>364</v>
      </c>
      <c r="BP87" s="277" t="s">
        <v>366</v>
      </c>
      <c r="BQ87" s="249">
        <f t="shared" si="10"/>
        <v>69</v>
      </c>
      <c r="BR87" s="250"/>
      <c r="BS87" s="250"/>
    </row>
    <row r="88" spans="1:71" ht="18">
      <c r="A88" s="245"/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6"/>
      <c r="AA88" s="245"/>
      <c r="AB88" s="245"/>
      <c r="AC88" s="245"/>
      <c r="AD88" s="245"/>
      <c r="AE88" s="245"/>
      <c r="AF88" s="245"/>
      <c r="AG88" s="245"/>
      <c r="AH88" s="245"/>
      <c r="AI88" s="245"/>
      <c r="AJ88" s="245"/>
      <c r="AK88" s="245"/>
      <c r="AL88" s="245"/>
      <c r="AM88" s="245"/>
      <c r="AN88" s="245"/>
      <c r="AO88" s="245"/>
      <c r="AP88" s="245"/>
      <c r="AQ88" s="245"/>
      <c r="AR88" s="245"/>
      <c r="AS88" s="246"/>
      <c r="AT88" s="245"/>
      <c r="AU88" s="245"/>
      <c r="AV88" s="245"/>
      <c r="AW88" s="245"/>
      <c r="AX88" s="245"/>
      <c r="AY88" s="245"/>
      <c r="AZ88" s="245"/>
      <c r="BA88" s="245"/>
      <c r="BB88" s="245"/>
      <c r="BC88" s="245"/>
      <c r="BD88" s="245"/>
      <c r="BE88" s="245"/>
      <c r="BF88" s="245"/>
      <c r="BG88" s="245">
        <v>2.37</v>
      </c>
      <c r="BH88" s="246"/>
      <c r="BI88" s="246">
        <v>2.88</v>
      </c>
      <c r="BJ88" s="245"/>
      <c r="BK88" s="245"/>
      <c r="BL88" s="245"/>
      <c r="BM88" s="238"/>
      <c r="BN88" s="218">
        <f t="shared" si="11"/>
        <v>5.25</v>
      </c>
      <c r="BO88" s="294" t="s">
        <v>364</v>
      </c>
      <c r="BP88" s="277" t="s">
        <v>367</v>
      </c>
      <c r="BQ88" s="249">
        <f t="shared" si="10"/>
        <v>70</v>
      </c>
      <c r="BR88" s="250"/>
      <c r="BS88" s="250"/>
    </row>
    <row r="89" spans="1:71" ht="18">
      <c r="A89" s="245"/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6"/>
      <c r="AA89" s="245"/>
      <c r="AB89" s="245"/>
      <c r="AC89" s="245"/>
      <c r="AD89" s="245"/>
      <c r="AE89" s="245"/>
      <c r="AF89" s="245"/>
      <c r="AG89" s="245"/>
      <c r="AH89" s="245"/>
      <c r="AI89" s="245"/>
      <c r="AJ89" s="245"/>
      <c r="AK89" s="245"/>
      <c r="AL89" s="245"/>
      <c r="AM89" s="245"/>
      <c r="AN89" s="245"/>
      <c r="AO89" s="245"/>
      <c r="AP89" s="245"/>
      <c r="AQ89" s="245"/>
      <c r="AR89" s="245"/>
      <c r="AS89" s="246"/>
      <c r="AT89" s="245"/>
      <c r="AU89" s="245"/>
      <c r="AV89" s="245"/>
      <c r="AW89" s="245"/>
      <c r="AX89" s="245"/>
      <c r="AY89" s="245"/>
      <c r="AZ89" s="245"/>
      <c r="BA89" s="245"/>
      <c r="BB89" s="245"/>
      <c r="BC89" s="245"/>
      <c r="BD89" s="245"/>
      <c r="BE89" s="245">
        <v>3.01</v>
      </c>
      <c r="BF89" s="245"/>
      <c r="BG89" s="245"/>
      <c r="BH89" s="246"/>
      <c r="BI89" s="246"/>
      <c r="BJ89" s="245"/>
      <c r="BK89" s="245"/>
      <c r="BL89" s="245"/>
      <c r="BM89" s="238"/>
      <c r="BN89" s="218">
        <f t="shared" si="11"/>
        <v>3.01</v>
      </c>
      <c r="BO89" s="294" t="s">
        <v>368</v>
      </c>
      <c r="BP89" s="277" t="s">
        <v>369</v>
      </c>
      <c r="BQ89" s="249">
        <f t="shared" si="10"/>
        <v>71</v>
      </c>
      <c r="BR89" s="250"/>
      <c r="BS89" s="250"/>
    </row>
    <row r="90" spans="1:71" ht="18">
      <c r="A90" s="245"/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6"/>
      <c r="AA90" s="245"/>
      <c r="AB90" s="245"/>
      <c r="AC90" s="245"/>
      <c r="AD90" s="245"/>
      <c r="AE90" s="245"/>
      <c r="AF90" s="245"/>
      <c r="AG90" s="245"/>
      <c r="AH90" s="245"/>
      <c r="AI90" s="245"/>
      <c r="AJ90" s="245"/>
      <c r="AK90" s="245"/>
      <c r="AL90" s="245"/>
      <c r="AM90" s="245"/>
      <c r="AN90" s="245"/>
      <c r="AO90" s="245"/>
      <c r="AP90" s="245"/>
      <c r="AQ90" s="245"/>
      <c r="AR90" s="245"/>
      <c r="AS90" s="246"/>
      <c r="AT90" s="245"/>
      <c r="AU90" s="245"/>
      <c r="AV90" s="245"/>
      <c r="AW90" s="245"/>
      <c r="AX90" s="245"/>
      <c r="AY90" s="245"/>
      <c r="AZ90" s="245"/>
      <c r="BA90" s="245"/>
      <c r="BB90" s="245"/>
      <c r="BC90" s="245"/>
      <c r="BD90" s="245"/>
      <c r="BE90" s="245">
        <v>3.01</v>
      </c>
      <c r="BF90" s="245"/>
      <c r="BG90" s="245"/>
      <c r="BH90" s="246"/>
      <c r="BI90" s="246"/>
      <c r="BJ90" s="245"/>
      <c r="BK90" s="245"/>
      <c r="BL90" s="245"/>
      <c r="BM90" s="238"/>
      <c r="BN90" s="218">
        <f t="shared" si="11"/>
        <v>3.01</v>
      </c>
      <c r="BO90" s="294" t="s">
        <v>368</v>
      </c>
      <c r="BP90" s="277" t="s">
        <v>370</v>
      </c>
      <c r="BQ90" s="249">
        <f t="shared" si="10"/>
        <v>72</v>
      </c>
      <c r="BR90" s="250"/>
      <c r="BS90" s="250"/>
    </row>
    <row r="91" spans="1:71" ht="18">
      <c r="A91" s="245"/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6"/>
      <c r="AA91" s="245"/>
      <c r="AB91" s="245"/>
      <c r="AC91" s="245"/>
      <c r="AD91" s="245"/>
      <c r="AE91" s="245"/>
      <c r="AF91" s="245"/>
      <c r="AG91" s="245"/>
      <c r="AH91" s="245"/>
      <c r="AI91" s="245"/>
      <c r="AJ91" s="245"/>
      <c r="AK91" s="245"/>
      <c r="AL91" s="245"/>
      <c r="AM91" s="245"/>
      <c r="AN91" s="245"/>
      <c r="AO91" s="245"/>
      <c r="AP91" s="245"/>
      <c r="AQ91" s="245"/>
      <c r="AR91" s="245"/>
      <c r="AS91" s="246"/>
      <c r="AT91" s="245"/>
      <c r="AU91" s="245"/>
      <c r="AV91" s="245"/>
      <c r="AW91" s="245"/>
      <c r="AX91" s="245"/>
      <c r="AY91" s="245"/>
      <c r="AZ91" s="245"/>
      <c r="BA91" s="245"/>
      <c r="BB91" s="245"/>
      <c r="BC91" s="245"/>
      <c r="BD91" s="245"/>
      <c r="BE91" s="245">
        <v>3.01</v>
      </c>
      <c r="BF91" s="245"/>
      <c r="BG91" s="245"/>
      <c r="BH91" s="246"/>
      <c r="BI91" s="246"/>
      <c r="BJ91" s="245"/>
      <c r="BK91" s="245"/>
      <c r="BL91" s="245"/>
      <c r="BM91" s="238"/>
      <c r="BN91" s="218">
        <f t="shared" si="11"/>
        <v>3.01</v>
      </c>
      <c r="BO91" s="294" t="s">
        <v>368</v>
      </c>
      <c r="BP91" s="277" t="s">
        <v>371</v>
      </c>
      <c r="BQ91" s="249">
        <f t="shared" si="10"/>
        <v>73</v>
      </c>
      <c r="BR91" s="250"/>
      <c r="BS91" s="250"/>
    </row>
    <row r="92" spans="1:71" ht="18">
      <c r="A92" s="245"/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6"/>
      <c r="AA92" s="245"/>
      <c r="AB92" s="245"/>
      <c r="AC92" s="245"/>
      <c r="AD92" s="245"/>
      <c r="AE92" s="245"/>
      <c r="AF92" s="245"/>
      <c r="AG92" s="245"/>
      <c r="AH92" s="245"/>
      <c r="AI92" s="245"/>
      <c r="AJ92" s="245"/>
      <c r="AK92" s="245"/>
      <c r="AL92" s="245"/>
      <c r="AM92" s="245"/>
      <c r="AN92" s="245"/>
      <c r="AO92" s="245"/>
      <c r="AP92" s="245"/>
      <c r="AQ92" s="245"/>
      <c r="AR92" s="245"/>
      <c r="AS92" s="246"/>
      <c r="AT92" s="245"/>
      <c r="AU92" s="245"/>
      <c r="AV92" s="245"/>
      <c r="AW92" s="245"/>
      <c r="AX92" s="245"/>
      <c r="AY92" s="245"/>
      <c r="AZ92" s="245"/>
      <c r="BA92" s="245"/>
      <c r="BB92" s="245"/>
      <c r="BC92" s="245">
        <v>3.8</v>
      </c>
      <c r="BD92" s="245"/>
      <c r="BE92" s="245"/>
      <c r="BF92" s="245"/>
      <c r="BG92" s="245"/>
      <c r="BH92" s="246"/>
      <c r="BI92" s="246"/>
      <c r="BJ92" s="245"/>
      <c r="BK92" s="245"/>
      <c r="BL92" s="245"/>
      <c r="BM92" s="238"/>
      <c r="BN92" s="315">
        <f>SUM(A92:BL92)</f>
        <v>3.8</v>
      </c>
      <c r="BO92" s="316" t="s">
        <v>352</v>
      </c>
      <c r="BP92" s="317" t="s">
        <v>353</v>
      </c>
      <c r="BQ92" s="249">
        <f t="shared" si="10"/>
        <v>74</v>
      </c>
      <c r="BR92" s="250"/>
      <c r="BS92" s="250"/>
    </row>
    <row r="93" spans="1:71" ht="18">
      <c r="A93" s="245"/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6"/>
      <c r="AA93" s="245"/>
      <c r="AB93" s="245"/>
      <c r="AC93" s="245"/>
      <c r="AD93" s="245"/>
      <c r="AE93" s="245"/>
      <c r="AF93" s="245"/>
      <c r="AG93" s="245"/>
      <c r="AH93" s="245"/>
      <c r="AI93" s="245"/>
      <c r="AJ93" s="245"/>
      <c r="AK93" s="245"/>
      <c r="AL93" s="245"/>
      <c r="AM93" s="245"/>
      <c r="AN93" s="245"/>
      <c r="AO93" s="245"/>
      <c r="AP93" s="245"/>
      <c r="AQ93" s="245"/>
      <c r="AR93" s="245"/>
      <c r="AS93" s="246"/>
      <c r="AT93" s="245"/>
      <c r="AU93" s="245"/>
      <c r="AV93" s="245"/>
      <c r="AW93" s="245"/>
      <c r="AX93" s="245"/>
      <c r="AY93" s="245"/>
      <c r="AZ93" s="245"/>
      <c r="BA93" s="245"/>
      <c r="BB93" s="245"/>
      <c r="BC93" s="245">
        <v>3.8</v>
      </c>
      <c r="BD93" s="245"/>
      <c r="BE93" s="245"/>
      <c r="BF93" s="245"/>
      <c r="BG93" s="245"/>
      <c r="BH93" s="246"/>
      <c r="BI93" s="246"/>
      <c r="BJ93" s="245"/>
      <c r="BK93" s="245"/>
      <c r="BL93" s="245"/>
      <c r="BM93" s="238"/>
      <c r="BN93" s="315">
        <f>SUM(A93:BL93)</f>
        <v>3.8</v>
      </c>
      <c r="BO93" s="316" t="s">
        <v>352</v>
      </c>
      <c r="BP93" s="317" t="s">
        <v>354</v>
      </c>
      <c r="BQ93" s="249">
        <f t="shared" si="10"/>
        <v>75</v>
      </c>
      <c r="BR93" s="250"/>
      <c r="BS93" s="250"/>
    </row>
    <row r="94" spans="1:71" ht="18" customHeight="1">
      <c r="A94" s="245"/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6"/>
      <c r="AA94" s="245"/>
      <c r="AB94" s="245"/>
      <c r="AC94" s="245"/>
      <c r="AD94" s="245"/>
      <c r="AE94" s="245"/>
      <c r="AF94" s="245"/>
      <c r="AG94" s="245"/>
      <c r="AH94" s="245"/>
      <c r="AI94" s="245"/>
      <c r="AJ94" s="245"/>
      <c r="AK94" s="245"/>
      <c r="AL94" s="245"/>
      <c r="AM94" s="245"/>
      <c r="AN94" s="245"/>
      <c r="AO94" s="245"/>
      <c r="AP94" s="245"/>
      <c r="AQ94" s="245"/>
      <c r="AR94" s="245"/>
      <c r="AS94" s="246"/>
      <c r="AT94" s="245"/>
      <c r="AU94" s="245"/>
      <c r="AV94" s="245"/>
      <c r="AW94" s="245"/>
      <c r="AX94" s="245"/>
      <c r="AY94" s="245"/>
      <c r="AZ94" s="245"/>
      <c r="BA94" s="245"/>
      <c r="BB94" s="245"/>
      <c r="BC94" s="245"/>
      <c r="BD94" s="245"/>
      <c r="BE94" s="245"/>
      <c r="BF94" s="245">
        <v>3.34</v>
      </c>
      <c r="BG94" s="245"/>
      <c r="BH94" s="246"/>
      <c r="BI94" s="246"/>
      <c r="BJ94" s="245"/>
      <c r="BK94" s="245"/>
      <c r="BL94" s="245"/>
      <c r="BM94" s="238"/>
      <c r="BN94" s="315">
        <f t="shared" si="11"/>
        <v>3.34</v>
      </c>
      <c r="BO94" s="316" t="s">
        <v>372</v>
      </c>
      <c r="BP94" s="317" t="s">
        <v>373</v>
      </c>
      <c r="BQ94" s="249">
        <f t="shared" si="10"/>
        <v>76</v>
      </c>
      <c r="BR94" s="250"/>
      <c r="BS94" s="250"/>
    </row>
    <row r="95" spans="1:71" ht="18">
      <c r="A95" s="245"/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6"/>
      <c r="AA95" s="245"/>
      <c r="AB95" s="245"/>
      <c r="AC95" s="245"/>
      <c r="AD95" s="245"/>
      <c r="AE95" s="245"/>
      <c r="AF95" s="245"/>
      <c r="AG95" s="245"/>
      <c r="AH95" s="245"/>
      <c r="AI95" s="245"/>
      <c r="AJ95" s="245"/>
      <c r="AK95" s="245"/>
      <c r="AL95" s="245"/>
      <c r="AM95" s="245"/>
      <c r="AN95" s="245"/>
      <c r="AO95" s="245"/>
      <c r="AP95" s="245"/>
      <c r="AQ95" s="245"/>
      <c r="AR95" s="245"/>
      <c r="AS95" s="246"/>
      <c r="AT95" s="245"/>
      <c r="AU95" s="245"/>
      <c r="AV95" s="245"/>
      <c r="AW95" s="245"/>
      <c r="AX95" s="245"/>
      <c r="AY95" s="245"/>
      <c r="AZ95" s="245"/>
      <c r="BA95" s="245"/>
      <c r="BB95" s="245"/>
      <c r="BC95" s="245"/>
      <c r="BD95" s="245"/>
      <c r="BE95" s="245"/>
      <c r="BF95" s="245">
        <v>3.34</v>
      </c>
      <c r="BG95" s="245"/>
      <c r="BH95" s="246"/>
      <c r="BI95" s="246"/>
      <c r="BJ95" s="245"/>
      <c r="BK95" s="245"/>
      <c r="BL95" s="245"/>
      <c r="BM95" s="238"/>
      <c r="BN95" s="315">
        <f t="shared" si="11"/>
        <v>3.34</v>
      </c>
      <c r="BO95" s="316" t="s">
        <v>372</v>
      </c>
      <c r="BP95" s="317" t="s">
        <v>374</v>
      </c>
      <c r="BQ95" s="249">
        <f t="shared" si="10"/>
        <v>77</v>
      </c>
      <c r="BR95" s="250"/>
      <c r="BS95" s="250"/>
    </row>
    <row r="96" spans="1:71" ht="18">
      <c r="A96" s="245"/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6"/>
      <c r="AA96" s="245"/>
      <c r="AB96" s="245"/>
      <c r="AC96" s="245"/>
      <c r="AD96" s="245"/>
      <c r="AE96" s="245"/>
      <c r="AF96" s="245"/>
      <c r="AG96" s="245"/>
      <c r="AH96" s="245"/>
      <c r="AI96" s="245"/>
      <c r="AJ96" s="245"/>
      <c r="AK96" s="245"/>
      <c r="AL96" s="245"/>
      <c r="AM96" s="245"/>
      <c r="AN96" s="245"/>
      <c r="AO96" s="245"/>
      <c r="AP96" s="245"/>
      <c r="AQ96" s="245"/>
      <c r="AR96" s="245"/>
      <c r="AS96" s="246"/>
      <c r="AT96" s="245"/>
      <c r="AU96" s="245"/>
      <c r="AV96" s="245"/>
      <c r="AW96" s="245"/>
      <c r="AX96" s="245"/>
      <c r="AY96" s="245"/>
      <c r="AZ96" s="245"/>
      <c r="BA96" s="245"/>
      <c r="BB96" s="245"/>
      <c r="BC96" s="245"/>
      <c r="BD96" s="245"/>
      <c r="BE96" s="245">
        <v>6.02</v>
      </c>
      <c r="BF96" s="245"/>
      <c r="BG96" s="245"/>
      <c r="BH96" s="246"/>
      <c r="BI96" s="246"/>
      <c r="BJ96" s="245"/>
      <c r="BK96" s="245"/>
      <c r="BL96" s="245"/>
      <c r="BM96" s="238"/>
      <c r="BN96" s="315">
        <f t="shared" si="11"/>
        <v>6.02</v>
      </c>
      <c r="BO96" s="316" t="s">
        <v>375</v>
      </c>
      <c r="BP96" s="317" t="s">
        <v>376</v>
      </c>
      <c r="BQ96" s="249">
        <f t="shared" si="10"/>
        <v>78</v>
      </c>
      <c r="BR96" s="250"/>
      <c r="BS96" s="250"/>
    </row>
    <row r="97" spans="1:71" ht="18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6"/>
      <c r="AA97" s="245"/>
      <c r="AB97" s="245"/>
      <c r="AC97" s="245"/>
      <c r="AD97" s="245"/>
      <c r="AE97" s="245"/>
      <c r="AF97" s="245"/>
      <c r="AG97" s="245"/>
      <c r="AH97" s="245"/>
      <c r="AI97" s="245"/>
      <c r="AJ97" s="245"/>
      <c r="AK97" s="245"/>
      <c r="AL97" s="245"/>
      <c r="AM97" s="245"/>
      <c r="AN97" s="245"/>
      <c r="AO97" s="245"/>
      <c r="AP97" s="245"/>
      <c r="AQ97" s="245"/>
      <c r="AR97" s="245"/>
      <c r="AS97" s="246"/>
      <c r="AT97" s="245"/>
      <c r="AU97" s="245"/>
      <c r="AV97" s="245"/>
      <c r="AW97" s="245"/>
      <c r="AX97" s="245"/>
      <c r="AY97" s="245"/>
      <c r="AZ97" s="245"/>
      <c r="BA97" s="245"/>
      <c r="BB97" s="245"/>
      <c r="BC97" s="245"/>
      <c r="BD97" s="245"/>
      <c r="BE97" s="245">
        <v>6.02</v>
      </c>
      <c r="BF97" s="245"/>
      <c r="BG97" s="245"/>
      <c r="BH97" s="246"/>
      <c r="BI97" s="246"/>
      <c r="BJ97" s="245"/>
      <c r="BK97" s="245"/>
      <c r="BL97" s="245"/>
      <c r="BM97" s="238"/>
      <c r="BN97" s="315">
        <f t="shared" si="11"/>
        <v>6.02</v>
      </c>
      <c r="BO97" s="316" t="s">
        <v>375</v>
      </c>
      <c r="BP97" s="317" t="s">
        <v>377</v>
      </c>
      <c r="BQ97" s="249">
        <f t="shared" si="10"/>
        <v>79</v>
      </c>
      <c r="BR97" s="250"/>
      <c r="BS97" s="250"/>
    </row>
    <row r="98" spans="1:71" ht="18">
      <c r="A98" s="245"/>
      <c r="B98" s="245"/>
      <c r="C98" s="245"/>
      <c r="D98" s="245"/>
      <c r="E98" s="245"/>
      <c r="F98" s="245"/>
      <c r="G98" s="245"/>
      <c r="H98" s="245"/>
      <c r="I98" s="245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6"/>
      <c r="AA98" s="245"/>
      <c r="AB98" s="245"/>
      <c r="AC98" s="245"/>
      <c r="AD98" s="245"/>
      <c r="AE98" s="245"/>
      <c r="AF98" s="245"/>
      <c r="AG98" s="245"/>
      <c r="AH98" s="245"/>
      <c r="AI98" s="245"/>
      <c r="AJ98" s="245"/>
      <c r="AK98" s="245"/>
      <c r="AL98" s="245"/>
      <c r="AM98" s="245"/>
      <c r="AN98" s="245"/>
      <c r="AO98" s="245"/>
      <c r="AP98" s="245"/>
      <c r="AQ98" s="245"/>
      <c r="AR98" s="245"/>
      <c r="AS98" s="246"/>
      <c r="AT98" s="245"/>
      <c r="AU98" s="245"/>
      <c r="AV98" s="245"/>
      <c r="AW98" s="245"/>
      <c r="AX98" s="245"/>
      <c r="AY98" s="245"/>
      <c r="AZ98" s="245"/>
      <c r="BA98" s="245"/>
      <c r="BB98" s="245"/>
      <c r="BC98" s="245"/>
      <c r="BD98" s="245"/>
      <c r="BE98" s="245">
        <v>6.02</v>
      </c>
      <c r="BF98" s="245"/>
      <c r="BG98" s="245"/>
      <c r="BH98" s="246"/>
      <c r="BI98" s="246"/>
      <c r="BJ98" s="245"/>
      <c r="BK98" s="245"/>
      <c r="BL98" s="245"/>
      <c r="BM98" s="238"/>
      <c r="BN98" s="315">
        <f t="shared" si="11"/>
        <v>6.02</v>
      </c>
      <c r="BO98" s="316" t="s">
        <v>375</v>
      </c>
      <c r="BP98" s="317" t="s">
        <v>378</v>
      </c>
      <c r="BQ98" s="249">
        <f t="shared" si="10"/>
        <v>80</v>
      </c>
      <c r="BR98" s="250"/>
      <c r="BS98" s="250"/>
    </row>
    <row r="99" spans="1:71" ht="18">
      <c r="A99" s="245"/>
      <c r="B99" s="245"/>
      <c r="C99" s="245"/>
      <c r="D99" s="245"/>
      <c r="E99" s="245"/>
      <c r="F99" s="245"/>
      <c r="G99" s="245"/>
      <c r="H99" s="245"/>
      <c r="I99" s="245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6"/>
      <c r="AA99" s="245"/>
      <c r="AB99" s="245"/>
      <c r="AC99" s="245"/>
      <c r="AD99" s="245"/>
      <c r="AE99" s="245"/>
      <c r="AF99" s="245"/>
      <c r="AG99" s="245"/>
      <c r="AH99" s="245"/>
      <c r="AI99" s="245"/>
      <c r="AJ99" s="245"/>
      <c r="AK99" s="245"/>
      <c r="AL99" s="245"/>
      <c r="AM99" s="245"/>
      <c r="AN99" s="245"/>
      <c r="AO99" s="245"/>
      <c r="AP99" s="245"/>
      <c r="AQ99" s="245"/>
      <c r="AR99" s="245"/>
      <c r="AS99" s="246"/>
      <c r="AT99" s="245"/>
      <c r="AU99" s="245"/>
      <c r="AV99" s="245"/>
      <c r="AW99" s="245"/>
      <c r="AX99" s="245"/>
      <c r="AY99" s="245"/>
      <c r="AZ99" s="245"/>
      <c r="BA99" s="245"/>
      <c r="BB99" s="245"/>
      <c r="BC99" s="245"/>
      <c r="BD99" s="245"/>
      <c r="BE99" s="245"/>
      <c r="BF99" s="245"/>
      <c r="BG99" s="245"/>
      <c r="BH99" s="246"/>
      <c r="BI99" s="246"/>
      <c r="BJ99" s="245">
        <v>3.6</v>
      </c>
      <c r="BK99" s="245">
        <v>3.28</v>
      </c>
      <c r="BL99" s="245">
        <v>2.12</v>
      </c>
      <c r="BM99" s="238"/>
      <c r="BN99" s="315">
        <f t="shared" si="11"/>
        <v>9</v>
      </c>
      <c r="BO99" s="316" t="s">
        <v>379</v>
      </c>
      <c r="BP99" s="317" t="s">
        <v>380</v>
      </c>
      <c r="BQ99" s="249">
        <f t="shared" si="10"/>
        <v>81</v>
      </c>
      <c r="BR99" s="250"/>
      <c r="BS99" s="250"/>
    </row>
    <row r="100" spans="1:71" ht="18">
      <c r="A100" s="245"/>
      <c r="B100" s="245"/>
      <c r="C100" s="245"/>
      <c r="D100" s="245"/>
      <c r="E100" s="245"/>
      <c r="F100" s="245"/>
      <c r="G100" s="245"/>
      <c r="H100" s="245"/>
      <c r="I100" s="245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6"/>
      <c r="AA100" s="245"/>
      <c r="AB100" s="245"/>
      <c r="AC100" s="245"/>
      <c r="AD100" s="245"/>
      <c r="AE100" s="245"/>
      <c r="AF100" s="245"/>
      <c r="AG100" s="245"/>
      <c r="AH100" s="245"/>
      <c r="AI100" s="245"/>
      <c r="AJ100" s="245"/>
      <c r="AK100" s="245"/>
      <c r="AL100" s="245"/>
      <c r="AM100" s="245"/>
      <c r="AN100" s="245"/>
      <c r="AO100" s="245"/>
      <c r="AP100" s="245"/>
      <c r="AQ100" s="245"/>
      <c r="AR100" s="245"/>
      <c r="AS100" s="246"/>
      <c r="AT100" s="245"/>
      <c r="AU100" s="245"/>
      <c r="AV100" s="245"/>
      <c r="AW100" s="245"/>
      <c r="AX100" s="245"/>
      <c r="AY100" s="245"/>
      <c r="AZ100" s="245"/>
      <c r="BA100" s="245"/>
      <c r="BB100" s="245"/>
      <c r="BC100" s="245"/>
      <c r="BD100" s="245"/>
      <c r="BE100" s="245"/>
      <c r="BF100" s="245"/>
      <c r="BG100" s="245"/>
      <c r="BH100" s="246"/>
      <c r="BI100" s="246"/>
      <c r="BJ100" s="245">
        <v>3.6</v>
      </c>
      <c r="BK100" s="245">
        <v>3.28</v>
      </c>
      <c r="BL100" s="245">
        <v>2.12</v>
      </c>
      <c r="BM100" s="238"/>
      <c r="BN100" s="315">
        <f t="shared" si="11"/>
        <v>9</v>
      </c>
      <c r="BO100" s="316" t="s">
        <v>379</v>
      </c>
      <c r="BP100" s="317" t="s">
        <v>381</v>
      </c>
      <c r="BQ100" s="249">
        <f t="shared" si="10"/>
        <v>82</v>
      </c>
      <c r="BR100" s="250"/>
      <c r="BS100" s="250"/>
    </row>
    <row r="101" spans="1:71" ht="18">
      <c r="A101" s="245"/>
      <c r="B101" s="245"/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6"/>
      <c r="AA101" s="245"/>
      <c r="AB101" s="245"/>
      <c r="AC101" s="245"/>
      <c r="AD101" s="245"/>
      <c r="AE101" s="245"/>
      <c r="AF101" s="245"/>
      <c r="AG101" s="245"/>
      <c r="AH101" s="245"/>
      <c r="AI101" s="245"/>
      <c r="AJ101" s="245"/>
      <c r="AK101" s="245"/>
      <c r="AL101" s="245"/>
      <c r="AM101" s="245"/>
      <c r="AN101" s="245"/>
      <c r="AO101" s="245"/>
      <c r="AP101" s="245"/>
      <c r="AQ101" s="245"/>
      <c r="AR101" s="245"/>
      <c r="AS101" s="246"/>
      <c r="AT101" s="245"/>
      <c r="AU101" s="245"/>
      <c r="AV101" s="245"/>
      <c r="AW101" s="245"/>
      <c r="AX101" s="245"/>
      <c r="AY101" s="245"/>
      <c r="AZ101" s="245"/>
      <c r="BA101" s="245"/>
      <c r="BB101" s="245"/>
      <c r="BC101" s="245"/>
      <c r="BD101" s="245"/>
      <c r="BE101" s="245"/>
      <c r="BF101" s="245"/>
      <c r="BG101" s="245"/>
      <c r="BH101" s="246"/>
      <c r="BI101" s="246"/>
      <c r="BJ101" s="245">
        <v>3.6</v>
      </c>
      <c r="BK101" s="245">
        <v>3.28</v>
      </c>
      <c r="BL101" s="245">
        <v>2.12</v>
      </c>
      <c r="BM101" s="238"/>
      <c r="BN101" s="315">
        <f t="shared" si="11"/>
        <v>9</v>
      </c>
      <c r="BO101" s="316" t="s">
        <v>379</v>
      </c>
      <c r="BP101" s="317" t="s">
        <v>382</v>
      </c>
      <c r="BQ101" s="249">
        <f t="shared" si="10"/>
        <v>83</v>
      </c>
      <c r="BR101" s="250"/>
      <c r="BS101" s="250"/>
    </row>
    <row r="102" spans="1:71" ht="18">
      <c r="A102" s="245"/>
      <c r="B102" s="245"/>
      <c r="C102" s="245"/>
      <c r="D102" s="245"/>
      <c r="E102" s="245"/>
      <c r="F102" s="245"/>
      <c r="G102" s="245"/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6"/>
      <c r="AA102" s="245"/>
      <c r="AB102" s="245"/>
      <c r="AC102" s="245"/>
      <c r="AD102" s="245"/>
      <c r="AE102" s="245"/>
      <c r="AF102" s="245"/>
      <c r="AG102" s="245"/>
      <c r="AH102" s="245"/>
      <c r="AI102" s="245"/>
      <c r="AJ102" s="245"/>
      <c r="AK102" s="245"/>
      <c r="AL102" s="245"/>
      <c r="AM102" s="245"/>
      <c r="AN102" s="245"/>
      <c r="AO102" s="245"/>
      <c r="AP102" s="245"/>
      <c r="AQ102" s="245"/>
      <c r="AR102" s="245"/>
      <c r="AS102" s="246"/>
      <c r="AT102" s="245"/>
      <c r="AU102" s="245"/>
      <c r="AV102" s="245"/>
      <c r="AW102" s="245"/>
      <c r="AX102" s="245"/>
      <c r="AY102" s="245"/>
      <c r="AZ102" s="245"/>
      <c r="BA102" s="245"/>
      <c r="BB102" s="245"/>
      <c r="BC102" s="245"/>
      <c r="BD102" s="245"/>
      <c r="BE102" s="245"/>
      <c r="BF102" s="245"/>
      <c r="BG102" s="245"/>
      <c r="BH102" s="246">
        <v>2.86</v>
      </c>
      <c r="BI102" s="246"/>
      <c r="BJ102" s="245"/>
      <c r="BK102" s="245"/>
      <c r="BL102" s="245"/>
      <c r="BM102" s="238"/>
      <c r="BN102" s="315">
        <f t="shared" si="11"/>
        <v>2.86</v>
      </c>
      <c r="BO102" s="316" t="s">
        <v>383</v>
      </c>
      <c r="BP102" s="317" t="s">
        <v>384</v>
      </c>
      <c r="BQ102" s="249">
        <f t="shared" si="10"/>
        <v>84</v>
      </c>
      <c r="BR102" s="250"/>
      <c r="BS102" s="250"/>
    </row>
    <row r="103" spans="1:71" ht="18">
      <c r="A103" s="245"/>
      <c r="B103" s="245"/>
      <c r="C103" s="245"/>
      <c r="D103" s="245"/>
      <c r="E103" s="245"/>
      <c r="F103" s="245"/>
      <c r="G103" s="245"/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/>
      <c r="S103" s="245"/>
      <c r="T103" s="245"/>
      <c r="U103" s="245"/>
      <c r="V103" s="245"/>
      <c r="W103" s="245"/>
      <c r="X103" s="245"/>
      <c r="Y103" s="245"/>
      <c r="Z103" s="246"/>
      <c r="AA103" s="245"/>
      <c r="AB103" s="245"/>
      <c r="AC103" s="245"/>
      <c r="AD103" s="245"/>
      <c r="AE103" s="245"/>
      <c r="AF103" s="245"/>
      <c r="AG103" s="245"/>
      <c r="AH103" s="245"/>
      <c r="AI103" s="245"/>
      <c r="AJ103" s="245"/>
      <c r="AK103" s="245"/>
      <c r="AL103" s="245"/>
      <c r="AM103" s="245"/>
      <c r="AN103" s="245"/>
      <c r="AO103" s="245"/>
      <c r="AP103" s="245"/>
      <c r="AQ103" s="245"/>
      <c r="AR103" s="245"/>
      <c r="AS103" s="246"/>
      <c r="AT103" s="245"/>
      <c r="AU103" s="245"/>
      <c r="AV103" s="245"/>
      <c r="AW103" s="245"/>
      <c r="AX103" s="245"/>
      <c r="AY103" s="245"/>
      <c r="AZ103" s="245"/>
      <c r="BA103" s="245"/>
      <c r="BB103" s="245"/>
      <c r="BC103" s="245"/>
      <c r="BD103" s="245"/>
      <c r="BE103" s="245"/>
      <c r="BF103" s="245"/>
      <c r="BG103" s="245"/>
      <c r="BH103" s="246">
        <v>2.86</v>
      </c>
      <c r="BI103" s="246"/>
      <c r="BJ103" s="245"/>
      <c r="BK103" s="245"/>
      <c r="BL103" s="245"/>
      <c r="BM103" s="238"/>
      <c r="BN103" s="315">
        <f t="shared" si="11"/>
        <v>2.86</v>
      </c>
      <c r="BO103" s="316" t="s">
        <v>383</v>
      </c>
      <c r="BP103" s="317" t="s">
        <v>385</v>
      </c>
      <c r="BQ103" s="249">
        <f t="shared" si="10"/>
        <v>85</v>
      </c>
      <c r="BR103" s="250"/>
      <c r="BS103" s="250"/>
    </row>
    <row r="104" spans="1:71" ht="18">
      <c r="A104" s="245"/>
      <c r="B104" s="245"/>
      <c r="C104" s="245"/>
      <c r="D104" s="245"/>
      <c r="E104" s="245"/>
      <c r="F104" s="245"/>
      <c r="G104" s="245"/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/>
      <c r="S104" s="245"/>
      <c r="T104" s="245"/>
      <c r="U104" s="245"/>
      <c r="V104" s="245"/>
      <c r="W104" s="245"/>
      <c r="X104" s="245"/>
      <c r="Y104" s="245"/>
      <c r="Z104" s="246"/>
      <c r="AA104" s="245"/>
      <c r="AB104" s="245"/>
      <c r="AC104" s="245"/>
      <c r="AD104" s="245"/>
      <c r="AE104" s="245"/>
      <c r="AF104" s="245"/>
      <c r="AG104" s="245"/>
      <c r="AH104" s="245"/>
      <c r="AI104" s="245"/>
      <c r="AJ104" s="245"/>
      <c r="AK104" s="245"/>
      <c r="AL104" s="245"/>
      <c r="AM104" s="245"/>
      <c r="AN104" s="245"/>
      <c r="AO104" s="245"/>
      <c r="AP104" s="245"/>
      <c r="AQ104" s="245"/>
      <c r="AR104" s="245"/>
      <c r="AS104" s="246"/>
      <c r="AT104" s="245"/>
      <c r="AU104" s="245"/>
      <c r="AV104" s="245"/>
      <c r="AW104" s="245"/>
      <c r="AX104" s="245"/>
      <c r="AY104" s="245"/>
      <c r="AZ104" s="245"/>
      <c r="BA104" s="245"/>
      <c r="BB104" s="245"/>
      <c r="BC104" s="245"/>
      <c r="BD104" s="245"/>
      <c r="BE104" s="245"/>
      <c r="BF104" s="245"/>
      <c r="BG104" s="245"/>
      <c r="BH104" s="246">
        <v>2.86</v>
      </c>
      <c r="BI104" s="246"/>
      <c r="BJ104" s="245"/>
      <c r="BK104" s="245"/>
      <c r="BL104" s="245"/>
      <c r="BM104" s="238"/>
      <c r="BN104" s="315">
        <f t="shared" si="11"/>
        <v>2.86</v>
      </c>
      <c r="BO104" s="316" t="s">
        <v>383</v>
      </c>
      <c r="BP104" s="317" t="s">
        <v>386</v>
      </c>
      <c r="BQ104" s="249">
        <f t="shared" si="10"/>
        <v>86</v>
      </c>
      <c r="BR104" s="250"/>
      <c r="BS104" s="250"/>
    </row>
    <row r="105" spans="1:71" ht="18">
      <c r="A105" s="245"/>
      <c r="B105" s="245"/>
      <c r="C105" s="245"/>
      <c r="D105" s="245"/>
      <c r="E105" s="245"/>
      <c r="F105" s="245"/>
      <c r="G105" s="245"/>
      <c r="H105" s="245"/>
      <c r="I105" s="245"/>
      <c r="J105" s="245"/>
      <c r="K105" s="245"/>
      <c r="L105" s="245"/>
      <c r="M105" s="245"/>
      <c r="N105" s="245"/>
      <c r="O105" s="245"/>
      <c r="P105" s="245"/>
      <c r="Q105" s="245"/>
      <c r="R105" s="245"/>
      <c r="S105" s="245"/>
      <c r="T105" s="245"/>
      <c r="U105" s="245"/>
      <c r="V105" s="245"/>
      <c r="W105" s="245"/>
      <c r="X105" s="245"/>
      <c r="Y105" s="245"/>
      <c r="Z105" s="246"/>
      <c r="AA105" s="245"/>
      <c r="AB105" s="245"/>
      <c r="AC105" s="245"/>
      <c r="AD105" s="245"/>
      <c r="AE105" s="245"/>
      <c r="AF105" s="245"/>
      <c r="AG105" s="245"/>
      <c r="AH105" s="245"/>
      <c r="AI105" s="245"/>
      <c r="AJ105" s="245"/>
      <c r="AK105" s="245"/>
      <c r="AL105" s="245"/>
      <c r="AM105" s="245"/>
      <c r="AN105" s="245"/>
      <c r="AO105" s="245"/>
      <c r="AP105" s="245"/>
      <c r="AQ105" s="245"/>
      <c r="AR105" s="245"/>
      <c r="AS105" s="246"/>
      <c r="AT105" s="245"/>
      <c r="AU105" s="245"/>
      <c r="AV105" s="245"/>
      <c r="AW105" s="245"/>
      <c r="AX105" s="245"/>
      <c r="AY105" s="245"/>
      <c r="AZ105" s="245"/>
      <c r="BA105" s="245"/>
      <c r="BB105" s="245"/>
      <c r="BC105" s="245"/>
      <c r="BD105" s="245"/>
      <c r="BE105" s="245"/>
      <c r="BF105" s="245"/>
      <c r="BG105" s="245"/>
      <c r="BH105" s="246">
        <v>2.86</v>
      </c>
      <c r="BI105" s="246"/>
      <c r="BJ105" s="245"/>
      <c r="BK105" s="245"/>
      <c r="BL105" s="245"/>
      <c r="BM105" s="238"/>
      <c r="BN105" s="315">
        <f t="shared" si="11"/>
        <v>2.86</v>
      </c>
      <c r="BO105" s="316" t="s">
        <v>383</v>
      </c>
      <c r="BP105" s="317" t="s">
        <v>387</v>
      </c>
      <c r="BQ105" s="249">
        <f t="shared" si="10"/>
        <v>87</v>
      </c>
      <c r="BR105" s="250"/>
      <c r="BS105" s="250"/>
    </row>
    <row r="106" spans="1:71" ht="18">
      <c r="A106" s="245"/>
      <c r="B106" s="245"/>
      <c r="C106" s="245"/>
      <c r="D106" s="245"/>
      <c r="E106" s="245"/>
      <c r="F106" s="245"/>
      <c r="G106" s="245"/>
      <c r="H106" s="245"/>
      <c r="I106" s="245"/>
      <c r="J106" s="245"/>
      <c r="K106" s="245"/>
      <c r="L106" s="245"/>
      <c r="M106" s="245"/>
      <c r="N106" s="245"/>
      <c r="O106" s="245"/>
      <c r="P106" s="245"/>
      <c r="Q106" s="245"/>
      <c r="R106" s="245"/>
      <c r="S106" s="245"/>
      <c r="T106" s="245"/>
      <c r="U106" s="245"/>
      <c r="V106" s="245"/>
      <c r="W106" s="245"/>
      <c r="X106" s="245"/>
      <c r="Y106" s="245"/>
      <c r="Z106" s="246"/>
      <c r="AA106" s="245"/>
      <c r="AB106" s="245"/>
      <c r="AC106" s="245"/>
      <c r="AD106" s="245"/>
      <c r="AE106" s="245"/>
      <c r="AF106" s="245"/>
      <c r="AG106" s="245"/>
      <c r="AH106" s="245"/>
      <c r="AI106" s="245"/>
      <c r="AJ106" s="245"/>
      <c r="AK106" s="245"/>
      <c r="AL106" s="245"/>
      <c r="AM106" s="245"/>
      <c r="AN106" s="245"/>
      <c r="AO106" s="245"/>
      <c r="AP106" s="245"/>
      <c r="AQ106" s="245"/>
      <c r="AR106" s="245"/>
      <c r="AS106" s="246"/>
      <c r="AT106" s="245"/>
      <c r="AU106" s="245"/>
      <c r="AV106" s="245"/>
      <c r="AW106" s="245"/>
      <c r="AX106" s="245"/>
      <c r="AY106" s="245"/>
      <c r="AZ106" s="245"/>
      <c r="BA106" s="245"/>
      <c r="BB106" s="245"/>
      <c r="BC106" s="245"/>
      <c r="BD106" s="245"/>
      <c r="BE106" s="245"/>
      <c r="BF106" s="245"/>
      <c r="BG106" s="245"/>
      <c r="BH106" s="246">
        <v>2.86</v>
      </c>
      <c r="BI106" s="246"/>
      <c r="BJ106" s="245"/>
      <c r="BK106" s="245"/>
      <c r="BL106" s="245"/>
      <c r="BM106" s="238"/>
      <c r="BN106" s="315">
        <f t="shared" si="11"/>
        <v>2.86</v>
      </c>
      <c r="BO106" s="316" t="s">
        <v>383</v>
      </c>
      <c r="BP106" s="317" t="s">
        <v>388</v>
      </c>
      <c r="BQ106" s="249">
        <f t="shared" si="10"/>
        <v>88</v>
      </c>
      <c r="BR106" s="250"/>
      <c r="BS106" s="250"/>
    </row>
    <row r="107" spans="1:71" ht="18">
      <c r="A107" s="245"/>
      <c r="B107" s="245"/>
      <c r="C107" s="245"/>
      <c r="D107" s="245"/>
      <c r="E107" s="245"/>
      <c r="F107" s="245"/>
      <c r="G107" s="245"/>
      <c r="H107" s="245"/>
      <c r="I107" s="245"/>
      <c r="J107" s="245"/>
      <c r="K107" s="245"/>
      <c r="L107" s="245"/>
      <c r="M107" s="245"/>
      <c r="N107" s="245"/>
      <c r="O107" s="245"/>
      <c r="P107" s="245"/>
      <c r="Q107" s="245"/>
      <c r="R107" s="245"/>
      <c r="S107" s="245"/>
      <c r="T107" s="245"/>
      <c r="U107" s="245"/>
      <c r="V107" s="245"/>
      <c r="W107" s="245"/>
      <c r="X107" s="245"/>
      <c r="Y107" s="245"/>
      <c r="Z107" s="246"/>
      <c r="AA107" s="245"/>
      <c r="AB107" s="245"/>
      <c r="AC107" s="245"/>
      <c r="AD107" s="245"/>
      <c r="AE107" s="245"/>
      <c r="AF107" s="245"/>
      <c r="AG107" s="245"/>
      <c r="AH107" s="245"/>
      <c r="AI107" s="245"/>
      <c r="AJ107" s="245"/>
      <c r="AK107" s="245"/>
      <c r="AL107" s="245"/>
      <c r="AM107" s="245"/>
      <c r="AN107" s="245"/>
      <c r="AO107" s="245"/>
      <c r="AP107" s="245"/>
      <c r="AQ107" s="245"/>
      <c r="AR107" s="245"/>
      <c r="AS107" s="246"/>
      <c r="AT107" s="245"/>
      <c r="AU107" s="245"/>
      <c r="AV107" s="245"/>
      <c r="AW107" s="245"/>
      <c r="AX107" s="245"/>
      <c r="AY107" s="245"/>
      <c r="AZ107" s="245">
        <v>2.5</v>
      </c>
      <c r="BA107" s="245"/>
      <c r="BB107" s="245"/>
      <c r="BC107" s="245"/>
      <c r="BD107" s="245"/>
      <c r="BE107" s="245"/>
      <c r="BF107" s="245"/>
      <c r="BG107" s="245"/>
      <c r="BH107" s="246"/>
      <c r="BI107" s="246"/>
      <c r="BJ107" s="245"/>
      <c r="BK107" s="245"/>
      <c r="BL107" s="245"/>
      <c r="BM107" s="238"/>
      <c r="BN107" s="315">
        <f t="shared" si="11"/>
        <v>2.5</v>
      </c>
      <c r="BO107" s="316" t="s">
        <v>389</v>
      </c>
      <c r="BP107" s="317" t="s">
        <v>390</v>
      </c>
      <c r="BQ107" s="249">
        <f t="shared" si="10"/>
        <v>89</v>
      </c>
      <c r="BR107" s="250"/>
      <c r="BS107" s="250"/>
    </row>
    <row r="108" spans="1:71" ht="18">
      <c r="A108" s="245"/>
      <c r="B108" s="245"/>
      <c r="C108" s="245"/>
      <c r="D108" s="245"/>
      <c r="E108" s="245"/>
      <c r="F108" s="245"/>
      <c r="G108" s="245"/>
      <c r="H108" s="245"/>
      <c r="I108" s="245"/>
      <c r="J108" s="245"/>
      <c r="K108" s="245"/>
      <c r="L108" s="245"/>
      <c r="M108" s="245"/>
      <c r="N108" s="245"/>
      <c r="O108" s="245"/>
      <c r="P108" s="245"/>
      <c r="Q108" s="245"/>
      <c r="R108" s="245"/>
      <c r="S108" s="245"/>
      <c r="T108" s="245"/>
      <c r="U108" s="245"/>
      <c r="V108" s="245"/>
      <c r="W108" s="245"/>
      <c r="X108" s="245"/>
      <c r="Y108" s="245"/>
      <c r="Z108" s="246"/>
      <c r="AA108" s="245"/>
      <c r="AB108" s="245"/>
      <c r="AC108" s="245"/>
      <c r="AD108" s="245"/>
      <c r="AE108" s="245"/>
      <c r="AF108" s="245"/>
      <c r="AG108" s="245"/>
      <c r="AH108" s="245"/>
      <c r="AI108" s="245"/>
      <c r="AJ108" s="245"/>
      <c r="AK108" s="245"/>
      <c r="AL108" s="245"/>
      <c r="AM108" s="245"/>
      <c r="AN108" s="245"/>
      <c r="AO108" s="245"/>
      <c r="AP108" s="245"/>
      <c r="AQ108" s="245"/>
      <c r="AR108" s="245"/>
      <c r="AS108" s="246"/>
      <c r="AT108" s="245"/>
      <c r="AU108" s="245"/>
      <c r="AV108" s="245"/>
      <c r="AW108" s="245"/>
      <c r="AX108" s="245"/>
      <c r="AY108" s="245"/>
      <c r="AZ108" s="245">
        <v>2.5</v>
      </c>
      <c r="BA108" s="245"/>
      <c r="BB108" s="245"/>
      <c r="BC108" s="245"/>
      <c r="BD108" s="245"/>
      <c r="BE108" s="245"/>
      <c r="BF108" s="245"/>
      <c r="BG108" s="245"/>
      <c r="BH108" s="246"/>
      <c r="BI108" s="246"/>
      <c r="BJ108" s="245"/>
      <c r="BK108" s="245"/>
      <c r="BL108" s="245"/>
      <c r="BM108" s="238"/>
      <c r="BN108" s="315">
        <f t="shared" si="11"/>
        <v>2.5</v>
      </c>
      <c r="BO108" s="316" t="s">
        <v>389</v>
      </c>
      <c r="BP108" s="317" t="s">
        <v>391</v>
      </c>
      <c r="BQ108" s="249">
        <f t="shared" si="10"/>
        <v>90</v>
      </c>
      <c r="BR108" s="250"/>
      <c r="BS108" s="250"/>
    </row>
    <row r="109" spans="1:71" ht="18">
      <c r="A109" s="245"/>
      <c r="B109" s="245"/>
      <c r="C109" s="245"/>
      <c r="D109" s="245"/>
      <c r="E109" s="245"/>
      <c r="F109" s="245"/>
      <c r="G109" s="245"/>
      <c r="H109" s="245"/>
      <c r="I109" s="245"/>
      <c r="J109" s="245"/>
      <c r="K109" s="245"/>
      <c r="L109" s="245"/>
      <c r="M109" s="245"/>
      <c r="N109" s="245"/>
      <c r="O109" s="245"/>
      <c r="P109" s="245"/>
      <c r="Q109" s="245"/>
      <c r="R109" s="245"/>
      <c r="S109" s="245"/>
      <c r="T109" s="245"/>
      <c r="U109" s="245"/>
      <c r="V109" s="245"/>
      <c r="W109" s="245"/>
      <c r="X109" s="245"/>
      <c r="Y109" s="245"/>
      <c r="Z109" s="246"/>
      <c r="AA109" s="245"/>
      <c r="AB109" s="245"/>
      <c r="AC109" s="245"/>
      <c r="AD109" s="245"/>
      <c r="AE109" s="245"/>
      <c r="AF109" s="245"/>
      <c r="AG109" s="245"/>
      <c r="AH109" s="245"/>
      <c r="AI109" s="245"/>
      <c r="AJ109" s="245"/>
      <c r="AK109" s="245"/>
      <c r="AL109" s="245"/>
      <c r="AM109" s="245"/>
      <c r="AN109" s="245"/>
      <c r="AO109" s="245"/>
      <c r="AP109" s="245"/>
      <c r="AQ109" s="245"/>
      <c r="AR109" s="245"/>
      <c r="AS109" s="246"/>
      <c r="AT109" s="245"/>
      <c r="AU109" s="245"/>
      <c r="AV109" s="245"/>
      <c r="AW109" s="245"/>
      <c r="AX109" s="245"/>
      <c r="AY109" s="245"/>
      <c r="AZ109" s="245">
        <v>2.5</v>
      </c>
      <c r="BA109" s="245"/>
      <c r="BB109" s="245"/>
      <c r="BC109" s="245"/>
      <c r="BD109" s="245"/>
      <c r="BE109" s="245"/>
      <c r="BF109" s="245"/>
      <c r="BG109" s="245"/>
      <c r="BH109" s="246"/>
      <c r="BI109" s="246"/>
      <c r="BJ109" s="245"/>
      <c r="BK109" s="245"/>
      <c r="BL109" s="245"/>
      <c r="BM109" s="238"/>
      <c r="BN109" s="315">
        <f t="shared" si="11"/>
        <v>2.5</v>
      </c>
      <c r="BO109" s="316" t="s">
        <v>389</v>
      </c>
      <c r="BP109" s="317" t="s">
        <v>392</v>
      </c>
      <c r="BQ109" s="249">
        <f t="shared" si="10"/>
        <v>91</v>
      </c>
      <c r="BR109" s="250"/>
      <c r="BS109" s="250"/>
    </row>
    <row r="110" spans="1:71" ht="18">
      <c r="A110" s="245"/>
      <c r="B110" s="245"/>
      <c r="C110" s="245"/>
      <c r="D110" s="245"/>
      <c r="E110" s="245"/>
      <c r="F110" s="245"/>
      <c r="G110" s="245"/>
      <c r="H110" s="245"/>
      <c r="I110" s="245"/>
      <c r="J110" s="245"/>
      <c r="K110" s="245"/>
      <c r="L110" s="245"/>
      <c r="M110" s="245"/>
      <c r="N110" s="245"/>
      <c r="O110" s="245"/>
      <c r="P110" s="245"/>
      <c r="Q110" s="245"/>
      <c r="R110" s="245"/>
      <c r="S110" s="245"/>
      <c r="T110" s="245"/>
      <c r="U110" s="245"/>
      <c r="V110" s="245"/>
      <c r="W110" s="245"/>
      <c r="X110" s="245"/>
      <c r="Y110" s="245"/>
      <c r="Z110" s="246"/>
      <c r="AA110" s="245"/>
      <c r="AB110" s="245"/>
      <c r="AC110" s="245"/>
      <c r="AD110" s="245"/>
      <c r="AE110" s="245"/>
      <c r="AF110" s="245"/>
      <c r="AG110" s="245"/>
      <c r="AH110" s="245"/>
      <c r="AI110" s="245"/>
      <c r="AJ110" s="245"/>
      <c r="AK110" s="245"/>
      <c r="AL110" s="245"/>
      <c r="AM110" s="245"/>
      <c r="AN110" s="245"/>
      <c r="AO110" s="245"/>
      <c r="AP110" s="245"/>
      <c r="AQ110" s="245"/>
      <c r="AR110" s="245"/>
      <c r="AS110" s="246"/>
      <c r="AT110" s="245"/>
      <c r="AU110" s="245"/>
      <c r="AV110" s="245"/>
      <c r="AW110" s="245"/>
      <c r="AX110" s="245"/>
      <c r="AY110" s="245"/>
      <c r="AZ110" s="245"/>
      <c r="BA110" s="245"/>
      <c r="BB110" s="245"/>
      <c r="BC110" s="245"/>
      <c r="BD110" s="245"/>
      <c r="BE110" s="245"/>
      <c r="BF110" s="245"/>
      <c r="BG110" s="245"/>
      <c r="BH110" s="246"/>
      <c r="BI110" s="246">
        <v>5.76</v>
      </c>
      <c r="BJ110" s="245"/>
      <c r="BK110" s="245"/>
      <c r="BL110" s="245"/>
      <c r="BM110" s="238"/>
      <c r="BN110" s="315">
        <f t="shared" si="11"/>
        <v>5.76</v>
      </c>
      <c r="BO110" s="316" t="s">
        <v>393</v>
      </c>
      <c r="BP110" s="317" t="s">
        <v>394</v>
      </c>
      <c r="BQ110" s="249">
        <f t="shared" si="10"/>
        <v>92</v>
      </c>
      <c r="BR110" s="250"/>
      <c r="BS110" s="250"/>
    </row>
    <row r="111" spans="1:71" ht="18">
      <c r="A111" s="245"/>
      <c r="B111" s="245"/>
      <c r="C111" s="245"/>
      <c r="D111" s="245"/>
      <c r="E111" s="245"/>
      <c r="F111" s="245"/>
      <c r="G111" s="245"/>
      <c r="H111" s="245"/>
      <c r="I111" s="245"/>
      <c r="J111" s="245"/>
      <c r="K111" s="245"/>
      <c r="L111" s="245"/>
      <c r="M111" s="245"/>
      <c r="N111" s="245"/>
      <c r="O111" s="245"/>
      <c r="P111" s="245"/>
      <c r="Q111" s="245"/>
      <c r="R111" s="245"/>
      <c r="S111" s="245"/>
      <c r="T111" s="245"/>
      <c r="U111" s="245"/>
      <c r="V111" s="245"/>
      <c r="W111" s="245"/>
      <c r="X111" s="245"/>
      <c r="Y111" s="245"/>
      <c r="Z111" s="246"/>
      <c r="AA111" s="245"/>
      <c r="AB111" s="245"/>
      <c r="AC111" s="245"/>
      <c r="AD111" s="245"/>
      <c r="AE111" s="245"/>
      <c r="AF111" s="245"/>
      <c r="AG111" s="245"/>
      <c r="AH111" s="245"/>
      <c r="AI111" s="245"/>
      <c r="AJ111" s="245"/>
      <c r="AK111" s="245"/>
      <c r="AL111" s="245"/>
      <c r="AM111" s="245"/>
      <c r="AN111" s="245"/>
      <c r="AO111" s="245"/>
      <c r="AP111" s="245"/>
      <c r="AQ111" s="245"/>
      <c r="AR111" s="245"/>
      <c r="AS111" s="246"/>
      <c r="AT111" s="245"/>
      <c r="AU111" s="245"/>
      <c r="AV111" s="245"/>
      <c r="AW111" s="245"/>
      <c r="AX111" s="245"/>
      <c r="AY111" s="245"/>
      <c r="AZ111" s="245"/>
      <c r="BA111" s="245"/>
      <c r="BB111" s="245"/>
      <c r="BC111" s="245"/>
      <c r="BD111" s="245"/>
      <c r="BE111" s="245"/>
      <c r="BF111" s="245"/>
      <c r="BG111" s="245"/>
      <c r="BH111" s="246"/>
      <c r="BI111" s="246">
        <v>5.76</v>
      </c>
      <c r="BJ111" s="245"/>
      <c r="BK111" s="245"/>
      <c r="BL111" s="245"/>
      <c r="BM111" s="238"/>
      <c r="BN111" s="315">
        <f t="shared" si="11"/>
        <v>5.76</v>
      </c>
      <c r="BO111" s="316" t="s">
        <v>393</v>
      </c>
      <c r="BP111" s="317" t="s">
        <v>395</v>
      </c>
      <c r="BQ111" s="249">
        <f t="shared" si="10"/>
        <v>93</v>
      </c>
      <c r="BR111" s="250"/>
      <c r="BS111" s="250"/>
    </row>
    <row r="112" spans="1:71" ht="18">
      <c r="A112" s="245"/>
      <c r="B112" s="245"/>
      <c r="C112" s="245"/>
      <c r="D112" s="245"/>
      <c r="E112" s="245"/>
      <c r="F112" s="245"/>
      <c r="G112" s="245"/>
      <c r="H112" s="245"/>
      <c r="I112" s="245"/>
      <c r="J112" s="245"/>
      <c r="K112" s="245"/>
      <c r="L112" s="245"/>
      <c r="M112" s="245"/>
      <c r="N112" s="245"/>
      <c r="O112" s="245"/>
      <c r="P112" s="245"/>
      <c r="Q112" s="245"/>
      <c r="R112" s="245"/>
      <c r="S112" s="245"/>
      <c r="T112" s="245"/>
      <c r="U112" s="245"/>
      <c r="V112" s="245"/>
      <c r="W112" s="245"/>
      <c r="X112" s="245"/>
      <c r="Y112" s="245"/>
      <c r="Z112" s="246"/>
      <c r="AA112" s="245"/>
      <c r="AB112" s="245"/>
      <c r="AC112" s="245"/>
      <c r="AD112" s="245"/>
      <c r="AE112" s="245"/>
      <c r="AF112" s="245"/>
      <c r="AG112" s="245"/>
      <c r="AH112" s="245"/>
      <c r="AI112" s="245"/>
      <c r="AJ112" s="245"/>
      <c r="AK112" s="245"/>
      <c r="AL112" s="245"/>
      <c r="AM112" s="245"/>
      <c r="AN112" s="245"/>
      <c r="AO112" s="245"/>
      <c r="AP112" s="245"/>
      <c r="AQ112" s="245"/>
      <c r="AR112" s="245"/>
      <c r="AS112" s="246"/>
      <c r="AT112" s="245"/>
      <c r="AU112" s="245"/>
      <c r="AV112" s="245"/>
      <c r="AW112" s="245"/>
      <c r="AX112" s="245"/>
      <c r="AY112" s="245"/>
      <c r="AZ112" s="245"/>
      <c r="BA112" s="245">
        <v>3.98</v>
      </c>
      <c r="BB112" s="245"/>
      <c r="BC112" s="245"/>
      <c r="BD112" s="245"/>
      <c r="BE112" s="245"/>
      <c r="BF112" s="245"/>
      <c r="BG112" s="245"/>
      <c r="BH112" s="246"/>
      <c r="BI112" s="246"/>
      <c r="BJ112" s="245"/>
      <c r="BK112" s="245"/>
      <c r="BL112" s="245"/>
      <c r="BM112" s="238"/>
      <c r="BN112" s="315">
        <f t="shared" si="11"/>
        <v>3.98</v>
      </c>
      <c r="BO112" s="316" t="s">
        <v>396</v>
      </c>
      <c r="BP112" s="317" t="s">
        <v>397</v>
      </c>
      <c r="BQ112" s="249">
        <f t="shared" si="10"/>
        <v>94</v>
      </c>
      <c r="BR112" s="250"/>
      <c r="BS112" s="250"/>
    </row>
    <row r="113" spans="1:71" ht="18">
      <c r="A113" s="245"/>
      <c r="B113" s="245"/>
      <c r="C113" s="245"/>
      <c r="D113" s="245"/>
      <c r="E113" s="245"/>
      <c r="F113" s="245"/>
      <c r="G113" s="245"/>
      <c r="H113" s="245"/>
      <c r="I113" s="245"/>
      <c r="J113" s="245"/>
      <c r="K113" s="245"/>
      <c r="L113" s="245"/>
      <c r="M113" s="245"/>
      <c r="N113" s="245"/>
      <c r="O113" s="245"/>
      <c r="P113" s="245"/>
      <c r="Q113" s="245"/>
      <c r="R113" s="245"/>
      <c r="S113" s="245"/>
      <c r="T113" s="245"/>
      <c r="U113" s="245"/>
      <c r="V113" s="245"/>
      <c r="W113" s="245"/>
      <c r="X113" s="245"/>
      <c r="Y113" s="245"/>
      <c r="Z113" s="246"/>
      <c r="AA113" s="245"/>
      <c r="AB113" s="245"/>
      <c r="AC113" s="245"/>
      <c r="AD113" s="245"/>
      <c r="AE113" s="245"/>
      <c r="AF113" s="245"/>
      <c r="AG113" s="245"/>
      <c r="AH113" s="245"/>
      <c r="AI113" s="245"/>
      <c r="AJ113" s="245"/>
      <c r="AK113" s="245"/>
      <c r="AL113" s="245"/>
      <c r="AM113" s="245"/>
      <c r="AN113" s="245"/>
      <c r="AO113" s="245"/>
      <c r="AP113" s="245"/>
      <c r="AQ113" s="245"/>
      <c r="AR113" s="245"/>
      <c r="AS113" s="246"/>
      <c r="AT113" s="245"/>
      <c r="AU113" s="245"/>
      <c r="AV113" s="245"/>
      <c r="AW113" s="245"/>
      <c r="AX113" s="245"/>
      <c r="AY113" s="245"/>
      <c r="AZ113" s="245"/>
      <c r="BA113" s="245">
        <v>3.98</v>
      </c>
      <c r="BB113" s="245"/>
      <c r="BC113" s="245"/>
      <c r="BD113" s="245"/>
      <c r="BE113" s="245"/>
      <c r="BF113" s="245"/>
      <c r="BG113" s="245"/>
      <c r="BH113" s="246"/>
      <c r="BI113" s="246"/>
      <c r="BJ113" s="245"/>
      <c r="BK113" s="245"/>
      <c r="BL113" s="245"/>
      <c r="BM113" s="238"/>
      <c r="BN113" s="315">
        <f t="shared" si="11"/>
        <v>3.98</v>
      </c>
      <c r="BO113" s="316" t="s">
        <v>396</v>
      </c>
      <c r="BP113" s="317" t="s">
        <v>398</v>
      </c>
      <c r="BQ113" s="249">
        <f t="shared" si="10"/>
        <v>95</v>
      </c>
      <c r="BR113" s="250"/>
      <c r="BS113" s="250"/>
    </row>
    <row r="114" spans="1:71" ht="18">
      <c r="A114" s="245"/>
      <c r="B114" s="245"/>
      <c r="C114" s="245"/>
      <c r="D114" s="245"/>
      <c r="E114" s="245"/>
      <c r="F114" s="245"/>
      <c r="G114" s="245"/>
      <c r="H114" s="245"/>
      <c r="I114" s="245"/>
      <c r="J114" s="245"/>
      <c r="K114" s="245"/>
      <c r="L114" s="245"/>
      <c r="M114" s="245"/>
      <c r="N114" s="245"/>
      <c r="O114" s="245"/>
      <c r="P114" s="245"/>
      <c r="Q114" s="245"/>
      <c r="R114" s="245"/>
      <c r="S114" s="245"/>
      <c r="T114" s="245"/>
      <c r="U114" s="245"/>
      <c r="V114" s="245"/>
      <c r="W114" s="245"/>
      <c r="X114" s="245"/>
      <c r="Y114" s="245"/>
      <c r="Z114" s="246"/>
      <c r="AA114" s="245"/>
      <c r="AB114" s="245"/>
      <c r="AC114" s="245"/>
      <c r="AD114" s="245"/>
      <c r="AE114" s="245"/>
      <c r="AF114" s="245"/>
      <c r="AG114" s="245"/>
      <c r="AH114" s="245"/>
      <c r="AI114" s="245"/>
      <c r="AJ114" s="245"/>
      <c r="AK114" s="245"/>
      <c r="AL114" s="245"/>
      <c r="AM114" s="245"/>
      <c r="AN114" s="245"/>
      <c r="AO114" s="245"/>
      <c r="AP114" s="245"/>
      <c r="AQ114" s="245"/>
      <c r="AR114" s="245"/>
      <c r="AS114" s="246"/>
      <c r="AT114" s="245"/>
      <c r="AU114" s="245"/>
      <c r="AV114" s="245"/>
      <c r="AW114" s="245"/>
      <c r="AX114" s="245"/>
      <c r="AY114" s="245"/>
      <c r="AZ114" s="245"/>
      <c r="BA114" s="245">
        <v>3.98</v>
      </c>
      <c r="BB114" s="245"/>
      <c r="BC114" s="245"/>
      <c r="BD114" s="245"/>
      <c r="BE114" s="245"/>
      <c r="BF114" s="245"/>
      <c r="BG114" s="245"/>
      <c r="BH114" s="246"/>
      <c r="BI114" s="246"/>
      <c r="BJ114" s="245"/>
      <c r="BK114" s="245"/>
      <c r="BL114" s="245"/>
      <c r="BM114" s="238"/>
      <c r="BN114" s="315">
        <f t="shared" si="11"/>
        <v>3.98</v>
      </c>
      <c r="BO114" s="316" t="s">
        <v>396</v>
      </c>
      <c r="BP114" s="317" t="s">
        <v>399</v>
      </c>
      <c r="BQ114" s="249">
        <f t="shared" si="10"/>
        <v>96</v>
      </c>
      <c r="BR114" s="250"/>
      <c r="BS114" s="250"/>
    </row>
    <row r="115" spans="1:71" ht="18">
      <c r="A115" s="245"/>
      <c r="B115" s="245"/>
      <c r="C115" s="245"/>
      <c r="D115" s="245"/>
      <c r="E115" s="245"/>
      <c r="F115" s="245"/>
      <c r="G115" s="245"/>
      <c r="H115" s="245"/>
      <c r="I115" s="245"/>
      <c r="J115" s="245"/>
      <c r="K115" s="245"/>
      <c r="L115" s="245"/>
      <c r="M115" s="245"/>
      <c r="N115" s="245"/>
      <c r="O115" s="245"/>
      <c r="P115" s="245"/>
      <c r="Q115" s="245"/>
      <c r="R115" s="245"/>
      <c r="S115" s="245"/>
      <c r="T115" s="245"/>
      <c r="U115" s="245"/>
      <c r="V115" s="245"/>
      <c r="W115" s="245"/>
      <c r="X115" s="245"/>
      <c r="Y115" s="245"/>
      <c r="Z115" s="246"/>
      <c r="AA115" s="245"/>
      <c r="AB115" s="245"/>
      <c r="AC115" s="245"/>
      <c r="AD115" s="245"/>
      <c r="AE115" s="245"/>
      <c r="AF115" s="245"/>
      <c r="AG115" s="245"/>
      <c r="AH115" s="245"/>
      <c r="AI115" s="245"/>
      <c r="AJ115" s="245"/>
      <c r="AK115" s="245"/>
      <c r="AL115" s="245"/>
      <c r="AM115" s="245"/>
      <c r="AN115" s="245"/>
      <c r="AO115" s="245"/>
      <c r="AP115" s="245"/>
      <c r="AQ115" s="245"/>
      <c r="AR115" s="245"/>
      <c r="AS115" s="246">
        <v>10.210000000000001</v>
      </c>
      <c r="AT115" s="245"/>
      <c r="AU115" s="245"/>
      <c r="AV115" s="245"/>
      <c r="AW115" s="245"/>
      <c r="AX115" s="245"/>
      <c r="AY115" s="245"/>
      <c r="AZ115" s="245"/>
      <c r="BA115" s="245"/>
      <c r="BB115" s="245"/>
      <c r="BC115" s="245"/>
      <c r="BD115" s="245"/>
      <c r="BE115" s="245"/>
      <c r="BF115" s="245"/>
      <c r="BG115" s="245"/>
      <c r="BH115" s="246"/>
      <c r="BI115" s="246"/>
      <c r="BJ115" s="245"/>
      <c r="BK115" s="245"/>
      <c r="BL115" s="245"/>
      <c r="BM115" s="238"/>
      <c r="BN115" s="315">
        <f t="shared" si="11"/>
        <v>10.210000000000001</v>
      </c>
      <c r="BO115" s="316" t="s">
        <v>400</v>
      </c>
      <c r="BP115" s="317" t="s">
        <v>401</v>
      </c>
      <c r="BQ115" s="249">
        <f t="shared" si="10"/>
        <v>97</v>
      </c>
      <c r="BR115" s="250"/>
      <c r="BS115" s="250"/>
    </row>
    <row r="116" spans="1:71" ht="18">
      <c r="A116" s="245"/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245"/>
      <c r="Z116" s="246"/>
      <c r="AA116" s="245"/>
      <c r="AB116" s="245"/>
      <c r="AC116" s="245"/>
      <c r="AD116" s="245"/>
      <c r="AE116" s="245"/>
      <c r="AF116" s="245"/>
      <c r="AG116" s="245"/>
      <c r="AH116" s="245"/>
      <c r="AI116" s="245"/>
      <c r="AJ116" s="245"/>
      <c r="AK116" s="245"/>
      <c r="AL116" s="245"/>
      <c r="AM116" s="245"/>
      <c r="AN116" s="245"/>
      <c r="AO116" s="245"/>
      <c r="AP116" s="245"/>
      <c r="AQ116" s="245"/>
      <c r="AR116" s="245"/>
      <c r="AS116" s="246">
        <v>10.210000000000001</v>
      </c>
      <c r="AT116" s="245"/>
      <c r="AU116" s="245"/>
      <c r="AV116" s="245"/>
      <c r="AW116" s="245"/>
      <c r="AX116" s="245"/>
      <c r="AY116" s="245"/>
      <c r="AZ116" s="245"/>
      <c r="BA116" s="245"/>
      <c r="BB116" s="245"/>
      <c r="BC116" s="245"/>
      <c r="BD116" s="245"/>
      <c r="BE116" s="245"/>
      <c r="BF116" s="245"/>
      <c r="BG116" s="245"/>
      <c r="BH116" s="246"/>
      <c r="BI116" s="246"/>
      <c r="BJ116" s="245"/>
      <c r="BK116" s="245"/>
      <c r="BL116" s="245"/>
      <c r="BM116" s="238"/>
      <c r="BN116" s="315">
        <f t="shared" si="11"/>
        <v>10.210000000000001</v>
      </c>
      <c r="BO116" s="316" t="s">
        <v>400</v>
      </c>
      <c r="BP116" s="317" t="s">
        <v>402</v>
      </c>
      <c r="BQ116" s="249">
        <f t="shared" si="10"/>
        <v>98</v>
      </c>
      <c r="BR116" s="250"/>
      <c r="BS116" s="250"/>
    </row>
    <row r="117" spans="1:71" ht="18">
      <c r="A117" s="245"/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245"/>
      <c r="Z117" s="246"/>
      <c r="AA117" s="245"/>
      <c r="AB117" s="245"/>
      <c r="AC117" s="245"/>
      <c r="AD117" s="245"/>
      <c r="AE117" s="245"/>
      <c r="AF117" s="245"/>
      <c r="AG117" s="245"/>
      <c r="AH117" s="245"/>
      <c r="AI117" s="245"/>
      <c r="AJ117" s="245"/>
      <c r="AK117" s="245"/>
      <c r="AL117" s="245"/>
      <c r="AM117" s="245"/>
      <c r="AN117" s="245"/>
      <c r="AO117" s="245"/>
      <c r="AP117" s="245"/>
      <c r="AQ117" s="245"/>
      <c r="AR117" s="245"/>
      <c r="AS117" s="246">
        <v>10.210000000000001</v>
      </c>
      <c r="AT117" s="245"/>
      <c r="AU117" s="245"/>
      <c r="AV117" s="245"/>
      <c r="AW117" s="245"/>
      <c r="AX117" s="245"/>
      <c r="AY117" s="245"/>
      <c r="AZ117" s="245"/>
      <c r="BA117" s="245"/>
      <c r="BB117" s="245"/>
      <c r="BC117" s="245"/>
      <c r="BD117" s="245"/>
      <c r="BE117" s="245"/>
      <c r="BF117" s="245"/>
      <c r="BG117" s="245"/>
      <c r="BH117" s="246"/>
      <c r="BI117" s="246"/>
      <c r="BJ117" s="245"/>
      <c r="BK117" s="245"/>
      <c r="BL117" s="245"/>
      <c r="BM117" s="238"/>
      <c r="BN117" s="315">
        <f t="shared" si="11"/>
        <v>10.210000000000001</v>
      </c>
      <c r="BO117" s="316" t="s">
        <v>400</v>
      </c>
      <c r="BP117" s="317" t="s">
        <v>403</v>
      </c>
      <c r="BQ117" s="249">
        <f t="shared" si="10"/>
        <v>99</v>
      </c>
      <c r="BR117" s="250"/>
      <c r="BS117" s="250"/>
    </row>
    <row r="118" spans="1:71" ht="18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  <c r="P118" s="245"/>
      <c r="Q118" s="245"/>
      <c r="R118" s="245"/>
      <c r="S118" s="245"/>
      <c r="T118" s="245"/>
      <c r="U118" s="245"/>
      <c r="V118" s="245"/>
      <c r="W118" s="245"/>
      <c r="X118" s="245"/>
      <c r="Y118" s="245"/>
      <c r="Z118" s="246"/>
      <c r="AA118" s="245"/>
      <c r="AB118" s="245"/>
      <c r="AC118" s="245"/>
      <c r="AD118" s="245"/>
      <c r="AE118" s="245"/>
      <c r="AF118" s="245"/>
      <c r="AG118" s="245"/>
      <c r="AH118" s="245"/>
      <c r="AI118" s="245"/>
      <c r="AJ118" s="245"/>
      <c r="AK118" s="245"/>
      <c r="AL118" s="245"/>
      <c r="AM118" s="245"/>
      <c r="AN118" s="245"/>
      <c r="AO118" s="245"/>
      <c r="AP118" s="245"/>
      <c r="AQ118" s="245"/>
      <c r="AR118" s="245"/>
      <c r="AS118" s="246">
        <v>10.210000000000001</v>
      </c>
      <c r="AT118" s="245"/>
      <c r="AU118" s="245"/>
      <c r="AV118" s="245"/>
      <c r="AW118" s="245"/>
      <c r="AX118" s="245"/>
      <c r="AY118" s="245"/>
      <c r="AZ118" s="245"/>
      <c r="BA118" s="245"/>
      <c r="BB118" s="245"/>
      <c r="BC118" s="245"/>
      <c r="BD118" s="245"/>
      <c r="BE118" s="245"/>
      <c r="BF118" s="245"/>
      <c r="BG118" s="245"/>
      <c r="BH118" s="246"/>
      <c r="BI118" s="246"/>
      <c r="BJ118" s="245"/>
      <c r="BK118" s="245"/>
      <c r="BL118" s="245"/>
      <c r="BM118" s="238"/>
      <c r="BN118" s="315">
        <f t="shared" si="11"/>
        <v>10.210000000000001</v>
      </c>
      <c r="BO118" s="316" t="s">
        <v>400</v>
      </c>
      <c r="BP118" s="317" t="s">
        <v>404</v>
      </c>
      <c r="BQ118" s="249">
        <f t="shared" si="10"/>
        <v>100</v>
      </c>
      <c r="BR118" s="250"/>
      <c r="BS118" s="250"/>
    </row>
    <row r="119" spans="1:71" ht="18">
      <c r="A119" s="245"/>
      <c r="B119" s="245"/>
      <c r="C119" s="245"/>
      <c r="D119" s="245"/>
      <c r="E119" s="245"/>
      <c r="F119" s="245"/>
      <c r="G119" s="245"/>
      <c r="H119" s="245"/>
      <c r="I119" s="245"/>
      <c r="J119" s="245"/>
      <c r="K119" s="245"/>
      <c r="L119" s="245"/>
      <c r="M119" s="245"/>
      <c r="N119" s="245"/>
      <c r="O119" s="245"/>
      <c r="P119" s="245"/>
      <c r="Q119" s="245"/>
      <c r="R119" s="245"/>
      <c r="S119" s="245"/>
      <c r="T119" s="245"/>
      <c r="U119" s="245"/>
      <c r="V119" s="245"/>
      <c r="W119" s="245"/>
      <c r="X119" s="245"/>
      <c r="Y119" s="245"/>
      <c r="Z119" s="246"/>
      <c r="AA119" s="245"/>
      <c r="AB119" s="245"/>
      <c r="AC119" s="245"/>
      <c r="AD119" s="245"/>
      <c r="AE119" s="245"/>
      <c r="AF119" s="245"/>
      <c r="AG119" s="245"/>
      <c r="AH119" s="245"/>
      <c r="AI119" s="245"/>
      <c r="AJ119" s="245"/>
      <c r="AK119" s="245"/>
      <c r="AL119" s="245"/>
      <c r="AM119" s="245"/>
      <c r="AN119" s="245"/>
      <c r="AO119" s="245"/>
      <c r="AP119" s="245"/>
      <c r="AQ119" s="245"/>
      <c r="AR119" s="245"/>
      <c r="AS119" s="246">
        <v>10.210000000000001</v>
      </c>
      <c r="AT119" s="245"/>
      <c r="AU119" s="245"/>
      <c r="AV119" s="245"/>
      <c r="AW119" s="245"/>
      <c r="AX119" s="245"/>
      <c r="AY119" s="245"/>
      <c r="AZ119" s="245"/>
      <c r="BA119" s="245"/>
      <c r="BB119" s="245"/>
      <c r="BC119" s="245"/>
      <c r="BD119" s="245"/>
      <c r="BE119" s="245"/>
      <c r="BF119" s="245"/>
      <c r="BG119" s="245"/>
      <c r="BH119" s="246"/>
      <c r="BI119" s="246"/>
      <c r="BJ119" s="245"/>
      <c r="BK119" s="245"/>
      <c r="BL119" s="245"/>
      <c r="BM119" s="238"/>
      <c r="BN119" s="315">
        <f t="shared" si="11"/>
        <v>10.210000000000001</v>
      </c>
      <c r="BO119" s="316" t="s">
        <v>400</v>
      </c>
      <c r="BP119" s="317" t="s">
        <v>405</v>
      </c>
      <c r="BQ119" s="249">
        <f t="shared" si="10"/>
        <v>101</v>
      </c>
      <c r="BR119" s="250"/>
      <c r="BS119" s="250"/>
    </row>
    <row r="120" spans="1:71" ht="18">
      <c r="A120" s="245"/>
      <c r="B120" s="245"/>
      <c r="C120" s="245"/>
      <c r="D120" s="245"/>
      <c r="E120" s="245"/>
      <c r="F120" s="245"/>
      <c r="G120" s="245"/>
      <c r="H120" s="245"/>
      <c r="I120" s="245"/>
      <c r="J120" s="245"/>
      <c r="K120" s="245"/>
      <c r="L120" s="245"/>
      <c r="M120" s="245"/>
      <c r="N120" s="245"/>
      <c r="O120" s="245"/>
      <c r="P120" s="245"/>
      <c r="Q120" s="245"/>
      <c r="R120" s="245"/>
      <c r="S120" s="245"/>
      <c r="T120" s="245"/>
      <c r="U120" s="245"/>
      <c r="V120" s="245"/>
      <c r="W120" s="245"/>
      <c r="X120" s="245"/>
      <c r="Y120" s="245"/>
      <c r="Z120" s="246"/>
      <c r="AA120" s="245"/>
      <c r="AB120" s="245"/>
      <c r="AC120" s="245"/>
      <c r="AD120" s="245"/>
      <c r="AE120" s="245"/>
      <c r="AF120" s="245"/>
      <c r="AG120" s="245"/>
      <c r="AH120" s="245"/>
      <c r="AI120" s="245"/>
      <c r="AJ120" s="245"/>
      <c r="AK120" s="245"/>
      <c r="AL120" s="245"/>
      <c r="AM120" s="245"/>
      <c r="AN120" s="245"/>
      <c r="AO120" s="245"/>
      <c r="AP120" s="245"/>
      <c r="AQ120" s="245"/>
      <c r="AR120" s="245"/>
      <c r="AS120" s="246">
        <v>10.210000000000001</v>
      </c>
      <c r="AT120" s="245"/>
      <c r="AU120" s="245"/>
      <c r="AV120" s="245"/>
      <c r="AW120" s="245"/>
      <c r="AX120" s="245"/>
      <c r="AY120" s="245"/>
      <c r="AZ120" s="245"/>
      <c r="BA120" s="245"/>
      <c r="BB120" s="245"/>
      <c r="BC120" s="245"/>
      <c r="BD120" s="245"/>
      <c r="BE120" s="245"/>
      <c r="BF120" s="245"/>
      <c r="BG120" s="245"/>
      <c r="BH120" s="246"/>
      <c r="BI120" s="246"/>
      <c r="BJ120" s="245"/>
      <c r="BK120" s="245"/>
      <c r="BL120" s="245"/>
      <c r="BM120" s="238"/>
      <c r="BN120" s="315">
        <f t="shared" si="11"/>
        <v>10.210000000000001</v>
      </c>
      <c r="BO120" s="316" t="s">
        <v>400</v>
      </c>
      <c r="BP120" s="317" t="s">
        <v>406</v>
      </c>
      <c r="BQ120" s="249">
        <f t="shared" si="10"/>
        <v>102</v>
      </c>
      <c r="BR120" s="250"/>
      <c r="BS120" s="250"/>
    </row>
    <row r="121" spans="1:71" ht="18">
      <c r="A121" s="245"/>
      <c r="B121" s="245"/>
      <c r="C121" s="245"/>
      <c r="D121" s="245"/>
      <c r="E121" s="245"/>
      <c r="F121" s="245"/>
      <c r="G121" s="245"/>
      <c r="H121" s="245"/>
      <c r="I121" s="245"/>
      <c r="J121" s="245"/>
      <c r="K121" s="245"/>
      <c r="L121" s="245"/>
      <c r="M121" s="245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245"/>
      <c r="Z121" s="246"/>
      <c r="AA121" s="245"/>
      <c r="AB121" s="245"/>
      <c r="AC121" s="245"/>
      <c r="AD121" s="245"/>
      <c r="AE121" s="245"/>
      <c r="AF121" s="245"/>
      <c r="AG121" s="245"/>
      <c r="AH121" s="245"/>
      <c r="AI121" s="245"/>
      <c r="AJ121" s="245"/>
      <c r="AK121" s="245"/>
      <c r="AL121" s="245"/>
      <c r="AM121" s="245"/>
      <c r="AN121" s="245"/>
      <c r="AO121" s="245"/>
      <c r="AP121" s="245"/>
      <c r="AQ121" s="245"/>
      <c r="AR121" s="245"/>
      <c r="AS121" s="246">
        <v>10.210000000000001</v>
      </c>
      <c r="AT121" s="245"/>
      <c r="AU121" s="245"/>
      <c r="AV121" s="245"/>
      <c r="AW121" s="245"/>
      <c r="AX121" s="245"/>
      <c r="AY121" s="245"/>
      <c r="AZ121" s="245"/>
      <c r="BA121" s="245"/>
      <c r="BB121" s="245"/>
      <c r="BC121" s="245"/>
      <c r="BD121" s="245"/>
      <c r="BE121" s="245"/>
      <c r="BF121" s="245"/>
      <c r="BG121" s="245"/>
      <c r="BH121" s="246"/>
      <c r="BI121" s="246"/>
      <c r="BJ121" s="245"/>
      <c r="BK121" s="245"/>
      <c r="BL121" s="245"/>
      <c r="BM121" s="238"/>
      <c r="BN121" s="315">
        <f t="shared" si="11"/>
        <v>10.210000000000001</v>
      </c>
      <c r="BO121" s="316" t="s">
        <v>400</v>
      </c>
      <c r="BP121" s="317" t="s">
        <v>407</v>
      </c>
      <c r="BQ121" s="249">
        <f t="shared" si="10"/>
        <v>103</v>
      </c>
      <c r="BR121" s="250"/>
      <c r="BS121" s="250"/>
    </row>
    <row r="122" spans="1:71" ht="18">
      <c r="A122" s="245"/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  <c r="P122" s="245"/>
      <c r="Q122" s="245"/>
      <c r="R122" s="245"/>
      <c r="S122" s="245"/>
      <c r="T122" s="245"/>
      <c r="U122" s="245"/>
      <c r="V122" s="245"/>
      <c r="W122" s="245"/>
      <c r="X122" s="245"/>
      <c r="Y122" s="245"/>
      <c r="Z122" s="246"/>
      <c r="AA122" s="245"/>
      <c r="AB122" s="245"/>
      <c r="AC122" s="245"/>
      <c r="AD122" s="245"/>
      <c r="AE122" s="245"/>
      <c r="AF122" s="245"/>
      <c r="AG122" s="245"/>
      <c r="AH122" s="245"/>
      <c r="AI122" s="245"/>
      <c r="AJ122" s="245"/>
      <c r="AK122" s="245"/>
      <c r="AL122" s="245"/>
      <c r="AM122" s="245"/>
      <c r="AN122" s="245"/>
      <c r="AO122" s="245"/>
      <c r="AP122" s="245"/>
      <c r="AQ122" s="245"/>
      <c r="AR122" s="245"/>
      <c r="AS122" s="246"/>
      <c r="AT122" s="245"/>
      <c r="AU122" s="245">
        <v>20.03</v>
      </c>
      <c r="AV122" s="245">
        <v>3.88</v>
      </c>
      <c r="AW122" s="245">
        <v>3.62</v>
      </c>
      <c r="AX122" s="245">
        <v>6.15</v>
      </c>
      <c r="AY122" s="245">
        <v>10.66</v>
      </c>
      <c r="AZ122" s="245"/>
      <c r="BA122" s="245"/>
      <c r="BB122" s="245">
        <v>3.52</v>
      </c>
      <c r="BC122" s="245"/>
      <c r="BD122" s="245"/>
      <c r="BE122" s="245"/>
      <c r="BF122" s="245"/>
      <c r="BG122" s="245"/>
      <c r="BH122" s="246"/>
      <c r="BI122" s="246"/>
      <c r="BJ122" s="245"/>
      <c r="BK122" s="245"/>
      <c r="BL122" s="245"/>
      <c r="BM122" s="238"/>
      <c r="BN122" s="315">
        <f t="shared" si="11"/>
        <v>47.860000000000007</v>
      </c>
      <c r="BO122" s="316" t="s">
        <v>121</v>
      </c>
      <c r="BP122" s="317" t="s">
        <v>408</v>
      </c>
      <c r="BQ122" s="249">
        <f t="shared" si="10"/>
        <v>104</v>
      </c>
      <c r="BR122" s="250"/>
      <c r="BS122" s="250"/>
    </row>
    <row r="123" spans="1:71" ht="18">
      <c r="A123" s="245"/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  <c r="P123" s="245"/>
      <c r="Q123" s="245"/>
      <c r="R123" s="245"/>
      <c r="S123" s="245"/>
      <c r="T123" s="245"/>
      <c r="U123" s="245"/>
      <c r="V123" s="245"/>
      <c r="W123" s="245"/>
      <c r="X123" s="245"/>
      <c r="Y123" s="245"/>
      <c r="Z123" s="246"/>
      <c r="AA123" s="245"/>
      <c r="AB123" s="245"/>
      <c r="AC123" s="245"/>
      <c r="AD123" s="245"/>
      <c r="AE123" s="245"/>
      <c r="AF123" s="245"/>
      <c r="AG123" s="245"/>
      <c r="AH123" s="245"/>
      <c r="AI123" s="245"/>
      <c r="AJ123" s="245"/>
      <c r="AK123" s="245"/>
      <c r="AL123" s="245"/>
      <c r="AM123" s="245"/>
      <c r="AN123" s="245"/>
      <c r="AO123" s="245"/>
      <c r="AP123" s="245"/>
      <c r="AQ123" s="245"/>
      <c r="AR123" s="245"/>
      <c r="AS123" s="246"/>
      <c r="AT123" s="245"/>
      <c r="AU123" s="245">
        <v>20.03</v>
      </c>
      <c r="AV123" s="245">
        <v>3.88</v>
      </c>
      <c r="AW123" s="245">
        <v>3.62</v>
      </c>
      <c r="AX123" s="245">
        <v>6.15</v>
      </c>
      <c r="AY123" s="245">
        <v>10.66</v>
      </c>
      <c r="AZ123" s="245"/>
      <c r="BA123" s="245"/>
      <c r="BB123" s="245">
        <v>3.52</v>
      </c>
      <c r="BC123" s="245"/>
      <c r="BD123" s="245"/>
      <c r="BE123" s="245"/>
      <c r="BF123" s="245"/>
      <c r="BG123" s="245"/>
      <c r="BH123" s="246"/>
      <c r="BI123" s="246"/>
      <c r="BJ123" s="245"/>
      <c r="BK123" s="245"/>
      <c r="BL123" s="245"/>
      <c r="BM123" s="238"/>
      <c r="BN123" s="315">
        <f t="shared" si="11"/>
        <v>47.860000000000007</v>
      </c>
      <c r="BO123" s="316" t="s">
        <v>121</v>
      </c>
      <c r="BP123" s="317" t="s">
        <v>409</v>
      </c>
      <c r="BQ123" s="249">
        <f t="shared" si="10"/>
        <v>105</v>
      </c>
      <c r="BR123" s="250"/>
      <c r="BS123" s="250"/>
    </row>
    <row r="124" spans="1:71" ht="18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  <c r="X124" s="245"/>
      <c r="Y124" s="245"/>
      <c r="Z124" s="246"/>
      <c r="AA124" s="245"/>
      <c r="AB124" s="245"/>
      <c r="AC124" s="245"/>
      <c r="AD124" s="245"/>
      <c r="AE124" s="245"/>
      <c r="AF124" s="245"/>
      <c r="AG124" s="245"/>
      <c r="AH124" s="245"/>
      <c r="AI124" s="245"/>
      <c r="AJ124" s="245"/>
      <c r="AK124" s="245"/>
      <c r="AL124" s="245"/>
      <c r="AM124" s="245"/>
      <c r="AN124" s="245"/>
      <c r="AO124" s="245"/>
      <c r="AP124" s="245"/>
      <c r="AQ124" s="245"/>
      <c r="AR124" s="245"/>
      <c r="AS124" s="246"/>
      <c r="AT124" s="245"/>
      <c r="AU124" s="245"/>
      <c r="AV124" s="245"/>
      <c r="AW124" s="245"/>
      <c r="AX124" s="245"/>
      <c r="AY124" s="245">
        <v>10.66</v>
      </c>
      <c r="AZ124" s="245"/>
      <c r="BA124" s="245"/>
      <c r="BB124" s="245"/>
      <c r="BC124" s="245"/>
      <c r="BD124" s="245"/>
      <c r="BE124" s="245"/>
      <c r="BF124" s="245"/>
      <c r="BG124" s="245"/>
      <c r="BH124" s="246"/>
      <c r="BI124" s="246"/>
      <c r="BJ124" s="245"/>
      <c r="BK124" s="245"/>
      <c r="BL124" s="245"/>
      <c r="BM124" s="238"/>
      <c r="BN124" s="315">
        <f t="shared" si="11"/>
        <v>10.66</v>
      </c>
      <c r="BO124" s="316" t="s">
        <v>121</v>
      </c>
      <c r="BP124" s="317" t="s">
        <v>410</v>
      </c>
      <c r="BQ124" s="249">
        <f t="shared" si="10"/>
        <v>106</v>
      </c>
      <c r="BR124" s="250"/>
      <c r="BS124" s="250"/>
    </row>
    <row r="125" spans="1:71" ht="18">
      <c r="A125" s="245"/>
      <c r="B125" s="245"/>
      <c r="C125" s="245"/>
      <c r="D125" s="245"/>
      <c r="E125" s="245"/>
      <c r="F125" s="245"/>
      <c r="G125" s="245"/>
      <c r="H125" s="245"/>
      <c r="I125" s="245"/>
      <c r="J125" s="245"/>
      <c r="K125" s="245"/>
      <c r="L125" s="245"/>
      <c r="M125" s="245"/>
      <c r="N125" s="245"/>
      <c r="O125" s="245"/>
      <c r="P125" s="245"/>
      <c r="Q125" s="245"/>
      <c r="R125" s="245"/>
      <c r="S125" s="245"/>
      <c r="T125" s="245"/>
      <c r="U125" s="245"/>
      <c r="V125" s="245"/>
      <c r="W125" s="245"/>
      <c r="X125" s="245"/>
      <c r="Y125" s="245"/>
      <c r="Z125" s="246"/>
      <c r="AA125" s="245"/>
      <c r="AB125" s="245"/>
      <c r="AC125" s="245"/>
      <c r="AD125" s="245"/>
      <c r="AE125" s="245"/>
      <c r="AF125" s="245"/>
      <c r="AG125" s="245"/>
      <c r="AH125" s="245"/>
      <c r="AI125" s="245"/>
      <c r="AJ125" s="245"/>
      <c r="AK125" s="245"/>
      <c r="AL125" s="245"/>
      <c r="AM125" s="245"/>
      <c r="AN125" s="245"/>
      <c r="AO125" s="245"/>
      <c r="AP125" s="245"/>
      <c r="AQ125" s="245"/>
      <c r="AR125" s="245"/>
      <c r="AS125" s="246"/>
      <c r="AT125" s="245"/>
      <c r="AU125" s="245"/>
      <c r="AV125" s="245"/>
      <c r="AW125" s="245"/>
      <c r="AX125" s="245"/>
      <c r="AY125" s="245">
        <v>10.66</v>
      </c>
      <c r="AZ125" s="245"/>
      <c r="BA125" s="245"/>
      <c r="BB125" s="245">
        <v>3.52</v>
      </c>
      <c r="BC125" s="245"/>
      <c r="BD125" s="245"/>
      <c r="BE125" s="245"/>
      <c r="BF125" s="245"/>
      <c r="BG125" s="245"/>
      <c r="BH125" s="246"/>
      <c r="BI125" s="246"/>
      <c r="BJ125" s="245"/>
      <c r="BK125" s="245"/>
      <c r="BL125" s="245"/>
      <c r="BM125" s="238"/>
      <c r="BN125" s="315">
        <f t="shared" si="11"/>
        <v>14.18</v>
      </c>
      <c r="BO125" s="316" t="s">
        <v>121</v>
      </c>
      <c r="BP125" s="317" t="s">
        <v>411</v>
      </c>
      <c r="BQ125" s="249">
        <f t="shared" si="10"/>
        <v>107</v>
      </c>
      <c r="BR125" s="250"/>
      <c r="BS125" s="250"/>
    </row>
    <row r="126" spans="1:71" ht="18">
      <c r="A126" s="245"/>
      <c r="B126" s="245"/>
      <c r="C126" s="245"/>
      <c r="D126" s="245"/>
      <c r="E126" s="245"/>
      <c r="F126" s="245"/>
      <c r="G126" s="245"/>
      <c r="H126" s="245"/>
      <c r="I126" s="245"/>
      <c r="J126" s="245"/>
      <c r="K126" s="245"/>
      <c r="L126" s="245"/>
      <c r="M126" s="245"/>
      <c r="N126" s="245"/>
      <c r="O126" s="245"/>
      <c r="P126" s="245"/>
      <c r="Q126" s="245"/>
      <c r="R126" s="245"/>
      <c r="S126" s="245"/>
      <c r="T126" s="245"/>
      <c r="U126" s="245"/>
      <c r="V126" s="245"/>
      <c r="W126" s="245"/>
      <c r="X126" s="245"/>
      <c r="Y126" s="245"/>
      <c r="Z126" s="246"/>
      <c r="AA126" s="245"/>
      <c r="AB126" s="245"/>
      <c r="AC126" s="245"/>
      <c r="AD126" s="245"/>
      <c r="AE126" s="245"/>
      <c r="AF126" s="245"/>
      <c r="AG126" s="245"/>
      <c r="AH126" s="245"/>
      <c r="AI126" s="245"/>
      <c r="AJ126" s="245"/>
      <c r="AK126" s="245"/>
      <c r="AL126" s="245"/>
      <c r="AM126" s="245"/>
      <c r="AN126" s="245"/>
      <c r="AO126" s="245"/>
      <c r="AP126" s="245"/>
      <c r="AQ126" s="245"/>
      <c r="AR126" s="245"/>
      <c r="AS126" s="246"/>
      <c r="AT126" s="245"/>
      <c r="AU126" s="245"/>
      <c r="AV126" s="245"/>
      <c r="AW126" s="245"/>
      <c r="AX126" s="245"/>
      <c r="AY126" s="245">
        <v>10.66</v>
      </c>
      <c r="AZ126" s="245"/>
      <c r="BA126" s="245"/>
      <c r="BB126" s="245"/>
      <c r="BC126" s="245"/>
      <c r="BD126" s="245"/>
      <c r="BE126" s="245"/>
      <c r="BF126" s="245"/>
      <c r="BG126" s="245"/>
      <c r="BH126" s="246"/>
      <c r="BI126" s="246"/>
      <c r="BJ126" s="245"/>
      <c r="BK126" s="245"/>
      <c r="BL126" s="245"/>
      <c r="BM126" s="238"/>
      <c r="BN126" s="315">
        <f t="shared" si="11"/>
        <v>10.66</v>
      </c>
      <c r="BO126" s="316" t="s">
        <v>121</v>
      </c>
      <c r="BP126" s="317" t="s">
        <v>412</v>
      </c>
      <c r="BQ126" s="249">
        <f t="shared" si="10"/>
        <v>108</v>
      </c>
      <c r="BR126" s="250"/>
      <c r="BS126" s="250"/>
    </row>
    <row r="127" spans="1:71" ht="18">
      <c r="A127" s="245"/>
      <c r="B127" s="245"/>
      <c r="C127" s="245"/>
      <c r="D127" s="245"/>
      <c r="E127" s="245"/>
      <c r="F127" s="245"/>
      <c r="G127" s="245"/>
      <c r="H127" s="245"/>
      <c r="I127" s="245"/>
      <c r="J127" s="245"/>
      <c r="K127" s="245"/>
      <c r="L127" s="245"/>
      <c r="M127" s="245"/>
      <c r="N127" s="245"/>
      <c r="O127" s="245"/>
      <c r="P127" s="245"/>
      <c r="Q127" s="245"/>
      <c r="R127" s="245"/>
      <c r="S127" s="245"/>
      <c r="T127" s="245"/>
      <c r="U127" s="245"/>
      <c r="V127" s="245"/>
      <c r="W127" s="245"/>
      <c r="X127" s="245"/>
      <c r="Y127" s="245"/>
      <c r="Z127" s="246"/>
      <c r="AA127" s="245"/>
      <c r="AB127" s="245"/>
      <c r="AC127" s="245"/>
      <c r="AD127" s="245"/>
      <c r="AE127" s="245"/>
      <c r="AF127" s="245"/>
      <c r="AG127" s="245"/>
      <c r="AH127" s="245"/>
      <c r="AI127" s="245"/>
      <c r="AJ127" s="245"/>
      <c r="AK127" s="245"/>
      <c r="AL127" s="245"/>
      <c r="AM127" s="245"/>
      <c r="AN127" s="245"/>
      <c r="AO127" s="245"/>
      <c r="AP127" s="245"/>
      <c r="AQ127" s="245"/>
      <c r="AR127" s="245"/>
      <c r="AS127" s="246"/>
      <c r="AT127" s="245"/>
      <c r="AU127" s="245"/>
      <c r="AV127" s="245"/>
      <c r="AW127" s="245"/>
      <c r="AX127" s="245"/>
      <c r="AY127" s="245">
        <v>10.66</v>
      </c>
      <c r="AZ127" s="245"/>
      <c r="BA127" s="245"/>
      <c r="BB127" s="245"/>
      <c r="BC127" s="245"/>
      <c r="BD127" s="245"/>
      <c r="BE127" s="245"/>
      <c r="BF127" s="245"/>
      <c r="BG127" s="245"/>
      <c r="BH127" s="246"/>
      <c r="BI127" s="246"/>
      <c r="BJ127" s="245"/>
      <c r="BK127" s="245"/>
      <c r="BL127" s="245"/>
      <c r="BM127" s="238"/>
      <c r="BN127" s="315">
        <f t="shared" si="11"/>
        <v>10.66</v>
      </c>
      <c r="BO127" s="316" t="s">
        <v>121</v>
      </c>
      <c r="BP127" s="317" t="s">
        <v>413</v>
      </c>
      <c r="BQ127" s="249">
        <f t="shared" si="10"/>
        <v>109</v>
      </c>
      <c r="BR127" s="250"/>
      <c r="BS127" s="250"/>
    </row>
    <row r="128" spans="1:71" ht="18">
      <c r="A128" s="245"/>
      <c r="B128" s="245"/>
      <c r="C128" s="245"/>
      <c r="D128" s="245"/>
      <c r="E128" s="245"/>
      <c r="F128" s="245"/>
      <c r="G128" s="245"/>
      <c r="H128" s="245"/>
      <c r="I128" s="245"/>
      <c r="J128" s="245"/>
      <c r="K128" s="245"/>
      <c r="L128" s="245"/>
      <c r="M128" s="245"/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  <c r="X128" s="245"/>
      <c r="Y128" s="245"/>
      <c r="Z128" s="246"/>
      <c r="AA128" s="245"/>
      <c r="AB128" s="245"/>
      <c r="AC128" s="245"/>
      <c r="AD128" s="245"/>
      <c r="AE128" s="245"/>
      <c r="AF128" s="245"/>
      <c r="AG128" s="245"/>
      <c r="AH128" s="245"/>
      <c r="AI128" s="245"/>
      <c r="AJ128" s="245"/>
      <c r="AK128" s="245"/>
      <c r="AL128" s="245"/>
      <c r="AM128" s="245"/>
      <c r="AN128" s="245"/>
      <c r="AO128" s="245"/>
      <c r="AP128" s="245"/>
      <c r="AQ128" s="245"/>
      <c r="AR128" s="245"/>
      <c r="AS128" s="246"/>
      <c r="AT128" s="245"/>
      <c r="AU128" s="245"/>
      <c r="AV128" s="245"/>
      <c r="AW128" s="245"/>
      <c r="AX128" s="245"/>
      <c r="AY128" s="245"/>
      <c r="AZ128" s="245"/>
      <c r="BA128" s="245"/>
      <c r="BB128" s="245">
        <v>3.52</v>
      </c>
      <c r="BC128" s="245"/>
      <c r="BD128" s="245"/>
      <c r="BE128" s="245"/>
      <c r="BF128" s="245"/>
      <c r="BG128" s="245"/>
      <c r="BH128" s="246"/>
      <c r="BI128" s="246"/>
      <c r="BJ128" s="245"/>
      <c r="BK128" s="245"/>
      <c r="BL128" s="245"/>
      <c r="BM128" s="238"/>
      <c r="BN128" s="315">
        <f t="shared" si="11"/>
        <v>3.52</v>
      </c>
      <c r="BO128" s="316" t="s">
        <v>121</v>
      </c>
      <c r="BP128" s="317" t="s">
        <v>414</v>
      </c>
      <c r="BQ128" s="249">
        <f t="shared" si="10"/>
        <v>110</v>
      </c>
      <c r="BR128" s="250"/>
      <c r="BS128" s="250"/>
    </row>
    <row r="129" spans="1:71" ht="18">
      <c r="A129" s="245"/>
      <c r="B129" s="245"/>
      <c r="C129" s="245"/>
      <c r="D129" s="245"/>
      <c r="E129" s="245"/>
      <c r="F129" s="245"/>
      <c r="G129" s="245"/>
      <c r="H129" s="245"/>
      <c r="I129" s="245"/>
      <c r="J129" s="245"/>
      <c r="K129" s="245"/>
      <c r="L129" s="245"/>
      <c r="M129" s="245"/>
      <c r="N129" s="245"/>
      <c r="O129" s="245"/>
      <c r="P129" s="245"/>
      <c r="Q129" s="245"/>
      <c r="R129" s="245"/>
      <c r="S129" s="245"/>
      <c r="T129" s="245"/>
      <c r="U129" s="245"/>
      <c r="V129" s="245"/>
      <c r="W129" s="245"/>
      <c r="X129" s="245"/>
      <c r="Y129" s="245"/>
      <c r="Z129" s="246"/>
      <c r="AA129" s="245"/>
      <c r="AB129" s="245"/>
      <c r="AC129" s="245"/>
      <c r="AD129" s="245"/>
      <c r="AE129" s="245"/>
      <c r="AF129" s="245"/>
      <c r="AG129" s="245"/>
      <c r="AH129" s="245"/>
      <c r="AI129" s="245"/>
      <c r="AJ129" s="245"/>
      <c r="AK129" s="245"/>
      <c r="AL129" s="245"/>
      <c r="AM129" s="245"/>
      <c r="AN129" s="245"/>
      <c r="AO129" s="245"/>
      <c r="AP129" s="245"/>
      <c r="AQ129" s="245"/>
      <c r="AR129" s="245"/>
      <c r="AS129" s="246"/>
      <c r="AT129" s="245"/>
      <c r="AU129" s="245"/>
      <c r="AV129" s="245"/>
      <c r="AW129" s="245"/>
      <c r="AX129" s="245"/>
      <c r="AY129" s="245"/>
      <c r="AZ129" s="245"/>
      <c r="BA129" s="245"/>
      <c r="BB129" s="245"/>
      <c r="BC129" s="245"/>
      <c r="BD129" s="245"/>
      <c r="BE129" s="245"/>
      <c r="BF129" s="245"/>
      <c r="BG129" s="245"/>
      <c r="BH129" s="246"/>
      <c r="BI129" s="246"/>
      <c r="BJ129" s="245"/>
      <c r="BK129" s="245"/>
      <c r="BL129" s="245"/>
      <c r="BM129" s="238"/>
      <c r="BN129" s="315">
        <f t="shared" si="11"/>
        <v>0</v>
      </c>
      <c r="BO129" s="316" t="s">
        <v>121</v>
      </c>
      <c r="BP129" s="317" t="s">
        <v>415</v>
      </c>
      <c r="BQ129" s="249">
        <f t="shared" si="10"/>
        <v>111</v>
      </c>
      <c r="BR129" s="250"/>
      <c r="BS129" s="250"/>
    </row>
    <row r="130" spans="1:71" ht="18">
      <c r="A130" s="245"/>
      <c r="B130" s="245"/>
      <c r="C130" s="245"/>
      <c r="D130" s="245"/>
      <c r="E130" s="245"/>
      <c r="F130" s="245"/>
      <c r="G130" s="245"/>
      <c r="H130" s="245"/>
      <c r="I130" s="245"/>
      <c r="J130" s="245"/>
      <c r="K130" s="245"/>
      <c r="L130" s="245"/>
      <c r="M130" s="245"/>
      <c r="N130" s="245"/>
      <c r="O130" s="245"/>
      <c r="P130" s="245"/>
      <c r="Q130" s="245"/>
      <c r="R130" s="245"/>
      <c r="S130" s="245"/>
      <c r="T130" s="245"/>
      <c r="U130" s="245"/>
      <c r="V130" s="245"/>
      <c r="W130" s="245"/>
      <c r="X130" s="245"/>
      <c r="Y130" s="245"/>
      <c r="Z130" s="246"/>
      <c r="AA130" s="245"/>
      <c r="AB130" s="245"/>
      <c r="AC130" s="245"/>
      <c r="AD130" s="245"/>
      <c r="AE130" s="245"/>
      <c r="AF130" s="245"/>
      <c r="AG130" s="245"/>
      <c r="AH130" s="245"/>
      <c r="AI130" s="245"/>
      <c r="AJ130" s="245"/>
      <c r="AK130" s="245"/>
      <c r="AL130" s="245"/>
      <c r="AM130" s="245"/>
      <c r="AN130" s="245"/>
      <c r="AO130" s="245"/>
      <c r="AP130" s="245"/>
      <c r="AQ130" s="245"/>
      <c r="AR130" s="245"/>
      <c r="AS130" s="246"/>
      <c r="AT130" s="251"/>
      <c r="AU130" s="245">
        <v>20.03</v>
      </c>
      <c r="AV130" s="245"/>
      <c r="AW130" s="245"/>
      <c r="AX130" s="245">
        <v>6.15</v>
      </c>
      <c r="AY130" s="245"/>
      <c r="AZ130" s="245"/>
      <c r="BA130" s="245"/>
      <c r="BB130" s="245"/>
      <c r="BC130" s="245"/>
      <c r="BD130" s="245"/>
      <c r="BE130" s="245"/>
      <c r="BF130" s="245"/>
      <c r="BG130" s="245"/>
      <c r="BH130" s="246"/>
      <c r="BI130" s="246"/>
      <c r="BJ130" s="245"/>
      <c r="BK130" s="245"/>
      <c r="BL130" s="245"/>
      <c r="BM130" s="238"/>
      <c r="BN130" s="315">
        <f>SUM(A130:BL130)</f>
        <v>26.18</v>
      </c>
      <c r="BO130" s="316" t="s">
        <v>121</v>
      </c>
      <c r="BP130" s="317" t="s">
        <v>416</v>
      </c>
      <c r="BQ130" s="249">
        <f t="shared" si="10"/>
        <v>112</v>
      </c>
      <c r="BR130" s="250"/>
      <c r="BS130" s="250"/>
    </row>
    <row r="131" spans="1:71" ht="18">
      <c r="A131" s="245"/>
      <c r="B131" s="245"/>
      <c r="C131" s="245"/>
      <c r="D131" s="245"/>
      <c r="E131" s="245"/>
      <c r="F131" s="245"/>
      <c r="G131" s="245"/>
      <c r="H131" s="245"/>
      <c r="I131" s="245"/>
      <c r="J131" s="245"/>
      <c r="K131" s="245"/>
      <c r="L131" s="245"/>
      <c r="M131" s="245"/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  <c r="X131" s="245"/>
      <c r="Y131" s="245"/>
      <c r="Z131" s="246"/>
      <c r="AA131" s="245"/>
      <c r="AB131" s="245"/>
      <c r="AC131" s="245"/>
      <c r="AD131" s="245"/>
      <c r="AE131" s="245"/>
      <c r="AF131" s="245"/>
      <c r="AG131" s="245"/>
      <c r="AH131" s="245"/>
      <c r="AI131" s="245"/>
      <c r="AJ131" s="245"/>
      <c r="AK131" s="245"/>
      <c r="AL131" s="245"/>
      <c r="AM131" s="245"/>
      <c r="AN131" s="245"/>
      <c r="AO131" s="245"/>
      <c r="AP131" s="245"/>
      <c r="AQ131" s="245"/>
      <c r="AR131" s="245"/>
      <c r="AS131" s="246"/>
      <c r="AT131" s="251"/>
      <c r="AU131" s="245"/>
      <c r="AV131" s="245"/>
      <c r="AW131" s="245">
        <v>3.62</v>
      </c>
      <c r="AX131" s="245">
        <v>6.15</v>
      </c>
      <c r="AY131" s="245"/>
      <c r="AZ131" s="245"/>
      <c r="BA131" s="245"/>
      <c r="BB131" s="245"/>
      <c r="BC131" s="245"/>
      <c r="BD131" s="245"/>
      <c r="BE131" s="245"/>
      <c r="BF131" s="245"/>
      <c r="BG131" s="245"/>
      <c r="BH131" s="246"/>
      <c r="BI131" s="246"/>
      <c r="BJ131" s="245"/>
      <c r="BK131" s="245"/>
      <c r="BL131" s="245"/>
      <c r="BM131" s="238"/>
      <c r="BN131" s="315">
        <f>SUM(A131:BL131)</f>
        <v>9.77</v>
      </c>
      <c r="BO131" s="316" t="s">
        <v>121</v>
      </c>
      <c r="BP131" s="317" t="s">
        <v>417</v>
      </c>
      <c r="BQ131" s="249">
        <f t="shared" si="10"/>
        <v>113</v>
      </c>
      <c r="BR131" s="250"/>
      <c r="BS131" s="250"/>
    </row>
    <row r="132" spans="1:71" ht="18">
      <c r="A132" s="245"/>
      <c r="B132" s="245"/>
      <c r="C132" s="245"/>
      <c r="D132" s="245"/>
      <c r="E132" s="245"/>
      <c r="F132" s="245"/>
      <c r="G132" s="245"/>
      <c r="H132" s="245"/>
      <c r="I132" s="245"/>
      <c r="J132" s="245"/>
      <c r="K132" s="245"/>
      <c r="L132" s="245"/>
      <c r="M132" s="245"/>
      <c r="N132" s="245"/>
      <c r="O132" s="245"/>
      <c r="P132" s="245"/>
      <c r="Q132" s="245"/>
      <c r="R132" s="245"/>
      <c r="S132" s="245"/>
      <c r="T132" s="245"/>
      <c r="U132" s="245"/>
      <c r="V132" s="245"/>
      <c r="W132" s="245"/>
      <c r="X132" s="245"/>
      <c r="Y132" s="245"/>
      <c r="Z132" s="246"/>
      <c r="AA132" s="245"/>
      <c r="AB132" s="245"/>
      <c r="AC132" s="245"/>
      <c r="AD132" s="245"/>
      <c r="AE132" s="245"/>
      <c r="AF132" s="245"/>
      <c r="AG132" s="245"/>
      <c r="AH132" s="245"/>
      <c r="AI132" s="245"/>
      <c r="AJ132" s="245"/>
      <c r="AK132" s="245"/>
      <c r="AL132" s="245"/>
      <c r="AM132" s="245"/>
      <c r="AN132" s="245"/>
      <c r="AO132" s="245"/>
      <c r="AP132" s="245"/>
      <c r="AQ132" s="245"/>
      <c r="AR132" s="245"/>
      <c r="AS132" s="246"/>
      <c r="AT132" s="251"/>
      <c r="AU132" s="245"/>
      <c r="AV132" s="245"/>
      <c r="AW132" s="245"/>
      <c r="AX132" s="245">
        <v>6.15</v>
      </c>
      <c r="AY132" s="245"/>
      <c r="AZ132" s="245"/>
      <c r="BA132" s="245"/>
      <c r="BB132" s="245"/>
      <c r="BC132" s="245"/>
      <c r="BD132" s="245"/>
      <c r="BE132" s="245"/>
      <c r="BF132" s="245"/>
      <c r="BG132" s="245"/>
      <c r="BH132" s="246"/>
      <c r="BI132" s="246"/>
      <c r="BJ132" s="245"/>
      <c r="BK132" s="245"/>
      <c r="BL132" s="245"/>
      <c r="BM132" s="238"/>
      <c r="BN132" s="315">
        <f>SUM(A132:BL132)</f>
        <v>6.15</v>
      </c>
      <c r="BO132" s="316" t="s">
        <v>121</v>
      </c>
      <c r="BP132" s="317" t="s">
        <v>418</v>
      </c>
      <c r="BQ132" s="249">
        <f t="shared" si="10"/>
        <v>114</v>
      </c>
      <c r="BR132" s="250"/>
      <c r="BS132" s="250"/>
    </row>
    <row r="133" spans="1:71" ht="18">
      <c r="A133" s="245"/>
      <c r="B133" s="245"/>
      <c r="C133" s="245"/>
      <c r="D133" s="245"/>
      <c r="E133" s="245"/>
      <c r="F133" s="245"/>
      <c r="G133" s="245"/>
      <c r="H133" s="245"/>
      <c r="I133" s="245"/>
      <c r="J133" s="245"/>
      <c r="K133" s="245"/>
      <c r="L133" s="245"/>
      <c r="M133" s="245"/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  <c r="X133" s="245"/>
      <c r="Y133" s="245"/>
      <c r="Z133" s="246"/>
      <c r="AA133" s="245"/>
      <c r="AB133" s="245"/>
      <c r="AC133" s="245"/>
      <c r="AD133" s="245"/>
      <c r="AE133" s="245"/>
      <c r="AF133" s="245"/>
      <c r="AG133" s="245"/>
      <c r="AH133" s="245"/>
      <c r="AI133" s="245"/>
      <c r="AJ133" s="245"/>
      <c r="AK133" s="245"/>
      <c r="AL133" s="245"/>
      <c r="AM133" s="245"/>
      <c r="AN133" s="245"/>
      <c r="AO133" s="245"/>
      <c r="AP133" s="245"/>
      <c r="AQ133" s="245"/>
      <c r="AR133" s="245"/>
      <c r="AS133" s="246"/>
      <c r="AT133" s="251"/>
      <c r="AU133" s="245">
        <v>20.03</v>
      </c>
      <c r="AV133" s="245"/>
      <c r="AW133" s="245"/>
      <c r="AX133" s="245">
        <v>6.15</v>
      </c>
      <c r="AY133" s="245"/>
      <c r="AZ133" s="245"/>
      <c r="BA133" s="245"/>
      <c r="BB133" s="245"/>
      <c r="BC133" s="245"/>
      <c r="BD133" s="245"/>
      <c r="BE133" s="245"/>
      <c r="BF133" s="245"/>
      <c r="BG133" s="245"/>
      <c r="BH133" s="246"/>
      <c r="BI133" s="246"/>
      <c r="BJ133" s="245"/>
      <c r="BK133" s="245"/>
      <c r="BL133" s="245"/>
      <c r="BM133" s="238"/>
      <c r="BN133" s="315">
        <f>SUM(A133:BL133)</f>
        <v>26.18</v>
      </c>
      <c r="BO133" s="316" t="s">
        <v>121</v>
      </c>
      <c r="BP133" s="317" t="s">
        <v>419</v>
      </c>
      <c r="BQ133" s="249">
        <f t="shared" si="10"/>
        <v>115</v>
      </c>
      <c r="BR133" s="250"/>
      <c r="BS133" s="250"/>
    </row>
    <row r="134" spans="1:71" ht="18">
      <c r="A134" s="245"/>
      <c r="B134" s="245"/>
      <c r="C134" s="245"/>
      <c r="D134" s="245"/>
      <c r="E134" s="245"/>
      <c r="F134" s="245"/>
      <c r="G134" s="245"/>
      <c r="H134" s="245"/>
      <c r="I134" s="245"/>
      <c r="J134" s="245"/>
      <c r="K134" s="245"/>
      <c r="L134" s="245"/>
      <c r="M134" s="245"/>
      <c r="N134" s="245"/>
      <c r="O134" s="245"/>
      <c r="P134" s="245"/>
      <c r="Q134" s="245"/>
      <c r="R134" s="245"/>
      <c r="S134" s="245"/>
      <c r="T134" s="245"/>
      <c r="U134" s="245"/>
      <c r="V134" s="245"/>
      <c r="W134" s="245"/>
      <c r="X134" s="245"/>
      <c r="Y134" s="245"/>
      <c r="Z134" s="246"/>
      <c r="AA134" s="245"/>
      <c r="AB134" s="245"/>
      <c r="AC134" s="245"/>
      <c r="AD134" s="245"/>
      <c r="AE134" s="245"/>
      <c r="AF134" s="245"/>
      <c r="AG134" s="245"/>
      <c r="AH134" s="245"/>
      <c r="AI134" s="245"/>
      <c r="AJ134" s="245"/>
      <c r="AK134" s="245"/>
      <c r="AL134" s="245"/>
      <c r="AM134" s="245"/>
      <c r="AN134" s="245"/>
      <c r="AO134" s="245"/>
      <c r="AP134" s="245"/>
      <c r="AQ134" s="245"/>
      <c r="AR134" s="245"/>
      <c r="AS134" s="246"/>
      <c r="AT134" s="251"/>
      <c r="AU134" s="245"/>
      <c r="AV134" s="245"/>
      <c r="AW134" s="245">
        <v>3.62</v>
      </c>
      <c r="AX134" s="245"/>
      <c r="AY134" s="245"/>
      <c r="AZ134" s="245"/>
      <c r="BA134" s="245"/>
      <c r="BB134" s="245"/>
      <c r="BC134" s="245"/>
      <c r="BD134" s="245"/>
      <c r="BE134" s="245"/>
      <c r="BF134" s="245"/>
      <c r="BG134" s="245"/>
      <c r="BH134" s="246"/>
      <c r="BI134" s="246"/>
      <c r="BJ134" s="245"/>
      <c r="BK134" s="245"/>
      <c r="BL134" s="245"/>
      <c r="BM134" s="238"/>
      <c r="BN134" s="315">
        <f t="shared" ref="BN134:BN155" si="12">SUM(A134:BL134)</f>
        <v>3.62</v>
      </c>
      <c r="BO134" s="316" t="s">
        <v>121</v>
      </c>
      <c r="BP134" s="317" t="s">
        <v>420</v>
      </c>
      <c r="BQ134" s="249">
        <f t="shared" si="10"/>
        <v>116</v>
      </c>
      <c r="BR134" s="250"/>
      <c r="BS134" s="250"/>
    </row>
    <row r="135" spans="1:71" ht="18">
      <c r="A135" s="245"/>
      <c r="B135" s="245"/>
      <c r="C135" s="245"/>
      <c r="D135" s="245"/>
      <c r="E135" s="245"/>
      <c r="F135" s="245"/>
      <c r="G135" s="245"/>
      <c r="H135" s="245"/>
      <c r="I135" s="245"/>
      <c r="J135" s="245"/>
      <c r="K135" s="245"/>
      <c r="L135" s="245"/>
      <c r="M135" s="245"/>
      <c r="N135" s="245"/>
      <c r="O135" s="245"/>
      <c r="P135" s="245"/>
      <c r="Q135" s="245"/>
      <c r="R135" s="245"/>
      <c r="S135" s="245"/>
      <c r="T135" s="245"/>
      <c r="U135" s="245"/>
      <c r="V135" s="245"/>
      <c r="W135" s="245"/>
      <c r="X135" s="245"/>
      <c r="Y135" s="245"/>
      <c r="Z135" s="246"/>
      <c r="AA135" s="245"/>
      <c r="AB135" s="245"/>
      <c r="AC135" s="245"/>
      <c r="AD135" s="245"/>
      <c r="AE135" s="245"/>
      <c r="AF135" s="245"/>
      <c r="AG135" s="245"/>
      <c r="AH135" s="245"/>
      <c r="AI135" s="245"/>
      <c r="AJ135" s="245"/>
      <c r="AK135" s="245"/>
      <c r="AL135" s="245"/>
      <c r="AM135" s="245"/>
      <c r="AN135" s="245"/>
      <c r="AO135" s="245"/>
      <c r="AP135" s="245"/>
      <c r="AQ135" s="245"/>
      <c r="AR135" s="245"/>
      <c r="AS135" s="246"/>
      <c r="AT135" s="251"/>
      <c r="AU135" s="245"/>
      <c r="AV135" s="245">
        <v>3.88</v>
      </c>
      <c r="AW135" s="245">
        <v>3.62</v>
      </c>
      <c r="AX135" s="245"/>
      <c r="AY135" s="245"/>
      <c r="AZ135" s="245"/>
      <c r="BA135" s="245"/>
      <c r="BB135" s="245"/>
      <c r="BC135" s="245"/>
      <c r="BD135" s="245"/>
      <c r="BE135" s="245"/>
      <c r="BF135" s="245"/>
      <c r="BG135" s="245"/>
      <c r="BH135" s="246"/>
      <c r="BI135" s="246"/>
      <c r="BJ135" s="245"/>
      <c r="BK135" s="245"/>
      <c r="BL135" s="245"/>
      <c r="BM135" s="238"/>
      <c r="BN135" s="315">
        <f>SUM(A135:BL135)</f>
        <v>7.5</v>
      </c>
      <c r="BO135" s="316" t="s">
        <v>121</v>
      </c>
      <c r="BP135" s="317" t="s">
        <v>421</v>
      </c>
      <c r="BQ135" s="249">
        <f t="shared" si="10"/>
        <v>117</v>
      </c>
      <c r="BR135" s="250"/>
      <c r="BS135" s="250"/>
    </row>
    <row r="136" spans="1:71" ht="18">
      <c r="A136" s="245"/>
      <c r="B136" s="245"/>
      <c r="C136" s="245"/>
      <c r="D136" s="245"/>
      <c r="E136" s="245"/>
      <c r="F136" s="245"/>
      <c r="G136" s="245"/>
      <c r="H136" s="245"/>
      <c r="I136" s="245"/>
      <c r="J136" s="245"/>
      <c r="K136" s="245"/>
      <c r="L136" s="245"/>
      <c r="M136" s="245"/>
      <c r="N136" s="245"/>
      <c r="O136" s="245"/>
      <c r="P136" s="245"/>
      <c r="Q136" s="245"/>
      <c r="R136" s="245"/>
      <c r="S136" s="245"/>
      <c r="T136" s="245"/>
      <c r="U136" s="245"/>
      <c r="V136" s="245"/>
      <c r="W136" s="245"/>
      <c r="X136" s="245"/>
      <c r="Y136" s="245"/>
      <c r="Z136" s="246"/>
      <c r="AA136" s="245"/>
      <c r="AB136" s="245"/>
      <c r="AC136" s="245"/>
      <c r="AD136" s="245"/>
      <c r="AE136" s="245"/>
      <c r="AF136" s="245"/>
      <c r="AG136" s="245"/>
      <c r="AH136" s="245"/>
      <c r="AI136" s="245"/>
      <c r="AJ136" s="245"/>
      <c r="AK136" s="245"/>
      <c r="AL136" s="245"/>
      <c r="AM136" s="245"/>
      <c r="AN136" s="245"/>
      <c r="AO136" s="245"/>
      <c r="AP136" s="245"/>
      <c r="AQ136" s="245"/>
      <c r="AR136" s="245"/>
      <c r="AS136" s="246"/>
      <c r="AT136" s="251"/>
      <c r="AU136" s="245">
        <v>20.03</v>
      </c>
      <c r="AV136" s="245">
        <v>3.88</v>
      </c>
      <c r="AW136" s="245"/>
      <c r="AX136" s="245"/>
      <c r="AY136" s="245"/>
      <c r="AZ136" s="245"/>
      <c r="BA136" s="245"/>
      <c r="BB136" s="245"/>
      <c r="BC136" s="245"/>
      <c r="BD136" s="245"/>
      <c r="BE136" s="245"/>
      <c r="BF136" s="245"/>
      <c r="BG136" s="245"/>
      <c r="BH136" s="246"/>
      <c r="BI136" s="246"/>
      <c r="BJ136" s="245"/>
      <c r="BK136" s="245"/>
      <c r="BL136" s="245"/>
      <c r="BM136" s="238"/>
      <c r="BN136" s="315">
        <f t="shared" si="12"/>
        <v>23.91</v>
      </c>
      <c r="BO136" s="316" t="s">
        <v>121</v>
      </c>
      <c r="BP136" s="317" t="s">
        <v>422</v>
      </c>
      <c r="BQ136" s="249">
        <f t="shared" si="10"/>
        <v>118</v>
      </c>
      <c r="BR136" s="250"/>
      <c r="BS136" s="250"/>
    </row>
    <row r="137" spans="1:71" ht="18">
      <c r="A137" s="245"/>
      <c r="B137" s="245"/>
      <c r="C137" s="245"/>
      <c r="D137" s="245"/>
      <c r="E137" s="245"/>
      <c r="F137" s="245"/>
      <c r="G137" s="245"/>
      <c r="H137" s="245"/>
      <c r="I137" s="245"/>
      <c r="J137" s="245"/>
      <c r="K137" s="245"/>
      <c r="L137" s="245"/>
      <c r="M137" s="245"/>
      <c r="N137" s="245"/>
      <c r="O137" s="245"/>
      <c r="P137" s="245"/>
      <c r="Q137" s="245"/>
      <c r="R137" s="245"/>
      <c r="S137" s="245"/>
      <c r="T137" s="245"/>
      <c r="U137" s="245"/>
      <c r="V137" s="245"/>
      <c r="W137" s="245"/>
      <c r="X137" s="245"/>
      <c r="Y137" s="245"/>
      <c r="Z137" s="246"/>
      <c r="AA137" s="245"/>
      <c r="AB137" s="245"/>
      <c r="AC137" s="245"/>
      <c r="AD137" s="245"/>
      <c r="AE137" s="245"/>
      <c r="AF137" s="245"/>
      <c r="AG137" s="245"/>
      <c r="AH137" s="245"/>
      <c r="AI137" s="245"/>
      <c r="AJ137" s="245"/>
      <c r="AK137" s="245"/>
      <c r="AL137" s="245"/>
      <c r="AM137" s="245"/>
      <c r="AN137" s="245"/>
      <c r="AO137" s="245"/>
      <c r="AP137" s="245"/>
      <c r="AQ137" s="245"/>
      <c r="AR137" s="245"/>
      <c r="AS137" s="246"/>
      <c r="AT137" s="245"/>
      <c r="AU137" s="245"/>
      <c r="AV137" s="245"/>
      <c r="AW137" s="245"/>
      <c r="AX137" s="245"/>
      <c r="AY137" s="245"/>
      <c r="AZ137" s="245"/>
      <c r="BA137" s="245"/>
      <c r="BB137" s="245"/>
      <c r="BC137" s="245"/>
      <c r="BD137" s="245"/>
      <c r="BE137" s="245"/>
      <c r="BF137" s="245"/>
      <c r="BG137" s="245">
        <v>4.74</v>
      </c>
      <c r="BH137" s="246"/>
      <c r="BI137" s="246"/>
      <c r="BJ137" s="245"/>
      <c r="BK137" s="245"/>
      <c r="BL137" s="245"/>
      <c r="BM137" s="238"/>
      <c r="BN137" s="315">
        <f t="shared" si="12"/>
        <v>4.74</v>
      </c>
      <c r="BO137" s="316" t="s">
        <v>423</v>
      </c>
      <c r="BP137" s="317" t="s">
        <v>424</v>
      </c>
      <c r="BQ137" s="249">
        <f t="shared" si="10"/>
        <v>119</v>
      </c>
      <c r="BR137" s="250"/>
      <c r="BS137" s="250"/>
    </row>
    <row r="138" spans="1:71" ht="18">
      <c r="A138" s="245"/>
      <c r="B138" s="245"/>
      <c r="C138" s="245"/>
      <c r="D138" s="245"/>
      <c r="E138" s="245"/>
      <c r="F138" s="245"/>
      <c r="G138" s="245"/>
      <c r="H138" s="245"/>
      <c r="I138" s="245"/>
      <c r="J138" s="245"/>
      <c r="K138" s="245"/>
      <c r="L138" s="245"/>
      <c r="M138" s="245"/>
      <c r="N138" s="245"/>
      <c r="O138" s="245"/>
      <c r="P138" s="245"/>
      <c r="Q138" s="245"/>
      <c r="R138" s="245"/>
      <c r="S138" s="245"/>
      <c r="T138" s="245"/>
      <c r="U138" s="245"/>
      <c r="V138" s="245"/>
      <c r="W138" s="245"/>
      <c r="X138" s="245"/>
      <c r="Y138" s="245"/>
      <c r="Z138" s="246"/>
      <c r="AA138" s="245"/>
      <c r="AB138" s="245"/>
      <c r="AC138" s="245"/>
      <c r="AD138" s="245"/>
      <c r="AE138" s="245"/>
      <c r="AF138" s="245"/>
      <c r="AG138" s="245"/>
      <c r="AH138" s="245"/>
      <c r="AI138" s="245"/>
      <c r="AJ138" s="245"/>
      <c r="AK138" s="245"/>
      <c r="AL138" s="245"/>
      <c r="AM138" s="245"/>
      <c r="AN138" s="245"/>
      <c r="AO138" s="245"/>
      <c r="AP138" s="245"/>
      <c r="AQ138" s="245"/>
      <c r="AR138" s="245"/>
      <c r="AS138" s="246"/>
      <c r="AT138" s="245"/>
      <c r="AU138" s="245"/>
      <c r="AV138" s="245"/>
      <c r="AW138" s="245"/>
      <c r="AX138" s="245"/>
      <c r="AY138" s="245"/>
      <c r="AZ138" s="245"/>
      <c r="BA138" s="245"/>
      <c r="BB138" s="245"/>
      <c r="BC138" s="245"/>
      <c r="BD138" s="245"/>
      <c r="BE138" s="245"/>
      <c r="BF138" s="245"/>
      <c r="BG138" s="245">
        <v>4.74</v>
      </c>
      <c r="BH138" s="246"/>
      <c r="BI138" s="246"/>
      <c r="BJ138" s="245"/>
      <c r="BK138" s="245"/>
      <c r="BL138" s="245"/>
      <c r="BM138" s="238"/>
      <c r="BN138" s="315">
        <f t="shared" si="12"/>
        <v>4.74</v>
      </c>
      <c r="BO138" s="316" t="s">
        <v>423</v>
      </c>
      <c r="BP138" s="317" t="s">
        <v>425</v>
      </c>
      <c r="BQ138" s="249">
        <f t="shared" si="10"/>
        <v>120</v>
      </c>
      <c r="BR138" s="250"/>
      <c r="BS138" s="250"/>
    </row>
    <row r="139" spans="1:71" ht="18">
      <c r="A139" s="245"/>
      <c r="B139" s="245"/>
      <c r="C139" s="245"/>
      <c r="D139" s="245"/>
      <c r="E139" s="245"/>
      <c r="F139" s="245"/>
      <c r="G139" s="245"/>
      <c r="H139" s="245"/>
      <c r="I139" s="245"/>
      <c r="J139" s="245"/>
      <c r="K139" s="245"/>
      <c r="L139" s="245"/>
      <c r="M139" s="245"/>
      <c r="N139" s="245"/>
      <c r="O139" s="245"/>
      <c r="P139" s="245"/>
      <c r="Q139" s="245"/>
      <c r="R139" s="245"/>
      <c r="S139" s="245"/>
      <c r="T139" s="245"/>
      <c r="U139" s="245"/>
      <c r="V139" s="245"/>
      <c r="W139" s="245"/>
      <c r="X139" s="245"/>
      <c r="Y139" s="245"/>
      <c r="Z139" s="246"/>
      <c r="AA139" s="245"/>
      <c r="AB139" s="245"/>
      <c r="AC139" s="245"/>
      <c r="AD139" s="245"/>
      <c r="AE139" s="245"/>
      <c r="AF139" s="245"/>
      <c r="AG139" s="245"/>
      <c r="AH139" s="245"/>
      <c r="AI139" s="245"/>
      <c r="AJ139" s="245"/>
      <c r="AK139" s="245"/>
      <c r="AL139" s="245"/>
      <c r="AM139" s="245"/>
      <c r="AN139" s="245"/>
      <c r="AO139" s="245"/>
      <c r="AP139" s="245"/>
      <c r="AQ139" s="245"/>
      <c r="AR139" s="245"/>
      <c r="AS139" s="246"/>
      <c r="AT139" s="245"/>
      <c r="AU139" s="245"/>
      <c r="AV139" s="245"/>
      <c r="AW139" s="245"/>
      <c r="AX139" s="245"/>
      <c r="AY139" s="245"/>
      <c r="AZ139" s="245"/>
      <c r="BA139" s="245"/>
      <c r="BB139" s="245"/>
      <c r="BC139" s="245"/>
      <c r="BD139" s="245">
        <v>1.62</v>
      </c>
      <c r="BE139" s="245"/>
      <c r="BF139" s="245"/>
      <c r="BG139" s="245"/>
      <c r="BH139" s="246"/>
      <c r="BI139" s="246"/>
      <c r="BJ139" s="245"/>
      <c r="BK139" s="245"/>
      <c r="BL139" s="245"/>
      <c r="BM139" s="238"/>
      <c r="BN139" s="315">
        <f t="shared" si="12"/>
        <v>1.62</v>
      </c>
      <c r="BO139" s="316" t="s">
        <v>426</v>
      </c>
      <c r="BP139" s="317" t="s">
        <v>427</v>
      </c>
      <c r="BQ139" s="249">
        <f t="shared" si="10"/>
        <v>121</v>
      </c>
      <c r="BR139" s="250"/>
      <c r="BS139" s="250"/>
    </row>
    <row r="140" spans="1:71" ht="18">
      <c r="A140" s="245"/>
      <c r="B140" s="245"/>
      <c r="C140" s="245"/>
      <c r="D140" s="245"/>
      <c r="E140" s="245"/>
      <c r="F140" s="245"/>
      <c r="G140" s="245"/>
      <c r="H140" s="245"/>
      <c r="I140" s="245"/>
      <c r="J140" s="245"/>
      <c r="K140" s="245"/>
      <c r="L140" s="245"/>
      <c r="M140" s="245"/>
      <c r="N140" s="245"/>
      <c r="O140" s="245"/>
      <c r="P140" s="245"/>
      <c r="Q140" s="245"/>
      <c r="R140" s="245"/>
      <c r="S140" s="245"/>
      <c r="T140" s="245"/>
      <c r="U140" s="245"/>
      <c r="V140" s="245"/>
      <c r="W140" s="245"/>
      <c r="X140" s="245"/>
      <c r="Y140" s="245"/>
      <c r="Z140" s="246"/>
      <c r="AA140" s="245"/>
      <c r="AB140" s="245"/>
      <c r="AC140" s="245"/>
      <c r="AD140" s="245"/>
      <c r="AE140" s="245"/>
      <c r="AF140" s="245"/>
      <c r="AG140" s="245"/>
      <c r="AH140" s="245"/>
      <c r="AI140" s="245"/>
      <c r="AJ140" s="245"/>
      <c r="AK140" s="245"/>
      <c r="AL140" s="245"/>
      <c r="AM140" s="245"/>
      <c r="AN140" s="245"/>
      <c r="AO140" s="245"/>
      <c r="AP140" s="245"/>
      <c r="AQ140" s="245"/>
      <c r="AR140" s="245"/>
      <c r="AS140" s="246"/>
      <c r="AT140" s="245"/>
      <c r="AU140" s="245"/>
      <c r="AV140" s="245"/>
      <c r="AW140" s="245"/>
      <c r="AX140" s="245"/>
      <c r="AY140" s="245"/>
      <c r="AZ140" s="245"/>
      <c r="BA140" s="245"/>
      <c r="BB140" s="245"/>
      <c r="BC140" s="245"/>
      <c r="BD140" s="245">
        <v>1.62</v>
      </c>
      <c r="BE140" s="245"/>
      <c r="BF140" s="245"/>
      <c r="BG140" s="245"/>
      <c r="BH140" s="246"/>
      <c r="BI140" s="246"/>
      <c r="BJ140" s="245"/>
      <c r="BK140" s="245"/>
      <c r="BL140" s="245"/>
      <c r="BM140" s="238"/>
      <c r="BN140" s="315">
        <f t="shared" si="12"/>
        <v>1.62</v>
      </c>
      <c r="BO140" s="316" t="s">
        <v>426</v>
      </c>
      <c r="BP140" s="317" t="s">
        <v>428</v>
      </c>
      <c r="BQ140" s="249">
        <f t="shared" si="10"/>
        <v>122</v>
      </c>
      <c r="BR140" s="250"/>
      <c r="BS140" s="250"/>
    </row>
    <row r="141" spans="1:71" ht="18">
      <c r="A141" s="245"/>
      <c r="B141" s="245"/>
      <c r="C141" s="245"/>
      <c r="D141" s="245"/>
      <c r="E141" s="245"/>
      <c r="F141" s="245"/>
      <c r="G141" s="245"/>
      <c r="H141" s="245"/>
      <c r="I141" s="245"/>
      <c r="J141" s="245"/>
      <c r="K141" s="245"/>
      <c r="L141" s="245"/>
      <c r="M141" s="245"/>
      <c r="N141" s="245"/>
      <c r="O141" s="245"/>
      <c r="P141" s="245"/>
      <c r="Q141" s="245"/>
      <c r="R141" s="245"/>
      <c r="S141" s="245"/>
      <c r="T141" s="245"/>
      <c r="U141" s="245"/>
      <c r="V141" s="245"/>
      <c r="W141" s="245"/>
      <c r="X141" s="245"/>
      <c r="Y141" s="245"/>
      <c r="Z141" s="246"/>
      <c r="AA141" s="245"/>
      <c r="AB141" s="245"/>
      <c r="AC141" s="245"/>
      <c r="AD141" s="245"/>
      <c r="AE141" s="245"/>
      <c r="AF141" s="245"/>
      <c r="AG141" s="245"/>
      <c r="AH141" s="245"/>
      <c r="AI141" s="245"/>
      <c r="AJ141" s="245"/>
      <c r="AK141" s="245"/>
      <c r="AL141" s="245"/>
      <c r="AM141" s="245"/>
      <c r="AN141" s="245"/>
      <c r="AO141" s="245"/>
      <c r="AP141" s="245"/>
      <c r="AQ141" s="245"/>
      <c r="AR141" s="245"/>
      <c r="AS141" s="246"/>
      <c r="AT141" s="245"/>
      <c r="AU141" s="245"/>
      <c r="AV141" s="245"/>
      <c r="AW141" s="245"/>
      <c r="AX141" s="245"/>
      <c r="AY141" s="245"/>
      <c r="AZ141" s="245"/>
      <c r="BA141" s="245"/>
      <c r="BB141" s="245"/>
      <c r="BC141" s="245"/>
      <c r="BD141" s="245">
        <v>1.62</v>
      </c>
      <c r="BE141" s="245"/>
      <c r="BF141" s="245"/>
      <c r="BG141" s="245"/>
      <c r="BH141" s="246"/>
      <c r="BI141" s="246"/>
      <c r="BJ141" s="245"/>
      <c r="BK141" s="245"/>
      <c r="BL141" s="245"/>
      <c r="BM141" s="238"/>
      <c r="BN141" s="315">
        <f t="shared" si="12"/>
        <v>1.62</v>
      </c>
      <c r="BO141" s="316" t="s">
        <v>426</v>
      </c>
      <c r="BP141" s="317" t="s">
        <v>429</v>
      </c>
      <c r="BQ141" s="249">
        <f t="shared" si="10"/>
        <v>123</v>
      </c>
      <c r="BR141" s="250"/>
      <c r="BS141" s="250"/>
    </row>
    <row r="142" spans="1:71" ht="18">
      <c r="A142" s="245"/>
      <c r="B142" s="245"/>
      <c r="C142" s="245"/>
      <c r="D142" s="245"/>
      <c r="E142" s="245"/>
      <c r="F142" s="245"/>
      <c r="G142" s="245"/>
      <c r="H142" s="245"/>
      <c r="I142" s="245"/>
      <c r="J142" s="245"/>
      <c r="K142" s="245"/>
      <c r="L142" s="245"/>
      <c r="M142" s="245"/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  <c r="X142" s="245"/>
      <c r="Y142" s="245"/>
      <c r="Z142" s="246"/>
      <c r="AA142" s="245"/>
      <c r="AB142" s="245"/>
      <c r="AC142" s="245"/>
      <c r="AD142" s="245"/>
      <c r="AE142" s="245"/>
      <c r="AF142" s="245"/>
      <c r="AG142" s="245"/>
      <c r="AH142" s="245"/>
      <c r="AI142" s="245"/>
      <c r="AJ142" s="245"/>
      <c r="AK142" s="245"/>
      <c r="AL142" s="245"/>
      <c r="AM142" s="245"/>
      <c r="AN142" s="245"/>
      <c r="AO142" s="245"/>
      <c r="AP142" s="245"/>
      <c r="AQ142" s="245"/>
      <c r="AR142" s="245"/>
      <c r="AS142" s="246"/>
      <c r="AT142" s="245"/>
      <c r="AU142" s="245"/>
      <c r="AV142" s="245"/>
      <c r="AW142" s="245"/>
      <c r="AX142" s="245"/>
      <c r="AY142" s="245"/>
      <c r="AZ142" s="245"/>
      <c r="BA142" s="245"/>
      <c r="BB142" s="245"/>
      <c r="BC142" s="245"/>
      <c r="BD142" s="245">
        <v>0.81</v>
      </c>
      <c r="BE142" s="245"/>
      <c r="BF142" s="245"/>
      <c r="BG142" s="245"/>
      <c r="BH142" s="246"/>
      <c r="BI142" s="246"/>
      <c r="BJ142" s="245"/>
      <c r="BK142" s="245"/>
      <c r="BL142" s="245"/>
      <c r="BM142" s="238"/>
      <c r="BN142" s="315">
        <f t="shared" si="12"/>
        <v>0.81</v>
      </c>
      <c r="BO142" s="316" t="s">
        <v>426</v>
      </c>
      <c r="BP142" s="317" t="s">
        <v>430</v>
      </c>
      <c r="BQ142" s="249">
        <f t="shared" si="10"/>
        <v>124</v>
      </c>
      <c r="BR142" s="250"/>
      <c r="BS142" s="250"/>
    </row>
    <row r="143" spans="1:71" ht="18">
      <c r="A143" s="245"/>
      <c r="B143" s="245"/>
      <c r="C143" s="245"/>
      <c r="D143" s="245"/>
      <c r="E143" s="245"/>
      <c r="F143" s="245"/>
      <c r="G143" s="245"/>
      <c r="H143" s="245"/>
      <c r="I143" s="245"/>
      <c r="J143" s="245"/>
      <c r="K143" s="245"/>
      <c r="L143" s="245"/>
      <c r="M143" s="245"/>
      <c r="N143" s="245"/>
      <c r="O143" s="245"/>
      <c r="P143" s="245"/>
      <c r="Q143" s="245"/>
      <c r="R143" s="245"/>
      <c r="S143" s="245"/>
      <c r="T143" s="245"/>
      <c r="U143" s="245"/>
      <c r="V143" s="245"/>
      <c r="W143" s="245"/>
      <c r="X143" s="245"/>
      <c r="Y143" s="245"/>
      <c r="Z143" s="246"/>
      <c r="AA143" s="245"/>
      <c r="AB143" s="245"/>
      <c r="AC143" s="245"/>
      <c r="AD143" s="245"/>
      <c r="AE143" s="245"/>
      <c r="AF143" s="245"/>
      <c r="AG143" s="245"/>
      <c r="AH143" s="245"/>
      <c r="AI143" s="245"/>
      <c r="AJ143" s="245"/>
      <c r="AK143" s="245"/>
      <c r="AL143" s="245"/>
      <c r="AM143" s="245"/>
      <c r="AN143" s="245"/>
      <c r="AO143" s="245"/>
      <c r="AP143" s="245"/>
      <c r="AQ143" s="245"/>
      <c r="AR143" s="245"/>
      <c r="AS143" s="246"/>
      <c r="AT143" s="245"/>
      <c r="AU143" s="245"/>
      <c r="AV143" s="245"/>
      <c r="AW143" s="245"/>
      <c r="AX143" s="245"/>
      <c r="AY143" s="245"/>
      <c r="AZ143" s="245"/>
      <c r="BA143" s="245"/>
      <c r="BB143" s="245"/>
      <c r="BC143" s="245"/>
      <c r="BD143" s="245">
        <v>0.81</v>
      </c>
      <c r="BE143" s="245"/>
      <c r="BF143" s="245"/>
      <c r="BG143" s="245"/>
      <c r="BH143" s="246"/>
      <c r="BI143" s="246"/>
      <c r="BJ143" s="245"/>
      <c r="BK143" s="245"/>
      <c r="BL143" s="245"/>
      <c r="BM143" s="238"/>
      <c r="BN143" s="315">
        <f t="shared" si="12"/>
        <v>0.81</v>
      </c>
      <c r="BO143" s="316" t="s">
        <v>426</v>
      </c>
      <c r="BP143" s="317" t="s">
        <v>431</v>
      </c>
      <c r="BQ143" s="249">
        <f t="shared" si="10"/>
        <v>125</v>
      </c>
      <c r="BR143" s="250"/>
      <c r="BS143" s="250"/>
    </row>
    <row r="144" spans="1:71" ht="18">
      <c r="A144" s="245"/>
      <c r="B144" s="245"/>
      <c r="C144" s="245"/>
      <c r="D144" s="245"/>
      <c r="E144" s="245"/>
      <c r="F144" s="245"/>
      <c r="G144" s="245"/>
      <c r="H144" s="245"/>
      <c r="I144" s="245"/>
      <c r="J144" s="245"/>
      <c r="K144" s="245"/>
      <c r="L144" s="245"/>
      <c r="M144" s="245"/>
      <c r="N144" s="245"/>
      <c r="O144" s="245"/>
      <c r="P144" s="245"/>
      <c r="Q144" s="245"/>
      <c r="R144" s="245"/>
      <c r="S144" s="245"/>
      <c r="T144" s="245"/>
      <c r="U144" s="245"/>
      <c r="V144" s="245"/>
      <c r="W144" s="245"/>
      <c r="X144" s="245"/>
      <c r="Y144" s="245"/>
      <c r="Z144" s="246"/>
      <c r="AA144" s="245"/>
      <c r="AB144" s="245"/>
      <c r="AC144" s="245"/>
      <c r="AD144" s="245"/>
      <c r="AE144" s="245"/>
      <c r="AF144" s="245"/>
      <c r="AG144" s="245"/>
      <c r="AH144" s="245"/>
      <c r="AI144" s="245"/>
      <c r="AJ144" s="245"/>
      <c r="AK144" s="245"/>
      <c r="AL144" s="245"/>
      <c r="AM144" s="245"/>
      <c r="AN144" s="245"/>
      <c r="AO144" s="245"/>
      <c r="AP144" s="245"/>
      <c r="AQ144" s="245"/>
      <c r="AR144" s="245"/>
      <c r="AS144" s="246"/>
      <c r="AT144" s="245">
        <v>8.15</v>
      </c>
      <c r="AU144" s="245"/>
      <c r="AV144" s="245"/>
      <c r="AW144" s="245"/>
      <c r="AX144" s="245"/>
      <c r="AY144" s="245"/>
      <c r="AZ144" s="245"/>
      <c r="BA144" s="245"/>
      <c r="BB144" s="245"/>
      <c r="BC144" s="245"/>
      <c r="BD144" s="245"/>
      <c r="BE144" s="245"/>
      <c r="BF144" s="245"/>
      <c r="BG144" s="245"/>
      <c r="BH144" s="246"/>
      <c r="BI144" s="246"/>
      <c r="BJ144" s="245"/>
      <c r="BK144" s="245"/>
      <c r="BL144" s="245"/>
      <c r="BM144" s="238"/>
      <c r="BN144" s="315">
        <f t="shared" si="12"/>
        <v>8.15</v>
      </c>
      <c r="BO144" s="316" t="s">
        <v>432</v>
      </c>
      <c r="BP144" s="317" t="s">
        <v>433</v>
      </c>
      <c r="BQ144" s="249">
        <f t="shared" si="10"/>
        <v>126</v>
      </c>
      <c r="BR144" s="250"/>
      <c r="BS144" s="250"/>
    </row>
    <row r="145" spans="1:71" ht="18">
      <c r="A145" s="245"/>
      <c r="B145" s="245"/>
      <c r="C145" s="245"/>
      <c r="D145" s="245"/>
      <c r="E145" s="245"/>
      <c r="F145" s="245"/>
      <c r="G145" s="245"/>
      <c r="H145" s="245"/>
      <c r="I145" s="245"/>
      <c r="J145" s="245"/>
      <c r="K145" s="245"/>
      <c r="L145" s="245"/>
      <c r="M145" s="245"/>
      <c r="N145" s="245"/>
      <c r="O145" s="245"/>
      <c r="P145" s="245"/>
      <c r="Q145" s="245"/>
      <c r="R145" s="245"/>
      <c r="S145" s="245"/>
      <c r="T145" s="245"/>
      <c r="U145" s="245"/>
      <c r="V145" s="245"/>
      <c r="W145" s="245"/>
      <c r="X145" s="245"/>
      <c r="Y145" s="245"/>
      <c r="Z145" s="246"/>
      <c r="AA145" s="245"/>
      <c r="AB145" s="245"/>
      <c r="AC145" s="245"/>
      <c r="AD145" s="245"/>
      <c r="AE145" s="245"/>
      <c r="AF145" s="245"/>
      <c r="AG145" s="245"/>
      <c r="AH145" s="245"/>
      <c r="AI145" s="245"/>
      <c r="AJ145" s="245"/>
      <c r="AK145" s="245"/>
      <c r="AL145" s="245"/>
      <c r="AM145" s="245"/>
      <c r="AN145" s="245"/>
      <c r="AO145" s="245"/>
      <c r="AP145" s="245"/>
      <c r="AQ145" s="245"/>
      <c r="AR145" s="245"/>
      <c r="AS145" s="246"/>
      <c r="AT145" s="245">
        <v>8.15</v>
      </c>
      <c r="AU145" s="245"/>
      <c r="AV145" s="245"/>
      <c r="AW145" s="245"/>
      <c r="AX145" s="245"/>
      <c r="AY145" s="245"/>
      <c r="AZ145" s="245"/>
      <c r="BA145" s="245"/>
      <c r="BB145" s="245"/>
      <c r="BC145" s="245"/>
      <c r="BD145" s="245"/>
      <c r="BE145" s="245"/>
      <c r="BF145" s="245"/>
      <c r="BG145" s="245"/>
      <c r="BH145" s="246"/>
      <c r="BI145" s="246"/>
      <c r="BJ145" s="245"/>
      <c r="BK145" s="245"/>
      <c r="BL145" s="245"/>
      <c r="BM145" s="238"/>
      <c r="BN145" s="315">
        <f t="shared" si="12"/>
        <v>8.15</v>
      </c>
      <c r="BO145" s="316" t="s">
        <v>432</v>
      </c>
      <c r="BP145" s="317" t="s">
        <v>434</v>
      </c>
      <c r="BQ145" s="249">
        <f t="shared" si="10"/>
        <v>127</v>
      </c>
      <c r="BR145" s="250"/>
      <c r="BS145" s="250"/>
    </row>
    <row r="146" spans="1:71" ht="18">
      <c r="A146" s="245"/>
      <c r="B146" s="245"/>
      <c r="C146" s="245"/>
      <c r="D146" s="245"/>
      <c r="E146" s="245"/>
      <c r="F146" s="245"/>
      <c r="G146" s="245"/>
      <c r="H146" s="245"/>
      <c r="I146" s="245"/>
      <c r="J146" s="245"/>
      <c r="K146" s="245"/>
      <c r="L146" s="245"/>
      <c r="M146" s="245"/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  <c r="X146" s="245"/>
      <c r="Y146" s="245"/>
      <c r="Z146" s="246"/>
      <c r="AA146" s="245"/>
      <c r="AB146" s="245"/>
      <c r="AC146" s="245"/>
      <c r="AD146" s="245"/>
      <c r="AE146" s="245"/>
      <c r="AF146" s="245"/>
      <c r="AG146" s="245"/>
      <c r="AH146" s="245"/>
      <c r="AI146" s="245"/>
      <c r="AJ146" s="245"/>
      <c r="AK146" s="245"/>
      <c r="AL146" s="245"/>
      <c r="AM146" s="245"/>
      <c r="AN146" s="245"/>
      <c r="AO146" s="245"/>
      <c r="AP146" s="245"/>
      <c r="AQ146" s="245"/>
      <c r="AR146" s="245"/>
      <c r="AS146" s="246"/>
      <c r="AT146" s="245">
        <v>8.15</v>
      </c>
      <c r="AU146" s="245"/>
      <c r="AV146" s="245"/>
      <c r="AW146" s="245"/>
      <c r="AX146" s="245"/>
      <c r="AY146" s="245"/>
      <c r="AZ146" s="245"/>
      <c r="BA146" s="245"/>
      <c r="BB146" s="245"/>
      <c r="BC146" s="245"/>
      <c r="BD146" s="245"/>
      <c r="BE146" s="245"/>
      <c r="BF146" s="245"/>
      <c r="BG146" s="245"/>
      <c r="BH146" s="246"/>
      <c r="BI146" s="246"/>
      <c r="BJ146" s="245"/>
      <c r="BK146" s="245"/>
      <c r="BL146" s="245"/>
      <c r="BM146" s="238"/>
      <c r="BN146" s="315">
        <f t="shared" si="12"/>
        <v>8.15</v>
      </c>
      <c r="BO146" s="316" t="s">
        <v>432</v>
      </c>
      <c r="BP146" s="317" t="s">
        <v>435</v>
      </c>
      <c r="BQ146" s="249">
        <f t="shared" si="10"/>
        <v>128</v>
      </c>
      <c r="BR146" s="250"/>
      <c r="BS146" s="250"/>
    </row>
    <row r="147" spans="1:71" ht="18">
      <c r="A147" s="245"/>
      <c r="B147" s="245"/>
      <c r="C147" s="245"/>
      <c r="D147" s="245"/>
      <c r="E147" s="245"/>
      <c r="F147" s="245"/>
      <c r="G147" s="245"/>
      <c r="H147" s="245"/>
      <c r="I147" s="245"/>
      <c r="J147" s="245"/>
      <c r="K147" s="245"/>
      <c r="L147" s="245"/>
      <c r="M147" s="245"/>
      <c r="N147" s="245"/>
      <c r="O147" s="245"/>
      <c r="P147" s="245"/>
      <c r="Q147" s="245"/>
      <c r="R147" s="245"/>
      <c r="S147" s="245"/>
      <c r="T147" s="245"/>
      <c r="U147" s="245"/>
      <c r="V147" s="245"/>
      <c r="W147" s="245"/>
      <c r="X147" s="245"/>
      <c r="Y147" s="245"/>
      <c r="Z147" s="246"/>
      <c r="AA147" s="245"/>
      <c r="AB147" s="245"/>
      <c r="AC147" s="245"/>
      <c r="AD147" s="245"/>
      <c r="AE147" s="245"/>
      <c r="AF147" s="245"/>
      <c r="AG147" s="245"/>
      <c r="AH147" s="245"/>
      <c r="AI147" s="245"/>
      <c r="AJ147" s="245"/>
      <c r="AK147" s="245"/>
      <c r="AL147" s="245"/>
      <c r="AM147" s="245"/>
      <c r="AN147" s="245"/>
      <c r="AO147" s="245"/>
      <c r="AP147" s="245"/>
      <c r="AQ147" s="245"/>
      <c r="AR147" s="245"/>
      <c r="AS147" s="246"/>
      <c r="AT147" s="245">
        <v>8.15</v>
      </c>
      <c r="AU147" s="245"/>
      <c r="AV147" s="245"/>
      <c r="AW147" s="245"/>
      <c r="AX147" s="245"/>
      <c r="AY147" s="245"/>
      <c r="AZ147" s="245"/>
      <c r="BA147" s="245"/>
      <c r="BB147" s="245"/>
      <c r="BC147" s="245"/>
      <c r="BD147" s="245"/>
      <c r="BE147" s="245"/>
      <c r="BF147" s="245"/>
      <c r="BG147" s="245"/>
      <c r="BH147" s="246"/>
      <c r="BI147" s="246"/>
      <c r="BJ147" s="245"/>
      <c r="BK147" s="245"/>
      <c r="BL147" s="245"/>
      <c r="BM147" s="238"/>
      <c r="BN147" s="315">
        <f t="shared" si="12"/>
        <v>8.15</v>
      </c>
      <c r="BO147" s="316" t="s">
        <v>432</v>
      </c>
      <c r="BP147" s="317" t="s">
        <v>436</v>
      </c>
      <c r="BQ147" s="249">
        <f t="shared" si="10"/>
        <v>129</v>
      </c>
      <c r="BR147" s="250"/>
      <c r="BS147" s="250"/>
    </row>
    <row r="148" spans="1:71" ht="18">
      <c r="A148" s="245"/>
      <c r="B148" s="245"/>
      <c r="C148" s="245"/>
      <c r="D148" s="245"/>
      <c r="E148" s="245"/>
      <c r="F148" s="245"/>
      <c r="G148" s="245"/>
      <c r="H148" s="245"/>
      <c r="I148" s="245"/>
      <c r="J148" s="245"/>
      <c r="K148" s="245"/>
      <c r="L148" s="245"/>
      <c r="M148" s="245"/>
      <c r="N148" s="245"/>
      <c r="O148" s="245"/>
      <c r="P148" s="245"/>
      <c r="Q148" s="245"/>
      <c r="R148" s="245"/>
      <c r="S148" s="245"/>
      <c r="T148" s="245"/>
      <c r="U148" s="245"/>
      <c r="V148" s="245"/>
      <c r="W148" s="245"/>
      <c r="X148" s="245"/>
      <c r="Y148" s="245"/>
      <c r="Z148" s="246"/>
      <c r="AA148" s="245"/>
      <c r="AB148" s="245"/>
      <c r="AC148" s="245"/>
      <c r="AD148" s="245"/>
      <c r="AE148" s="245"/>
      <c r="AF148" s="245"/>
      <c r="AG148" s="245"/>
      <c r="AH148" s="245"/>
      <c r="AI148" s="245"/>
      <c r="AJ148" s="245"/>
      <c r="AK148" s="245"/>
      <c r="AL148" s="245"/>
      <c r="AM148" s="245"/>
      <c r="AN148" s="245"/>
      <c r="AO148" s="245"/>
      <c r="AP148" s="245"/>
      <c r="AQ148" s="245"/>
      <c r="AR148" s="245"/>
      <c r="AS148" s="246"/>
      <c r="AT148" s="245">
        <v>8.15</v>
      </c>
      <c r="AU148" s="245"/>
      <c r="AV148" s="245"/>
      <c r="AW148" s="245"/>
      <c r="AX148" s="245"/>
      <c r="AY148" s="245"/>
      <c r="AZ148" s="245"/>
      <c r="BA148" s="245"/>
      <c r="BB148" s="245"/>
      <c r="BC148" s="245"/>
      <c r="BD148" s="245"/>
      <c r="BE148" s="245"/>
      <c r="BF148" s="245"/>
      <c r="BG148" s="245"/>
      <c r="BH148" s="246"/>
      <c r="BI148" s="246"/>
      <c r="BJ148" s="245"/>
      <c r="BK148" s="245"/>
      <c r="BL148" s="245"/>
      <c r="BM148" s="238"/>
      <c r="BN148" s="315">
        <f t="shared" si="12"/>
        <v>8.15</v>
      </c>
      <c r="BO148" s="316" t="s">
        <v>432</v>
      </c>
      <c r="BP148" s="317" t="s">
        <v>437</v>
      </c>
      <c r="BQ148" s="249">
        <f t="shared" si="10"/>
        <v>130</v>
      </c>
      <c r="BR148" s="250"/>
      <c r="BS148" s="250"/>
    </row>
    <row r="149" spans="1:71" ht="18">
      <c r="A149" s="245"/>
      <c r="B149" s="245"/>
      <c r="C149" s="245"/>
      <c r="D149" s="245"/>
      <c r="E149" s="245"/>
      <c r="F149" s="245"/>
      <c r="G149" s="245"/>
      <c r="H149" s="245"/>
      <c r="I149" s="245"/>
      <c r="J149" s="245"/>
      <c r="K149" s="245"/>
      <c r="L149" s="245"/>
      <c r="M149" s="245"/>
      <c r="N149" s="245"/>
      <c r="O149" s="245"/>
      <c r="P149" s="245"/>
      <c r="Q149" s="245"/>
      <c r="R149" s="245"/>
      <c r="S149" s="245"/>
      <c r="T149" s="245"/>
      <c r="U149" s="245"/>
      <c r="V149" s="245"/>
      <c r="W149" s="245"/>
      <c r="X149" s="245"/>
      <c r="Y149" s="245"/>
      <c r="Z149" s="246"/>
      <c r="AA149" s="245"/>
      <c r="AB149" s="245"/>
      <c r="AC149" s="245"/>
      <c r="AD149" s="245"/>
      <c r="AE149" s="245"/>
      <c r="AF149" s="245"/>
      <c r="AG149" s="245"/>
      <c r="AH149" s="245"/>
      <c r="AI149" s="245"/>
      <c r="AJ149" s="245"/>
      <c r="AK149" s="245"/>
      <c r="AL149" s="245"/>
      <c r="AM149" s="245"/>
      <c r="AN149" s="245"/>
      <c r="AO149" s="245"/>
      <c r="AP149" s="245"/>
      <c r="AQ149" s="245"/>
      <c r="AR149" s="245"/>
      <c r="AS149" s="246"/>
      <c r="AT149" s="245">
        <v>8.15</v>
      </c>
      <c r="AU149" s="245"/>
      <c r="AV149" s="245"/>
      <c r="AW149" s="245"/>
      <c r="AX149" s="245"/>
      <c r="AY149" s="245"/>
      <c r="AZ149" s="245"/>
      <c r="BA149" s="245"/>
      <c r="BB149" s="245"/>
      <c r="BC149" s="245"/>
      <c r="BD149" s="245"/>
      <c r="BE149" s="245"/>
      <c r="BF149" s="245"/>
      <c r="BG149" s="245"/>
      <c r="BH149" s="246"/>
      <c r="BI149" s="246"/>
      <c r="BJ149" s="245"/>
      <c r="BK149" s="245"/>
      <c r="BL149" s="245"/>
      <c r="BM149" s="238"/>
      <c r="BN149" s="315">
        <f t="shared" si="12"/>
        <v>8.15</v>
      </c>
      <c r="BO149" s="316" t="s">
        <v>432</v>
      </c>
      <c r="BP149" s="317" t="s">
        <v>438</v>
      </c>
      <c r="BQ149" s="249">
        <f t="shared" ref="BQ149:BQ155" si="13">BQ148+1</f>
        <v>131</v>
      </c>
      <c r="BR149" s="250"/>
      <c r="BS149" s="250"/>
    </row>
    <row r="150" spans="1:71" ht="18">
      <c r="A150" s="278"/>
      <c r="B150" s="278"/>
      <c r="C150" s="278"/>
      <c r="D150" s="278"/>
      <c r="E150" s="278"/>
      <c r="F150" s="278"/>
      <c r="G150" s="278"/>
      <c r="H150" s="278"/>
      <c r="I150" s="278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96"/>
      <c r="AA150" s="278"/>
      <c r="AB150" s="278"/>
      <c r="AC150" s="278"/>
      <c r="AD150" s="278"/>
      <c r="AE150" s="278"/>
      <c r="AF150" s="278"/>
      <c r="AG150" s="278"/>
      <c r="AH150" s="278"/>
      <c r="AI150" s="278"/>
      <c r="AJ150" s="278"/>
      <c r="AK150" s="278"/>
      <c r="AL150" s="278"/>
      <c r="AM150" s="278"/>
      <c r="AN150" s="278"/>
      <c r="AO150" s="278"/>
      <c r="AP150" s="278"/>
      <c r="AQ150" s="278"/>
      <c r="AR150" s="278"/>
      <c r="AS150" s="296"/>
      <c r="AT150" s="278">
        <v>8.15</v>
      </c>
      <c r="AU150" s="278"/>
      <c r="AV150" s="278"/>
      <c r="AW150" s="278"/>
      <c r="AX150" s="278"/>
      <c r="AY150" s="278"/>
      <c r="AZ150" s="278"/>
      <c r="BA150" s="278"/>
      <c r="BB150" s="278"/>
      <c r="BC150" s="278"/>
      <c r="BD150" s="278"/>
      <c r="BE150" s="278"/>
      <c r="BF150" s="278"/>
      <c r="BG150" s="278"/>
      <c r="BH150" s="296"/>
      <c r="BI150" s="296"/>
      <c r="BJ150" s="278"/>
      <c r="BK150" s="278"/>
      <c r="BL150" s="278"/>
      <c r="BM150" s="297"/>
      <c r="BN150" s="318">
        <f t="shared" si="12"/>
        <v>8.15</v>
      </c>
      <c r="BO150" s="319" t="s">
        <v>432</v>
      </c>
      <c r="BP150" s="320" t="s">
        <v>439</v>
      </c>
      <c r="BQ150" s="249">
        <f t="shared" si="13"/>
        <v>132</v>
      </c>
      <c r="BR150" s="250"/>
      <c r="BS150" s="250"/>
    </row>
    <row r="151" spans="1:71" ht="18">
      <c r="A151" s="278"/>
      <c r="B151" s="278"/>
      <c r="C151" s="278"/>
      <c r="D151" s="278"/>
      <c r="E151" s="278"/>
      <c r="F151" s="278"/>
      <c r="G151" s="278"/>
      <c r="H151" s="278"/>
      <c r="I151" s="278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96"/>
      <c r="AA151" s="278"/>
      <c r="AB151" s="278"/>
      <c r="AC151" s="278"/>
      <c r="AD151" s="278"/>
      <c r="AE151" s="278"/>
      <c r="AF151" s="278"/>
      <c r="AG151" s="278"/>
      <c r="AH151" s="278"/>
      <c r="AI151" s="278"/>
      <c r="AJ151" s="278"/>
      <c r="AK151" s="278"/>
      <c r="AL151" s="278"/>
      <c r="AM151" s="278"/>
      <c r="AN151" s="278"/>
      <c r="AO151" s="278"/>
      <c r="AP151" s="278"/>
      <c r="AQ151" s="278"/>
      <c r="AR151" s="278">
        <v>0.66</v>
      </c>
      <c r="AS151" s="296"/>
      <c r="AT151" s="278"/>
      <c r="AU151" s="278"/>
      <c r="AV151" s="278"/>
      <c r="AW151" s="278"/>
      <c r="AX151" s="278"/>
      <c r="AY151" s="278"/>
      <c r="AZ151" s="278"/>
      <c r="BA151" s="278"/>
      <c r="BB151" s="278"/>
      <c r="BC151" s="278"/>
      <c r="BD151" s="278"/>
      <c r="BE151" s="278"/>
      <c r="BF151" s="278"/>
      <c r="BG151" s="278"/>
      <c r="BH151" s="296"/>
      <c r="BI151" s="296"/>
      <c r="BJ151" s="278"/>
      <c r="BK151" s="278"/>
      <c r="BL151" s="278"/>
      <c r="BM151" s="297"/>
      <c r="BN151" s="318">
        <f t="shared" si="12"/>
        <v>0.66</v>
      </c>
      <c r="BO151" s="319" t="s">
        <v>440</v>
      </c>
      <c r="BP151" s="320" t="s">
        <v>441</v>
      </c>
      <c r="BQ151" s="249">
        <f t="shared" si="13"/>
        <v>133</v>
      </c>
      <c r="BR151" s="250"/>
      <c r="BS151" s="250"/>
    </row>
    <row r="152" spans="1:71" ht="18">
      <c r="A152" s="278"/>
      <c r="B152" s="278"/>
      <c r="C152" s="278"/>
      <c r="D152" s="278"/>
      <c r="E152" s="278"/>
      <c r="F152" s="278"/>
      <c r="G152" s="278"/>
      <c r="H152" s="278"/>
      <c r="I152" s="278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96"/>
      <c r="AA152" s="278"/>
      <c r="AB152" s="278"/>
      <c r="AC152" s="278"/>
      <c r="AD152" s="278"/>
      <c r="AE152" s="278"/>
      <c r="AF152" s="278"/>
      <c r="AG152" s="278"/>
      <c r="AH152" s="278"/>
      <c r="AI152" s="278"/>
      <c r="AJ152" s="278"/>
      <c r="AK152" s="278"/>
      <c r="AL152" s="278"/>
      <c r="AM152" s="278"/>
      <c r="AN152" s="278"/>
      <c r="AO152" s="278"/>
      <c r="AP152" s="278"/>
      <c r="AQ152" s="278"/>
      <c r="AR152" s="278">
        <v>0.66</v>
      </c>
      <c r="AS152" s="296"/>
      <c r="AT152" s="278"/>
      <c r="AU152" s="278"/>
      <c r="AV152" s="278"/>
      <c r="AW152" s="278"/>
      <c r="AX152" s="278"/>
      <c r="AY152" s="278"/>
      <c r="AZ152" s="278"/>
      <c r="BA152" s="278"/>
      <c r="BB152" s="278"/>
      <c r="BC152" s="278"/>
      <c r="BD152" s="278"/>
      <c r="BE152" s="278"/>
      <c r="BF152" s="278"/>
      <c r="BG152" s="278"/>
      <c r="BH152" s="296"/>
      <c r="BI152" s="296"/>
      <c r="BJ152" s="278"/>
      <c r="BK152" s="278"/>
      <c r="BL152" s="278"/>
      <c r="BM152" s="297"/>
      <c r="BN152" s="318">
        <f t="shared" si="12"/>
        <v>0.66</v>
      </c>
      <c r="BO152" s="319" t="s">
        <v>440</v>
      </c>
      <c r="BP152" s="320" t="s">
        <v>442</v>
      </c>
      <c r="BQ152" s="249">
        <f t="shared" si="13"/>
        <v>134</v>
      </c>
      <c r="BR152" s="250"/>
      <c r="BS152" s="250"/>
    </row>
    <row r="153" spans="1:71" ht="18">
      <c r="A153" s="278"/>
      <c r="B153" s="278"/>
      <c r="C153" s="278"/>
      <c r="D153" s="278"/>
      <c r="E153" s="278"/>
      <c r="F153" s="278"/>
      <c r="G153" s="278"/>
      <c r="H153" s="278"/>
      <c r="I153" s="278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96"/>
      <c r="AA153" s="278"/>
      <c r="AB153" s="278"/>
      <c r="AC153" s="278"/>
      <c r="AD153" s="278"/>
      <c r="AE153" s="278"/>
      <c r="AF153" s="278"/>
      <c r="AG153" s="278"/>
      <c r="AH153" s="278"/>
      <c r="AI153" s="278"/>
      <c r="AJ153" s="278"/>
      <c r="AK153" s="278"/>
      <c r="AL153" s="278"/>
      <c r="AM153" s="278"/>
      <c r="AN153" s="278"/>
      <c r="AO153" s="278"/>
      <c r="AP153" s="278"/>
      <c r="AQ153" s="278"/>
      <c r="AR153" s="278">
        <v>0.66</v>
      </c>
      <c r="AS153" s="296"/>
      <c r="AT153" s="278"/>
      <c r="AU153" s="278"/>
      <c r="AV153" s="278"/>
      <c r="AW153" s="278"/>
      <c r="AX153" s="278"/>
      <c r="AY153" s="278"/>
      <c r="AZ153" s="278"/>
      <c r="BA153" s="278"/>
      <c r="BB153" s="278"/>
      <c r="BC153" s="278"/>
      <c r="BD153" s="278"/>
      <c r="BE153" s="278"/>
      <c r="BF153" s="278"/>
      <c r="BG153" s="278"/>
      <c r="BH153" s="296"/>
      <c r="BI153" s="296"/>
      <c r="BJ153" s="278"/>
      <c r="BK153" s="278"/>
      <c r="BL153" s="278"/>
      <c r="BM153" s="297"/>
      <c r="BN153" s="318">
        <f t="shared" si="12"/>
        <v>0.66</v>
      </c>
      <c r="BO153" s="319" t="s">
        <v>440</v>
      </c>
      <c r="BP153" s="320" t="s">
        <v>443</v>
      </c>
      <c r="BQ153" s="249">
        <f t="shared" si="13"/>
        <v>135</v>
      </c>
      <c r="BR153" s="250"/>
      <c r="BS153" s="250"/>
    </row>
    <row r="154" spans="1:71" ht="18">
      <c r="A154" s="278"/>
      <c r="B154" s="278"/>
      <c r="C154" s="278"/>
      <c r="D154" s="278"/>
      <c r="E154" s="278"/>
      <c r="F154" s="278"/>
      <c r="G154" s="278"/>
      <c r="H154" s="278"/>
      <c r="I154" s="278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96"/>
      <c r="AA154" s="278"/>
      <c r="AB154" s="278"/>
      <c r="AC154" s="278"/>
      <c r="AD154" s="278"/>
      <c r="AE154" s="278"/>
      <c r="AF154" s="278"/>
      <c r="AG154" s="278"/>
      <c r="AH154" s="278"/>
      <c r="AI154" s="278"/>
      <c r="AJ154" s="278"/>
      <c r="AK154" s="278"/>
      <c r="AL154" s="278"/>
      <c r="AM154" s="278"/>
      <c r="AN154" s="278"/>
      <c r="AO154" s="278"/>
      <c r="AP154" s="278"/>
      <c r="AQ154" s="278"/>
      <c r="AR154" s="278">
        <v>0.66</v>
      </c>
      <c r="AS154" s="296"/>
      <c r="AT154" s="278"/>
      <c r="AU154" s="278"/>
      <c r="AV154" s="278"/>
      <c r="AW154" s="278"/>
      <c r="AX154" s="278"/>
      <c r="AY154" s="278"/>
      <c r="AZ154" s="278"/>
      <c r="BA154" s="278"/>
      <c r="BB154" s="278"/>
      <c r="BC154" s="278"/>
      <c r="BD154" s="278"/>
      <c r="BE154" s="278"/>
      <c r="BF154" s="278"/>
      <c r="BG154" s="278"/>
      <c r="BH154" s="296"/>
      <c r="BI154" s="296"/>
      <c r="BJ154" s="278"/>
      <c r="BK154" s="278"/>
      <c r="BL154" s="278"/>
      <c r="BM154" s="297"/>
      <c r="BN154" s="318">
        <f t="shared" si="12"/>
        <v>0.66</v>
      </c>
      <c r="BO154" s="319" t="s">
        <v>440</v>
      </c>
      <c r="BP154" s="320" t="s">
        <v>444</v>
      </c>
      <c r="BQ154" s="249">
        <f t="shared" si="13"/>
        <v>136</v>
      </c>
      <c r="BR154" s="250"/>
      <c r="BS154" s="250"/>
    </row>
    <row r="155" spans="1:71" ht="15.6">
      <c r="A155" s="250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50"/>
      <c r="X155" s="250"/>
      <c r="Y155" s="250"/>
      <c r="Z155" s="250"/>
      <c r="AA155" s="250"/>
      <c r="AB155" s="250"/>
      <c r="AC155" s="250"/>
      <c r="AD155" s="250"/>
      <c r="AE155" s="250"/>
      <c r="AF155" s="250"/>
      <c r="AG155" s="250"/>
      <c r="AH155" s="250"/>
      <c r="AI155" s="250"/>
      <c r="AJ155" s="250"/>
      <c r="AK155" s="250"/>
      <c r="AL155" s="250"/>
      <c r="AM155" s="250"/>
      <c r="AN155" s="250"/>
      <c r="AO155" s="250"/>
      <c r="AP155" s="250"/>
      <c r="AQ155" s="250"/>
      <c r="AR155" s="278">
        <v>0.66</v>
      </c>
      <c r="AS155" s="250"/>
      <c r="AT155" s="250"/>
      <c r="AU155" s="250"/>
      <c r="AV155" s="250"/>
      <c r="AW155" s="250"/>
      <c r="AX155" s="250"/>
      <c r="AY155" s="250"/>
      <c r="AZ155" s="250"/>
      <c r="BA155" s="250"/>
      <c r="BB155" s="250"/>
      <c r="BC155" s="250"/>
      <c r="BD155" s="250"/>
      <c r="BE155" s="250"/>
      <c r="BF155" s="250"/>
      <c r="BG155" s="250"/>
      <c r="BH155" s="250"/>
      <c r="BI155" s="250"/>
      <c r="BJ155" s="250"/>
      <c r="BK155" s="250"/>
      <c r="BL155" s="250"/>
      <c r="BM155" s="250"/>
      <c r="BN155" s="321">
        <f t="shared" si="12"/>
        <v>0.66</v>
      </c>
      <c r="BO155" s="322" t="s">
        <v>440</v>
      </c>
      <c r="BP155" s="323" t="s">
        <v>445</v>
      </c>
      <c r="BQ155" s="249">
        <f t="shared" si="13"/>
        <v>137</v>
      </c>
      <c r="BR155" s="250"/>
      <c r="BS155" s="250"/>
    </row>
    <row r="156" spans="1:71" ht="18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298"/>
      <c r="S156" s="298"/>
      <c r="T156" s="298"/>
      <c r="U156" s="298"/>
      <c r="V156" s="298"/>
      <c r="W156" s="298"/>
      <c r="X156" s="298"/>
      <c r="Y156" s="298"/>
      <c r="Z156" s="299"/>
      <c r="AA156" s="298"/>
      <c r="AB156" s="298"/>
      <c r="AC156" s="298"/>
      <c r="AD156" s="298"/>
      <c r="AE156" s="298"/>
      <c r="AF156" s="298"/>
      <c r="AG156" s="298"/>
      <c r="AH156" s="298"/>
      <c r="AI156" s="298"/>
      <c r="AJ156" s="298"/>
      <c r="AK156" s="298"/>
      <c r="AL156" s="298"/>
      <c r="AM156" s="298"/>
      <c r="AN156" s="298"/>
      <c r="AO156" s="298"/>
      <c r="AP156" s="298"/>
      <c r="AQ156" s="298"/>
      <c r="AR156" s="298"/>
      <c r="AS156" s="299"/>
      <c r="AT156" s="298"/>
      <c r="AU156" s="298"/>
      <c r="AV156" s="298"/>
      <c r="AW156" s="298"/>
      <c r="AX156" s="298"/>
      <c r="AY156" s="298"/>
      <c r="AZ156" s="298"/>
      <c r="BA156" s="298"/>
      <c r="BB156" s="298"/>
      <c r="BC156" s="298"/>
      <c r="BD156" s="298"/>
      <c r="BE156" s="298"/>
      <c r="BF156" s="298"/>
      <c r="BG156" s="298"/>
      <c r="BH156" s="299"/>
      <c r="BI156" s="299"/>
      <c r="BJ156" s="298"/>
      <c r="BK156" s="298"/>
      <c r="BL156" s="298"/>
      <c r="BM156" s="300"/>
      <c r="BN156" s="301"/>
      <c r="BO156" s="302"/>
      <c r="BP156" s="303"/>
      <c r="BQ156" s="304"/>
      <c r="BR156" s="305"/>
      <c r="BS156" s="250"/>
    </row>
    <row r="157" spans="1:71">
      <c r="A157" s="250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  <c r="AA157" s="250"/>
      <c r="AB157" s="250"/>
      <c r="AC157" s="250"/>
      <c r="AD157" s="250"/>
      <c r="AE157" s="250"/>
      <c r="AF157" s="250"/>
      <c r="AG157" s="250"/>
      <c r="AH157" s="250"/>
      <c r="AI157" s="250"/>
      <c r="AJ157" s="250"/>
      <c r="AK157" s="250"/>
      <c r="AL157" s="250"/>
      <c r="AM157" s="250"/>
      <c r="AN157" s="250"/>
      <c r="AO157" s="250"/>
      <c r="AP157" s="250"/>
      <c r="AQ157" s="250"/>
      <c r="AR157" s="250"/>
      <c r="AS157" s="250"/>
      <c r="AT157" s="250"/>
      <c r="AU157" s="250"/>
      <c r="AV157" s="250"/>
      <c r="AW157" s="250"/>
      <c r="AX157" s="250"/>
      <c r="AY157" s="250"/>
      <c r="AZ157" s="250"/>
      <c r="BA157" s="250"/>
      <c r="BB157" s="250"/>
      <c r="BC157" s="250"/>
      <c r="BD157" s="250"/>
      <c r="BE157" s="250"/>
      <c r="BF157" s="250"/>
      <c r="BG157" s="250"/>
      <c r="BH157" s="250"/>
      <c r="BI157" s="250"/>
      <c r="BJ157" s="250"/>
      <c r="BK157" s="250"/>
      <c r="BL157" s="250"/>
      <c r="BM157" s="250"/>
      <c r="BN157" s="250"/>
      <c r="BO157" s="250"/>
      <c r="BP157" s="250"/>
      <c r="BQ157" s="250"/>
      <c r="BR157" s="250"/>
      <c r="BS157" s="250"/>
    </row>
    <row r="158" spans="1:71" ht="15.6">
      <c r="A158" s="306">
        <f>SUM(A19:A156)</f>
        <v>24.960000000000004</v>
      </c>
      <c r="B158" s="306">
        <f t="shared" ref="B158:BL158" si="14">SUM(B19:B156)</f>
        <v>24.960000000000004</v>
      </c>
      <c r="C158" s="306">
        <f t="shared" si="14"/>
        <v>99.910000000000011</v>
      </c>
      <c r="D158" s="306">
        <f t="shared" si="14"/>
        <v>24.960000000000004</v>
      </c>
      <c r="E158" s="306">
        <f t="shared" si="14"/>
        <v>130.45000000000005</v>
      </c>
      <c r="F158" s="306">
        <f t="shared" si="14"/>
        <v>124.72999999999996</v>
      </c>
      <c r="G158" s="306">
        <f t="shared" si="14"/>
        <v>33.970000000000006</v>
      </c>
      <c r="H158" s="306">
        <f t="shared" si="14"/>
        <v>24.859999999999989</v>
      </c>
      <c r="I158" s="306">
        <f t="shared" si="14"/>
        <v>26.660000000000004</v>
      </c>
      <c r="J158" s="306">
        <f t="shared" si="14"/>
        <v>24.960000000000004</v>
      </c>
      <c r="K158" s="306">
        <f t="shared" si="14"/>
        <v>18.989999999999998</v>
      </c>
      <c r="L158" s="306">
        <f t="shared" si="14"/>
        <v>24.929999999999993</v>
      </c>
      <c r="M158" s="306">
        <f t="shared" si="14"/>
        <v>37.410000000000011</v>
      </c>
      <c r="N158" s="306">
        <f t="shared" si="14"/>
        <v>12.990000000000004</v>
      </c>
      <c r="O158" s="306">
        <f t="shared" si="14"/>
        <v>20.119999999999997</v>
      </c>
      <c r="P158" s="306">
        <f t="shared" si="14"/>
        <v>24.909999999999997</v>
      </c>
      <c r="Q158" s="306">
        <f t="shared" si="14"/>
        <v>24.929999999999993</v>
      </c>
      <c r="R158" s="306">
        <f t="shared" si="14"/>
        <v>24.990000000000002</v>
      </c>
      <c r="S158" s="306">
        <f t="shared" si="14"/>
        <v>24.93000000000001</v>
      </c>
      <c r="T158" s="306">
        <f t="shared" si="14"/>
        <v>24.909999999999997</v>
      </c>
      <c r="U158" s="306">
        <f t="shared" si="14"/>
        <v>24.960000000000004</v>
      </c>
      <c r="V158" s="306">
        <f t="shared" si="14"/>
        <v>24.93000000000001</v>
      </c>
      <c r="W158" s="306">
        <f t="shared" si="14"/>
        <v>24.909999999999997</v>
      </c>
      <c r="X158" s="306">
        <f t="shared" si="14"/>
        <v>99.990000000000009</v>
      </c>
      <c r="Y158" s="306">
        <f t="shared" si="14"/>
        <v>37.410000000000011</v>
      </c>
      <c r="Z158" s="307">
        <f t="shared" si="14"/>
        <v>97.22</v>
      </c>
      <c r="AA158" s="306">
        <f t="shared" si="14"/>
        <v>76.66</v>
      </c>
      <c r="AB158" s="306">
        <f t="shared" si="14"/>
        <v>55.390000000000029</v>
      </c>
      <c r="AC158" s="306">
        <f t="shared" si="14"/>
        <v>99.990000000000009</v>
      </c>
      <c r="AD158" s="306">
        <f t="shared" si="14"/>
        <v>24.929999999999993</v>
      </c>
      <c r="AE158" s="306">
        <f t="shared" si="14"/>
        <v>97.430000000000021</v>
      </c>
      <c r="AF158" s="306">
        <f t="shared" si="14"/>
        <v>21.710000000000008</v>
      </c>
      <c r="AG158" s="306">
        <f t="shared" si="14"/>
        <v>24.240000000000002</v>
      </c>
      <c r="AH158" s="306">
        <f t="shared" si="14"/>
        <v>97.75</v>
      </c>
      <c r="AI158" s="306">
        <f t="shared" si="14"/>
        <v>29.400000000000016</v>
      </c>
      <c r="AJ158" s="306">
        <f t="shared" si="14"/>
        <v>18</v>
      </c>
      <c r="AK158" s="306">
        <f t="shared" si="14"/>
        <v>24.929999999999993</v>
      </c>
      <c r="AL158" s="306">
        <f t="shared" si="14"/>
        <v>29.88999999999999</v>
      </c>
      <c r="AM158" s="306">
        <f t="shared" si="14"/>
        <v>24.960000000000004</v>
      </c>
      <c r="AN158" s="306">
        <f t="shared" si="14"/>
        <v>76.430000000000007</v>
      </c>
      <c r="AO158" s="306">
        <f t="shared" si="14"/>
        <v>19.430000000000007</v>
      </c>
      <c r="AP158" s="306">
        <f t="shared" si="14"/>
        <v>14.440000000000003</v>
      </c>
      <c r="AQ158" s="306">
        <f t="shared" si="14"/>
        <v>19.979999999999997</v>
      </c>
      <c r="AR158" s="307">
        <f t="shared" si="14"/>
        <v>9.9</v>
      </c>
      <c r="AS158" s="307">
        <f t="shared" si="14"/>
        <v>142.87000000000006</v>
      </c>
      <c r="AT158" s="306">
        <f t="shared" si="14"/>
        <v>154.72999999999999</v>
      </c>
      <c r="AU158" s="306">
        <f t="shared" si="14"/>
        <v>260.31</v>
      </c>
      <c r="AV158" s="306">
        <f t="shared" si="14"/>
        <v>44.620000000000012</v>
      </c>
      <c r="AW158" s="306">
        <f t="shared" si="14"/>
        <v>48.869999999999983</v>
      </c>
      <c r="AX158" s="306">
        <f t="shared" si="14"/>
        <v>95.230000000000032</v>
      </c>
      <c r="AY158" s="306">
        <f t="shared" si="14"/>
        <v>159.89999999999998</v>
      </c>
      <c r="AZ158" s="306">
        <f t="shared" si="14"/>
        <v>29.16</v>
      </c>
      <c r="BA158" s="306">
        <f t="shared" si="14"/>
        <v>44.20999999999998</v>
      </c>
      <c r="BB158" s="306">
        <f t="shared" si="14"/>
        <v>48.890000000000022</v>
      </c>
      <c r="BC158" s="306">
        <f t="shared" si="14"/>
        <v>37.97999999999999</v>
      </c>
      <c r="BD158" s="306">
        <f t="shared" si="14"/>
        <v>18.000000000000004</v>
      </c>
      <c r="BE158" s="306">
        <f t="shared" si="14"/>
        <v>75.249999999999972</v>
      </c>
      <c r="BF158" s="306">
        <f t="shared" si="14"/>
        <v>38.410000000000011</v>
      </c>
      <c r="BG158" s="306">
        <f t="shared" si="14"/>
        <v>44.750000000000007</v>
      </c>
      <c r="BH158" s="307">
        <f t="shared" si="14"/>
        <v>35.75</v>
      </c>
      <c r="BI158" s="307">
        <f t="shared" si="14"/>
        <v>51.199999999999996</v>
      </c>
      <c r="BJ158" s="306">
        <f t="shared" si="14"/>
        <v>43.20000000000001</v>
      </c>
      <c r="BK158" s="306">
        <f t="shared" si="14"/>
        <v>37.720000000000006</v>
      </c>
      <c r="BL158" s="306">
        <f t="shared" si="14"/>
        <v>25.440000000000008</v>
      </c>
      <c r="BM158" s="308"/>
      <c r="BN158" s="309">
        <f>SUM(BN19:BN156)+50</f>
        <v>3290.9000000000005</v>
      </c>
      <c r="BO158" s="557" t="s">
        <v>446</v>
      </c>
      <c r="BP158" s="558"/>
    </row>
    <row r="159" spans="1:71">
      <c r="A159" s="310">
        <f>A158-A17</f>
        <v>0</v>
      </c>
      <c r="B159" s="310">
        <f>B158-B17</f>
        <v>0</v>
      </c>
      <c r="C159" s="310">
        <f>C158-C17</f>
        <v>0</v>
      </c>
      <c r="D159" s="310">
        <f>D158-D17</f>
        <v>0</v>
      </c>
      <c r="E159" s="310">
        <f>E158-E17</f>
        <v>0</v>
      </c>
      <c r="F159" s="310">
        <f>F158-F17</f>
        <v>0</v>
      </c>
      <c r="G159" s="310">
        <f>G158-G17</f>
        <v>0</v>
      </c>
      <c r="H159" s="310">
        <f>H158-H17</f>
        <v>0</v>
      </c>
      <c r="I159" s="310">
        <f>I158-I17</f>
        <v>0</v>
      </c>
      <c r="J159" s="310">
        <f>J158-J17</f>
        <v>0</v>
      </c>
      <c r="K159" s="310">
        <f>K158-K17</f>
        <v>0</v>
      </c>
      <c r="L159" s="310">
        <f>L158-L17</f>
        <v>0</v>
      </c>
      <c r="M159" s="310">
        <f>M158-M17</f>
        <v>0</v>
      </c>
      <c r="N159" s="310">
        <f>N158-N17</f>
        <v>0</v>
      </c>
      <c r="O159" s="310">
        <f>O158-O17</f>
        <v>0</v>
      </c>
      <c r="P159" s="310">
        <f>P158-P17</f>
        <v>0</v>
      </c>
      <c r="Q159" s="310">
        <f>Q158-Q17</f>
        <v>0</v>
      </c>
      <c r="R159" s="310">
        <f>R158-R17</f>
        <v>0</v>
      </c>
      <c r="S159" s="310">
        <f>S158-S17</f>
        <v>0</v>
      </c>
      <c r="T159" s="310">
        <f>T158-T17</f>
        <v>0</v>
      </c>
      <c r="U159" s="310">
        <f>U158-U17</f>
        <v>0</v>
      </c>
      <c r="V159" s="310">
        <f>V158-V17</f>
        <v>0</v>
      </c>
      <c r="W159" s="310">
        <f>W158-W17</f>
        <v>0</v>
      </c>
      <c r="X159" s="310">
        <f>X158-X17</f>
        <v>0</v>
      </c>
      <c r="Y159" s="310">
        <f>Y158-Y17</f>
        <v>0</v>
      </c>
      <c r="Z159" s="310">
        <f>Z158-Z17</f>
        <v>0</v>
      </c>
      <c r="AA159" s="310">
        <f>AA158-AA17</f>
        <v>0</v>
      </c>
      <c r="AB159" s="310">
        <f>AB158-AB17</f>
        <v>0</v>
      </c>
      <c r="AC159" s="310">
        <f>AC158-AC17</f>
        <v>0</v>
      </c>
      <c r="AD159" s="310">
        <f>AD158-AD17</f>
        <v>0</v>
      </c>
      <c r="AE159" s="310">
        <f>AE158-AE17</f>
        <v>0</v>
      </c>
      <c r="AF159" s="310">
        <f>AF158-AF17</f>
        <v>0</v>
      </c>
      <c r="AG159" s="310">
        <f>AG158-AG17</f>
        <v>0</v>
      </c>
      <c r="AH159" s="310">
        <f>AH158-AH17</f>
        <v>0</v>
      </c>
      <c r="AI159" s="310">
        <f>AI158-AI17</f>
        <v>0</v>
      </c>
      <c r="AJ159" s="310">
        <f>AJ158-AJ17</f>
        <v>0</v>
      </c>
      <c r="AK159" s="310">
        <f>AK158-AK17</f>
        <v>0</v>
      </c>
      <c r="AL159" s="310">
        <f>AL158-AL17</f>
        <v>0</v>
      </c>
      <c r="AM159" s="310">
        <f>AM158-AM17</f>
        <v>0</v>
      </c>
      <c r="AN159" s="310">
        <f>AN158-AN17</f>
        <v>0</v>
      </c>
      <c r="AO159" s="310">
        <f>AO158-AO17</f>
        <v>0</v>
      </c>
      <c r="AP159" s="310">
        <f>AP158-AP17</f>
        <v>0</v>
      </c>
      <c r="AQ159" s="310">
        <f>AQ158-AQ17</f>
        <v>0</v>
      </c>
      <c r="AR159" s="310">
        <f>AR158-AR17</f>
        <v>0</v>
      </c>
      <c r="AS159" s="310">
        <f>AS158-AS17</f>
        <v>0</v>
      </c>
      <c r="AT159" s="310">
        <f>AT158-AT17</f>
        <v>0</v>
      </c>
      <c r="AU159" s="310">
        <f>AU158-AU17</f>
        <v>0</v>
      </c>
      <c r="AV159" s="310">
        <f>AV158-AV17</f>
        <v>0</v>
      </c>
      <c r="AW159" s="310">
        <f>AW158-AW17</f>
        <v>0</v>
      </c>
      <c r="AX159" s="310">
        <f>AX158-AX17</f>
        <v>0</v>
      </c>
      <c r="AY159" s="310">
        <f>AY158-AY17</f>
        <v>0</v>
      </c>
      <c r="AZ159" s="310">
        <f>AZ158-AZ17</f>
        <v>0</v>
      </c>
      <c r="BA159" s="310">
        <f>BA158-BA17</f>
        <v>0</v>
      </c>
      <c r="BB159" s="310">
        <f>BB158-BB17</f>
        <v>0</v>
      </c>
      <c r="BC159" s="310">
        <f>BC158-BC17</f>
        <v>0</v>
      </c>
      <c r="BD159" s="310">
        <f>BD158-BD17</f>
        <v>0</v>
      </c>
      <c r="BE159" s="310">
        <f>BE158-BE17</f>
        <v>0</v>
      </c>
      <c r="BF159" s="310">
        <f>BF158-BF17</f>
        <v>0</v>
      </c>
      <c r="BG159" s="310">
        <f>BG158-BG17</f>
        <v>0</v>
      </c>
      <c r="BH159" s="310">
        <f>BH158-BH17</f>
        <v>0</v>
      </c>
      <c r="BI159" s="310">
        <f>BI158-BI17</f>
        <v>0</v>
      </c>
      <c r="BJ159" s="310">
        <f>BJ158-BJ17</f>
        <v>0</v>
      </c>
      <c r="BK159" s="310">
        <f>BK158-BK17</f>
        <v>0</v>
      </c>
      <c r="BL159" s="310">
        <f>BL158-BL17</f>
        <v>0</v>
      </c>
      <c r="BM159" s="311"/>
      <c r="BN159" s="310">
        <f>BN158-BN17</f>
        <v>0</v>
      </c>
      <c r="BO159" s="311"/>
      <c r="BP159" s="311"/>
      <c r="BQ159" s="311"/>
      <c r="BR159" s="311"/>
    </row>
    <row r="160" spans="1:71">
      <c r="BN160" s="312"/>
    </row>
    <row r="163" spans="65:70" ht="18">
      <c r="BN163" s="313"/>
      <c r="BR163" s="313"/>
    </row>
    <row r="164" spans="65:70" ht="15.6">
      <c r="BM164" s="545"/>
      <c r="BN164" s="545"/>
      <c r="BO164" s="545"/>
      <c r="BQ164"/>
      <c r="BR164"/>
    </row>
    <row r="165" spans="65:70" ht="15.6">
      <c r="BM165" s="545"/>
      <c r="BN165" s="545"/>
      <c r="BO165" s="545"/>
      <c r="BQ165"/>
      <c r="BR165"/>
    </row>
  </sheetData>
  <mergeCells count="12">
    <mergeCell ref="BM165:BO165"/>
    <mergeCell ref="BN2:BP2"/>
    <mergeCell ref="BN3:BP3"/>
    <mergeCell ref="BN4:BP4"/>
    <mergeCell ref="BN6:BP6"/>
    <mergeCell ref="BO14:BP14"/>
    <mergeCell ref="BO15:BP15"/>
    <mergeCell ref="BO17:BP17"/>
    <mergeCell ref="BO18:BP18"/>
    <mergeCell ref="BO158:BP158"/>
    <mergeCell ref="BM164:BO164"/>
    <mergeCell ref="BN5:BP5"/>
  </mergeCells>
  <conditionalFormatting sqref="BN12">
    <cfRule type="containsText" dxfId="21" priority="43" operator="containsText" text="صحيح">
      <formula>NOT(ISERROR(SEARCH("صحيح",BN12)))</formula>
    </cfRule>
    <cfRule type="colorScale" priority="4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N12">
    <cfRule type="containsText" dxfId="20" priority="41" operator="containsText" text="صحيح">
      <formula>NOT(ISERROR(SEARCH("صحيح",BN12)))</formula>
    </cfRule>
    <cfRule type="colorScale" priority="4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W12">
    <cfRule type="containsText" dxfId="19" priority="39" operator="containsText" text="صحيح">
      <formula>NOT(ISERROR(SEARCH("صحيح",W12)))</formula>
    </cfRule>
    <cfRule type="colorScale" priority="4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W12">
    <cfRule type="containsText" dxfId="18" priority="37" operator="containsText" text="صحيح">
      <formula>NOT(ISERROR(SEARCH("صحيح",W12)))</formula>
    </cfRule>
    <cfRule type="colorScale" priority="3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12 AD12">
    <cfRule type="containsText" dxfId="17" priority="35" operator="containsText" text="صحيح">
      <formula>NOT(ISERROR(SEARCH("صحيح",M12)))</formula>
    </cfRule>
    <cfRule type="colorScale" priority="3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12 AD12">
    <cfRule type="containsText" dxfId="16" priority="33" operator="containsText" text="صحيح">
      <formula>NOT(ISERROR(SEARCH("صحيح",M12)))</formula>
    </cfRule>
    <cfRule type="colorScale" priority="3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K12">
    <cfRule type="containsText" dxfId="15" priority="31" operator="containsText" text="صحيح">
      <formula>NOT(ISERROR(SEARCH("صحيح",BK12)))</formula>
    </cfRule>
    <cfRule type="colorScale" priority="3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K12">
    <cfRule type="containsText" dxfId="14" priority="29" operator="containsText" text="صحيح">
      <formula>NOT(ISERROR(SEARCH("صحيح",BK12)))</formula>
    </cfRule>
    <cfRule type="colorScale" priority="3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H12:BI12 AE12:AF12 R12 U12 AN12 C12 E12:F12 K12:L12 N12:P12 W12 Y12:AA12 AH12:AK12 BC12 AY12 AP12:AV12">
    <cfRule type="containsText" dxfId="13" priority="27" operator="containsText" text="صحيح">
      <formula>NOT(ISERROR(SEARCH("صحيح",C12)))</formula>
    </cfRule>
    <cfRule type="colorScale" priority="2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H12:BI12 AE12:AF12 R12 U12 AN12 C12 E12:F12 K12:L12 N12:P12 W12 Y12:AA12 AH12:AK12 BC12 AY12 AP12:AV12">
    <cfRule type="containsText" dxfId="12" priority="25" operator="containsText" text="صحيح">
      <formula>NOT(ISERROR(SEARCH("صحيح",C12)))</formula>
    </cfRule>
    <cfRule type="colorScale" priority="2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12:AX12">
    <cfRule type="containsText" dxfId="11" priority="23" operator="containsText" text="صحيح">
      <formula>NOT(ISERROR(SEARCH("صحيح",AW12)))</formula>
    </cfRule>
    <cfRule type="colorScale" priority="2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12:AX12">
    <cfRule type="containsText" dxfId="10" priority="21" operator="containsText" text="صحيح">
      <formula>NOT(ISERROR(SEARCH("صحيح",AW12)))</formula>
    </cfRule>
    <cfRule type="colorScale" priority="2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12:AX12 A12:B12 AZ12:BB12 BJ12 BL12 AG12 S12:T12 D12 G12:J12 Q12 V12 X12 AB12:AC12 AL12:AM12 AO12 BD12:BG12">
    <cfRule type="containsText" dxfId="9" priority="19" operator="containsText" text="صحيح">
      <formula>NOT(ISERROR(SEARCH("صحيح",A12)))</formula>
    </cfRule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12:AX12 A12:B12 AZ12:BB12 BJ12 BL12 AG12 S12:T12 D12 G12:J12 Q12 V12 X12 AB12:AC12 AL12:AM12 AO12 BD12:BG12">
    <cfRule type="containsText" dxfId="8" priority="17" operator="containsText" text="صحيح">
      <formula>NOT(ISERROR(SEARCH("صحيح",A12)))</formula>
    </cfRule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12:AX12 V12 AG12 D12 A12:B12 G12:J12 M12 Q12 S12:T12 X12 AB12:AD12 BJ12 AZ12:BB12 BL12 AL12:AM12 AO12 BD12:BG12">
    <cfRule type="containsText" dxfId="7" priority="15" operator="containsText" text="صحيح">
      <formula>NOT(ISERROR(SEARCH("صحيح",A12)))</formula>
    </cfRule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W12:AX12 V12 AG12 D12 A12:B12 G12:J12 M12 Q12 S12:T12 X12 AB12:AD12 BJ12 AZ12:BB12 BL12 AL12:AM12 AO12 BD12:BG12">
    <cfRule type="containsText" dxfId="6" priority="13" operator="containsText" text="صحيح">
      <formula>NOT(ISERROR(SEARCH("صحيح",A12)))</formula>
    </cfRule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12:AV12">
    <cfRule type="containsText" dxfId="5" priority="11" operator="containsText" text="صحيح">
      <formula>NOT(ISERROR(SEARCH("صحيح",AT12)))</formula>
    </cfRule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12:AV12">
    <cfRule type="containsText" dxfId="4" priority="9" operator="containsText" text="صحيح">
      <formula>NOT(ISERROR(SEARCH("صحيح",AT12)))</formula>
    </cfRule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2">
    <cfRule type="containsText" dxfId="3" priority="7" operator="containsText" text="صحيح">
      <formula>NOT(ISERROR(SEARCH("صحيح",AV12)))</formula>
    </cfRule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V12">
    <cfRule type="containsText" dxfId="2" priority="5" operator="containsText" text="صحيح">
      <formula>NOT(ISERROR(SEARCH("صحيح",AV12)))</formula>
    </cfRule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12:AU12">
    <cfRule type="containsText" dxfId="1" priority="3" operator="containsText" text="صحيح">
      <formula>NOT(ISERROR(SEARCH("صحيح",AT12)))</formula>
    </cfRule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12:AU12">
    <cfRule type="containsText" dxfId="0" priority="1" operator="containsText" text="صحيح">
      <formula>NOT(ISERROR(SEARCH("صحيح",AT12)))</formula>
    </cfRule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 count="138">
    <dataValidation allowBlank="1" showInputMessage="1" showErrorMessage="1" prompt="الأسعد قفصاوي " sqref="BR92 A94:BP94"/>
    <dataValidation allowBlank="1" showInputMessage="1" showErrorMessage="1" prompt="نجيب الشهبي " sqref="A92:BP92"/>
    <dataValidation allowBlank="1" showInputMessage="1" showErrorMessage="1" prompt="يوسف الحفناوي " sqref="A93:BP93"/>
    <dataValidation allowBlank="1" showInputMessage="1" showErrorMessage="1" prompt="وليد الجباري" sqref="A155:AQ155 AS155:BP155"/>
    <dataValidation allowBlank="1" showInputMessage="1" showErrorMessage="1" prompt="نبيل اليحياوي" sqref="A154:BP154 AR155"/>
    <dataValidation allowBlank="1" showInputMessage="1" showErrorMessage="1" prompt="فتحي التيزاوي" sqref="A153:BP153"/>
    <dataValidation allowBlank="1" showInputMessage="1" showErrorMessage="1" prompt="منصور المشوري" sqref="A152:BP152"/>
    <dataValidation allowBlank="1" showInputMessage="1" showErrorMessage="1" prompt="المعز المؤدب" sqref="A151:BP151"/>
    <dataValidation allowBlank="1" showInputMessage="1" showErrorMessage="1" prompt="أشرف البراهمي" sqref="A149:BP149"/>
    <dataValidation allowBlank="1" showInputMessage="1" showErrorMessage="1" prompt="رشيد الزغواني" sqref="A144:BP144"/>
    <dataValidation allowBlank="1" showInputMessage="1" showErrorMessage="1" prompt="باسم المازني" sqref="A156:BP156 A150:BP150"/>
    <dataValidation allowBlank="1" showInputMessage="1" showErrorMessage="1" prompt="محمد أشرف البوسالمي" sqref="A148:BP148"/>
    <dataValidation allowBlank="1" showInputMessage="1" showErrorMessage="1" prompt="محمد أمين الزوابي" sqref="A147:BP147"/>
    <dataValidation allowBlank="1" showInputMessage="1" showErrorMessage="1" prompt="هشام الحويجي" sqref="A146:BP146"/>
    <dataValidation allowBlank="1" showInputMessage="1" showErrorMessage="1" prompt="زياد الخميري" sqref="A145:BP145"/>
    <dataValidation allowBlank="1" showInputMessage="1" showErrorMessage="1" prompt="حمزة صدوقة" sqref="A136:BM136 BO136:BP136 BN136:BN143"/>
    <dataValidation allowBlank="1" showInputMessage="1" showErrorMessage="1" prompt="فوزي النهدي " sqref="A98:BP98"/>
    <dataValidation allowBlank="1" showInputMessage="1" showErrorMessage="1" prompt="كريم البحري  " sqref="A97:BP97"/>
    <dataValidation allowBlank="1" showInputMessage="1" showErrorMessage="1" prompt="ياسين بوضياف " sqref="A96:BP96"/>
    <dataValidation allowBlank="1" showInputMessage="1" showErrorMessage="1" prompt="معز الطرودر " sqref="A95:BP95"/>
    <dataValidation allowBlank="1" showInputMessage="1" showErrorMessage="1" prompt="عدنان محجوبي " sqref="BR81 A81:BP81"/>
    <dataValidation allowBlank="1" showInputMessage="1" showErrorMessage="1" prompt="نبيلة الجريدي " sqref="BR88 A88:BP88"/>
    <dataValidation allowBlank="1" showInputMessage="1" showErrorMessage="1" prompt="خالد عرعار " sqref="BR87 A87:BP87"/>
    <dataValidation allowBlank="1" showInputMessage="1" showErrorMessage="1" prompt="الشاذلي ناجي " sqref="BR86 A86:BP86"/>
    <dataValidation allowBlank="1" showInputMessage="1" showErrorMessage="1" prompt="اماني العمدوني  " sqref="BR85 A85:BP85"/>
    <dataValidation allowBlank="1" showInputMessage="1" showErrorMessage="1" prompt="بلال العلوي " sqref="BR84 A84:BP84"/>
    <dataValidation allowBlank="1" showInputMessage="1" showErrorMessage="1" prompt="ايسين القيطوني  " sqref="BR83 A83:BP83"/>
    <dataValidation allowBlank="1" showInputMessage="1" showErrorMessage="1" prompt="كمال المالكي " sqref="BR82 A82:BP82"/>
    <dataValidation allowBlank="1" showInputMessage="1" showErrorMessage="1" prompt="لندة الأنلسي " sqref="BR80 A80:BP80"/>
    <dataValidation allowBlank="1" showInputMessage="1" showErrorMessage="1" prompt="رامي الجبالي" sqref="BR79 A79:BP79"/>
    <dataValidation allowBlank="1" showInputMessage="1" showErrorMessage="1" prompt="جلال العسكري " sqref="BR91 A91:BP91"/>
    <dataValidation allowBlank="1" showInputMessage="1" showErrorMessage="1" prompt="نبيل دبيش  " sqref="A90:BP90 BR90"/>
    <dataValidation allowBlank="1" showInputMessage="1" showErrorMessage="1" prompt="نور الدين مزداري " sqref="A89:BP89 BR89"/>
    <dataValidation allowBlank="1" showInputMessage="1" showErrorMessage="1" prompt="المنجي الأجرى" sqref="A135:BP135"/>
    <dataValidation allowBlank="1" showInputMessage="1" showErrorMessage="1" prompt="الطيب الزواري " sqref="A134:BP134"/>
    <dataValidation allowBlank="1" showInputMessage="1" showErrorMessage="1" prompt="رياض التواتي " sqref="A133:BP133"/>
    <dataValidation allowBlank="1" showInputMessage="1" showErrorMessage="1" prompt="حافظ العربي " sqref="A132:BP132"/>
    <dataValidation allowBlank="1" showInputMessage="1" showErrorMessage="1" prompt="الصادق الصالحي " sqref="A131:BP131"/>
    <dataValidation allowBlank="1" showInputMessage="1" showErrorMessage="1" prompt="انور الشنوفي " sqref="A130:BP130"/>
    <dataValidation allowBlank="1" showInputMessage="1" showErrorMessage="1" prompt="صفوان الجميلي " sqref="A109:BP109"/>
    <dataValidation allowBlank="1" showInputMessage="1" showErrorMessage="1" prompt="حمدي الصالحي " sqref="A108:BP108"/>
    <dataValidation allowBlank="1" showInputMessage="1" showErrorMessage="1" prompt="زياد الجبري " sqref="A107:BP107"/>
    <dataValidation allowBlank="1" showInputMessage="1" showErrorMessage="1" prompt="محمد بنعبيد " sqref="A114:BP114"/>
    <dataValidation allowBlank="1" showInputMessage="1" showErrorMessage="1" prompt="وليد الغزواني " sqref="A113:BP113"/>
    <dataValidation allowBlank="1" showInputMessage="1" showErrorMessage="1" prompt="علاء الدين الرابحي " sqref="A112:BP112"/>
    <dataValidation allowBlank="1" showInputMessage="1" showErrorMessage="1" prompt="بوبكر السالمي " sqref="A129:BP129"/>
    <dataValidation allowBlank="1" showInputMessage="1" showErrorMessage="1" prompt="احمد الهمامي" sqref="A128:BP128"/>
    <dataValidation allowBlank="1" showInputMessage="1" showErrorMessage="1" prompt="صفية بو صلاح " sqref="A143:BM143 BR156 BO143:BP143"/>
    <dataValidation allowBlank="1" showInputMessage="1" showErrorMessage="1" prompt="وليد الصالحي " sqref="A142:BM142 BO142:BP142"/>
    <dataValidation allowBlank="1" showInputMessage="1" showErrorMessage="1" prompt="صالح الهويشي " sqref="A141:BM141 BO141:BP141"/>
    <dataValidation allowBlank="1" showInputMessage="1" showErrorMessage="1" prompt="منصور المستوري " sqref="A140:BM140 BO140:BP140"/>
    <dataValidation allowBlank="1" showInputMessage="1" showErrorMessage="1" prompt="عادل القديدي " sqref="A139:BM139 BO139:BP139"/>
    <dataValidation allowBlank="1" showInputMessage="1" showErrorMessage="1" prompt="رمزي البجاوي " sqref="A138:BM138 BO138:BP138"/>
    <dataValidation allowBlank="1" showInputMessage="1" showErrorMessage="1" prompt="خالد الشعري " sqref="A137:BM137 BO137:BP137"/>
    <dataValidation allowBlank="1" showInputMessage="1" showErrorMessage="1" prompt="محمد القيزاني " sqref="A127:BP127"/>
    <dataValidation allowBlank="1" showInputMessage="1" showErrorMessage="1" prompt="اسامة الرزقي " sqref="A126:BP126"/>
    <dataValidation allowBlank="1" showInputMessage="1" showErrorMessage="1" prompt="احمد البوسعيدي " sqref="A125:BP125"/>
    <dataValidation allowBlank="1" showInputMessage="1" showErrorMessage="1" prompt="فؤاد بن حامد" sqref="A124:BP124"/>
    <dataValidation allowBlank="1" showInputMessage="1" showErrorMessage="1" prompt="منذر الزوابي " sqref="A123:BP123"/>
    <dataValidation allowBlank="1" showInputMessage="1" showErrorMessage="1" prompt="نبيل المعروفي " sqref="A122:BP122"/>
    <dataValidation allowBlank="1" showInputMessage="1" showErrorMessage="1" prompt="أنيس العجرودي" sqref="A121:BP121"/>
    <dataValidation allowBlank="1" showInputMessage="1" showErrorMessage="1" prompt="أحمد بن روينة" sqref="A120:BP120"/>
    <dataValidation allowBlank="1" showInputMessage="1" showErrorMessage="1" prompt="سفيان الرواجي " sqref="A119:BP119"/>
    <dataValidation allowBlank="1" showInputMessage="1" showErrorMessage="1" prompt="منعم الغزواني  " sqref="A118:BP118"/>
    <dataValidation allowBlank="1" showInputMessage="1" showErrorMessage="1" prompt="شهاب البشيني " sqref="A117:BP117"/>
    <dataValidation allowBlank="1" showInputMessage="1" showErrorMessage="1" prompt="صبري العلوي" sqref="A116:BP116"/>
    <dataValidation allowBlank="1" showInputMessage="1" showErrorMessage="1" prompt="أحمد قداشي " sqref="A115:BP115"/>
    <dataValidation allowBlank="1" showInputMessage="1" showErrorMessage="1" prompt="محمد العبيدي" sqref="A111:BP111"/>
    <dataValidation allowBlank="1" showInputMessage="1" showErrorMessage="1" prompt="أشرف العرفاوي" sqref="A110:BP110"/>
    <dataValidation allowBlank="1" showInputMessage="1" showErrorMessage="1" prompt="محمد أمين السديري" sqref="A106:BP106"/>
    <dataValidation allowBlank="1" showInputMessage="1" showErrorMessage="1" prompt="فتحي الورهاني " sqref="A105:BP105"/>
    <dataValidation allowBlank="1" showInputMessage="1" showErrorMessage="1" prompt="منير المعيزي " sqref="A104:BP104"/>
    <dataValidation allowBlank="1" showInputMessage="1" showErrorMessage="1" prompt="زياد حوايجي  " sqref="A103:BP103"/>
    <dataValidation allowBlank="1" showInputMessage="1" showErrorMessage="1" prompt="عيسى عبدلي " sqref="A102:BP102"/>
    <dataValidation allowBlank="1" showInputMessage="1" showErrorMessage="1" prompt="ايمن الرحاحلة  " sqref="A100:BP100"/>
    <dataValidation allowBlank="1" showInputMessage="1" showErrorMessage="1" prompt="رمزي بالطيب  " sqref="A99:BP99"/>
    <dataValidation allowBlank="1" showInputMessage="1" showErrorMessage="1" prompt="زياد شوشان  " sqref="A101:BP101"/>
    <dataValidation allowBlank="1" showInputMessage="1" showErrorMessage="1" prompt="شكري الجبري " sqref="D21:D22 A20:BR20 BQ21:BQ156"/>
    <dataValidation allowBlank="1" showInputMessage="1" showErrorMessage="1" prompt="رشدي الغانمي " sqref="A33:BP33 BR33"/>
    <dataValidation allowBlank="1" showInputMessage="1" showErrorMessage="1" prompt="محمد بن حمدة " sqref="A34:BP34 BR34"/>
    <dataValidation allowBlank="1" showInputMessage="1" showErrorMessage="1" prompt="يسري حداد " sqref="A32:BP32 BR32"/>
    <dataValidation allowBlank="1" showInputMessage="1" showErrorMessage="1" prompt="نبيل الدريدي " sqref="A31:BP31 BR31"/>
    <dataValidation allowBlank="1" showInputMessage="1" showErrorMessage="1" prompt="زياد الغربي " sqref="A24:BP24 BR24"/>
    <dataValidation allowBlank="1" showInputMessage="1" showErrorMessage="1" prompt="بلحسن اللموشي" sqref="A60:BP60"/>
    <dataValidation allowBlank="1" showInputMessage="1" showErrorMessage="1" prompt="مراد هلال" sqref="A51:BP51"/>
    <dataValidation allowBlank="1" showInputMessage="1" showErrorMessage="1" prompt="محمد علي التليلي" sqref="A30:BP30"/>
    <dataValidation allowBlank="1" showInputMessage="1" showErrorMessage="1" prompt="علي ذياب " sqref="A54:BP54 BR54"/>
    <dataValidation allowBlank="1" showInputMessage="1" showErrorMessage="1" prompt="ايمن السعيداني " sqref="A39:BP39"/>
    <dataValidation allowBlank="1" showInputMessage="1" showErrorMessage="1" prompt="ايمن المديوني " sqref="A35:BP35"/>
    <dataValidation allowBlank="1" showInputMessage="1" showErrorMessage="1" prompt=" زضا غريبي" sqref="A22:C22 E22:BP22"/>
    <dataValidation allowBlank="1" showInputMessage="1" showErrorMessage="1" prompt="ياسر بوعلي " sqref="A21:C21 E21:BP21"/>
    <dataValidation allowBlank="1" showInputMessage="1" showErrorMessage="1" prompt="محجوب عبد الحفيظ " sqref="A19:BP19"/>
    <dataValidation allowBlank="1" showInputMessage="1" showErrorMessage="1" prompt="الهادي الدلالي" sqref="C46 U46 R46"/>
    <dataValidation allowBlank="1" showInputMessage="1" showErrorMessage="1" prompt="نور الدين النصري " sqref="A57:BP57"/>
    <dataValidation allowBlank="1" showInputMessage="1" showErrorMessage="1" prompt="فوزى الأهجوري " sqref="A56:BP56"/>
    <dataValidation allowBlank="1" showInputMessage="1" showErrorMessage="1" prompt="احلام  حاجبي " sqref="A58:BP58"/>
    <dataValidation allowBlank="1" showInputMessage="1" showErrorMessage="1" prompt="ايمن المرزوقي " sqref="A64:BP64"/>
    <dataValidation allowBlank="1" showInputMessage="1" showErrorMessage="1" prompt="سمير البهلولي " sqref="A59:BP59"/>
    <dataValidation allowBlank="1" showInputMessage="1" showErrorMessage="1" prompt="الحبيب بن سالم " sqref="A29:BP29 BR29:BR30"/>
    <dataValidation allowBlank="1" showInputMessage="1" showErrorMessage="1" prompt="مختار الفتوي " sqref="BR28 A28:BP28"/>
    <dataValidation allowBlank="1" showInputMessage="1" showErrorMessage="1" prompt="الصحبي الديماسي " sqref="BR27 A27:BP27"/>
    <dataValidation allowBlank="1" showInputMessage="1" showErrorMessage="1" prompt="الهادي الدلالي " sqref="BR46 A46:B46 S46:T46 D46:Q46 V46:BP46"/>
    <dataValidation allowBlank="1" showInputMessage="1" showErrorMessage="1" prompt="سمير الحناشي " sqref="BR26 A26:BP26"/>
    <dataValidation allowBlank="1" showInputMessage="1" showErrorMessage="1" prompt="رمزي الهميسي " sqref="BR25 A25:BP25"/>
    <dataValidation allowBlank="1" showInputMessage="1" showErrorMessage="1" prompt="العربي بن يوسف " sqref="BR40 A40:BP40"/>
    <dataValidation allowBlank="1" showInputMessage="1" showErrorMessage="1" prompt="منتصر الغربي " sqref="A23:BP23 BR23"/>
    <dataValidation allowBlank="1" showInputMessage="1" showErrorMessage="1" prompt="وسام العياري " sqref="BR38:BR39 A38:BP38"/>
    <dataValidation allowBlank="1" showInputMessage="1" showErrorMessage="1" prompt="حسين المنوبي " sqref="BR37 A37:Z37 AB37:BP37"/>
    <dataValidation allowBlank="1" showInputMessage="1" showErrorMessage="1" prompt="وئام بن فرج " sqref="BR36 AA37 A36:BP36"/>
    <dataValidation allowBlank="1" showInputMessage="1" showErrorMessage="1" prompt="النوري النفزي " sqref="BR45 A45:BP45"/>
    <dataValidation allowBlank="1" showInputMessage="1" showErrorMessage="1" prompt="عبير البرجي " sqref="BR44 A44:BP44"/>
    <dataValidation allowBlank="1" showInputMessage="1" showErrorMessage="1" prompt="عادل بن مبروك " sqref="BR43 A43:BP43"/>
    <dataValidation allowBlank="1" showInputMessage="1" showErrorMessage="1" prompt="فاطمة البزازي " sqref="BR42 A42:BP42"/>
    <dataValidation allowBlank="1" showInputMessage="1" showErrorMessage="1" prompt="كريم العيادي " sqref="BR41 A41:BP41"/>
    <dataValidation allowBlank="1" showInputMessage="1" showErrorMessage="1" prompt="عمر برينيص" sqref="BR47 A47:BP47"/>
    <dataValidation allowBlank="1" showInputMessage="1" showErrorMessage="1" prompt="صبري المشرقي " sqref="BR50:BR51 A50:BP50"/>
    <dataValidation allowBlank="1" showInputMessage="1" showErrorMessage="1" prompt="سهيب المحمدي " sqref="BR49 A49:BP49"/>
    <dataValidation allowBlank="1" showInputMessage="1" showErrorMessage="1" prompt="شكيب بالي " sqref="BR48 A48:BP48"/>
    <dataValidation allowBlank="1" showInputMessage="1" showErrorMessage="1" prompt="العربي الشهيدي " sqref="BR52 A52:BP52"/>
    <dataValidation allowBlank="1" showInputMessage="1" showErrorMessage="1" prompt="معز العثماني " sqref="BR55 A55:BP55"/>
    <dataValidation allowBlank="1" showInputMessage="1" showErrorMessage="1" prompt="لسعد البلطي  " sqref="BR53 A53:BP53"/>
    <dataValidation allowBlank="1" showInputMessage="1" showErrorMessage="1" prompt="سماح الجبروني " sqref="A61:BP61 BR61"/>
    <dataValidation allowBlank="1" showInputMessage="1" showErrorMessage="1" prompt="سفيان الرياحي " sqref="A65:BP65 BR65"/>
    <dataValidation allowBlank="1" showInputMessage="1" showErrorMessage="1" prompt="سميح الرويسي " sqref="A62:BP62 BR62:BR63"/>
    <dataValidation allowBlank="1" showInputMessage="1" showErrorMessage="1" prompt="حاتم غومة" sqref="A63:BP63"/>
    <dataValidation allowBlank="1" showInputMessage="1" showErrorMessage="1" prompt="سمير الوردي" sqref="A73:BP73"/>
    <dataValidation allowBlank="1" showInputMessage="1" showErrorMessage="1" prompt="اميرة الفرشيشي  " sqref="A71:BP71"/>
    <dataValidation allowBlank="1" showInputMessage="1" showErrorMessage="1" prompt="وائل مبروك " sqref="BR66 A66:BP66"/>
    <dataValidation allowBlank="1" showInputMessage="1" showErrorMessage="1" prompt="ايمن الدقي " sqref="BR72:BR73 A72:BP72"/>
    <dataValidation allowBlank="1" showInputMessage="1" showErrorMessage="1" prompt="احمد عبد ربه" sqref="BR67 A67:BP67"/>
    <dataValidation allowBlank="1" showInputMessage="1" showErrorMessage="1" prompt="ريم الحناشي " sqref="BR70:BR71 A70:BP70"/>
    <dataValidation allowBlank="1" showInputMessage="1" showErrorMessage="1" prompt="سوار خليفة " sqref="BR69 A69:BP69"/>
    <dataValidation allowBlank="1" showInputMessage="1" showErrorMessage="1" prompt="مروى بن سعد" sqref="BR68 A68:BP68"/>
    <dataValidation allowBlank="1" showInputMessage="1" showErrorMessage="1" prompt="بسام السالمي " sqref="BR78 A78:BP78"/>
    <dataValidation allowBlank="1" showInputMessage="1" showErrorMessage="1" prompt="فرج هلال " sqref="BR77 A77:BP77"/>
    <dataValidation allowBlank="1" showInputMessage="1" showErrorMessage="1" prompt="احلام  البرهومي " sqref="BR76 A76:BP76"/>
    <dataValidation allowBlank="1" showInputMessage="1" showErrorMessage="1" prompt="نرجس قارة " sqref="BR75 A75:BP75"/>
    <dataValidation allowBlank="1" showInputMessage="1" showErrorMessage="1" prompt="لطيفة شفرة " sqref="BR74 A74:BP74"/>
  </dataValidation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P1032263"/>
  <sheetViews>
    <sheetView workbookViewId="0">
      <selection activeCell="D1" sqref="D1"/>
    </sheetView>
  </sheetViews>
  <sheetFormatPr baseColWidth="10" defaultRowHeight="14.4"/>
  <cols>
    <col min="3" max="3" width="17.88671875" customWidth="1"/>
    <col min="4" max="4" width="11.5546875" customWidth="1"/>
  </cols>
  <sheetData>
    <row r="1" spans="1:146" s="1" customFormat="1" ht="15.6">
      <c r="C1" s="248" t="s">
        <v>272</v>
      </c>
      <c r="D1" s="248" t="s">
        <v>273</v>
      </c>
      <c r="E1" s="248" t="s">
        <v>274</v>
      </c>
      <c r="F1" s="248" t="s">
        <v>275</v>
      </c>
      <c r="G1" s="248" t="s">
        <v>276</v>
      </c>
      <c r="H1" s="248" t="s">
        <v>277</v>
      </c>
      <c r="I1" s="248" t="s">
        <v>278</v>
      </c>
      <c r="J1" s="248" t="s">
        <v>279</v>
      </c>
      <c r="K1" s="248" t="s">
        <v>280</v>
      </c>
      <c r="L1" s="255" t="s">
        <v>281</v>
      </c>
      <c r="M1" s="255" t="s">
        <v>282</v>
      </c>
      <c r="N1" s="259" t="s">
        <v>284</v>
      </c>
      <c r="O1" s="259" t="s">
        <v>285</v>
      </c>
      <c r="P1" s="259" t="s">
        <v>286</v>
      </c>
      <c r="Q1" s="259" t="s">
        <v>287</v>
      </c>
      <c r="R1" s="259" t="s">
        <v>288</v>
      </c>
      <c r="S1" s="259" t="s">
        <v>289</v>
      </c>
      <c r="T1" s="261" t="s">
        <v>290</v>
      </c>
      <c r="U1" s="261" t="s">
        <v>291</v>
      </c>
      <c r="V1" s="261" t="s">
        <v>292</v>
      </c>
      <c r="W1" s="262" t="s">
        <v>293</v>
      </c>
      <c r="X1" s="262" t="s">
        <v>294</v>
      </c>
      <c r="Y1" s="264" t="s">
        <v>295</v>
      </c>
      <c r="Z1" s="261" t="s">
        <v>296</v>
      </c>
      <c r="AA1" s="261" t="s">
        <v>297</v>
      </c>
      <c r="AB1" s="261" t="s">
        <v>298</v>
      </c>
      <c r="AC1" s="261" t="s">
        <v>299</v>
      </c>
      <c r="AD1" s="261" t="s">
        <v>300</v>
      </c>
      <c r="AE1" s="261" t="s">
        <v>301</v>
      </c>
      <c r="AF1" s="261" t="s">
        <v>302</v>
      </c>
      <c r="AG1" s="261" t="s">
        <v>303</v>
      </c>
      <c r="AH1" s="261" t="s">
        <v>304</v>
      </c>
      <c r="AI1" s="261" t="s">
        <v>305</v>
      </c>
      <c r="AJ1" s="261" t="s">
        <v>306</v>
      </c>
      <c r="AK1" s="269" t="s">
        <v>308</v>
      </c>
      <c r="AL1" s="269" t="s">
        <v>309</v>
      </c>
      <c r="AM1" s="269" t="s">
        <v>310</v>
      </c>
      <c r="AN1" s="269" t="s">
        <v>311</v>
      </c>
      <c r="AO1" s="269" t="s">
        <v>312</v>
      </c>
      <c r="AP1" s="270" t="s">
        <v>313</v>
      </c>
      <c r="AQ1" s="270" t="s">
        <v>314</v>
      </c>
      <c r="AR1" s="271" t="s">
        <v>315</v>
      </c>
      <c r="AS1" s="270" t="s">
        <v>316</v>
      </c>
      <c r="AT1" s="272" t="s">
        <v>318</v>
      </c>
      <c r="AU1" s="277" t="s">
        <v>319</v>
      </c>
      <c r="AV1" s="280" t="s">
        <v>321</v>
      </c>
      <c r="AW1" s="285" t="s">
        <v>323</v>
      </c>
      <c r="AX1" s="289" t="s">
        <v>324</v>
      </c>
      <c r="AY1" s="277" t="s">
        <v>326</v>
      </c>
      <c r="AZ1" s="277" t="s">
        <v>328</v>
      </c>
      <c r="BA1" s="277" t="s">
        <v>329</v>
      </c>
      <c r="BB1" s="277" t="s">
        <v>331</v>
      </c>
      <c r="BC1" s="277" t="s">
        <v>332</v>
      </c>
      <c r="BD1" s="277" t="s">
        <v>333</v>
      </c>
      <c r="BE1" s="277" t="s">
        <v>335</v>
      </c>
      <c r="BF1" s="277" t="s">
        <v>336</v>
      </c>
      <c r="BG1" s="277" t="s">
        <v>337</v>
      </c>
      <c r="BH1" s="277" t="s">
        <v>339</v>
      </c>
      <c r="BI1" s="280" t="s">
        <v>341</v>
      </c>
      <c r="BJ1" s="292" t="s">
        <v>343</v>
      </c>
      <c r="BK1" s="280" t="s">
        <v>344</v>
      </c>
      <c r="BL1" s="292" t="s">
        <v>346</v>
      </c>
      <c r="BM1" s="292" t="s">
        <v>347</v>
      </c>
      <c r="BN1" s="292" t="s">
        <v>348</v>
      </c>
      <c r="BO1" s="292" t="s">
        <v>349</v>
      </c>
      <c r="BP1" s="293" t="s">
        <v>350</v>
      </c>
      <c r="BQ1" s="280" t="s">
        <v>351</v>
      </c>
      <c r="BR1" s="277" t="s">
        <v>355</v>
      </c>
      <c r="BS1" s="277" t="s">
        <v>356</v>
      </c>
      <c r="BT1" s="277" t="s">
        <v>358</v>
      </c>
      <c r="BU1" s="277" t="s">
        <v>359</v>
      </c>
      <c r="BV1" s="277" t="s">
        <v>361</v>
      </c>
      <c r="BW1" s="277" t="s">
        <v>362</v>
      </c>
      <c r="BX1" s="277" t="s">
        <v>363</v>
      </c>
      <c r="BY1" s="277" t="s">
        <v>365</v>
      </c>
      <c r="BZ1" s="277" t="s">
        <v>366</v>
      </c>
      <c r="CA1" s="277" t="s">
        <v>367</v>
      </c>
      <c r="CB1" s="277" t="s">
        <v>369</v>
      </c>
      <c r="CC1" s="277" t="s">
        <v>370</v>
      </c>
      <c r="CD1" s="277" t="s">
        <v>371</v>
      </c>
      <c r="CE1" s="317" t="s">
        <v>353</v>
      </c>
      <c r="CF1" s="317" t="s">
        <v>354</v>
      </c>
      <c r="CG1" s="317" t="s">
        <v>373</v>
      </c>
      <c r="CH1" s="317" t="s">
        <v>374</v>
      </c>
      <c r="CI1" s="317" t="s">
        <v>376</v>
      </c>
      <c r="CJ1" s="317" t="s">
        <v>377</v>
      </c>
      <c r="CK1" s="317" t="s">
        <v>378</v>
      </c>
      <c r="CL1" s="317" t="s">
        <v>380</v>
      </c>
      <c r="CM1" s="317" t="s">
        <v>381</v>
      </c>
      <c r="CN1" s="317" t="s">
        <v>382</v>
      </c>
      <c r="CO1" s="317" t="s">
        <v>384</v>
      </c>
      <c r="CP1" s="317" t="s">
        <v>385</v>
      </c>
      <c r="CQ1" s="317" t="s">
        <v>386</v>
      </c>
      <c r="CR1" s="317" t="s">
        <v>387</v>
      </c>
      <c r="CS1" s="317" t="s">
        <v>388</v>
      </c>
      <c r="CT1" s="317" t="s">
        <v>390</v>
      </c>
      <c r="CU1" s="317" t="s">
        <v>391</v>
      </c>
      <c r="CV1" s="317" t="s">
        <v>392</v>
      </c>
      <c r="CW1" s="317" t="s">
        <v>394</v>
      </c>
      <c r="CX1" s="317" t="s">
        <v>395</v>
      </c>
      <c r="CY1" s="317" t="s">
        <v>397</v>
      </c>
      <c r="CZ1" s="317" t="s">
        <v>398</v>
      </c>
      <c r="DA1" s="317" t="s">
        <v>399</v>
      </c>
      <c r="DB1" s="317" t="s">
        <v>401</v>
      </c>
      <c r="DC1" s="317" t="s">
        <v>402</v>
      </c>
      <c r="DD1" s="317" t="s">
        <v>403</v>
      </c>
      <c r="DE1" s="317" t="s">
        <v>404</v>
      </c>
      <c r="DF1" s="317" t="s">
        <v>405</v>
      </c>
      <c r="DG1" s="317" t="s">
        <v>406</v>
      </c>
      <c r="DH1" s="317" t="s">
        <v>407</v>
      </c>
      <c r="DI1" s="317" t="s">
        <v>408</v>
      </c>
      <c r="DJ1" s="317" t="s">
        <v>409</v>
      </c>
      <c r="DK1" s="317" t="s">
        <v>410</v>
      </c>
      <c r="DL1" s="317" t="s">
        <v>411</v>
      </c>
      <c r="DM1" s="317" t="s">
        <v>412</v>
      </c>
      <c r="DN1" s="317" t="s">
        <v>413</v>
      </c>
      <c r="DO1" s="317" t="s">
        <v>414</v>
      </c>
      <c r="DP1" s="317" t="s">
        <v>415</v>
      </c>
      <c r="DQ1" s="317" t="s">
        <v>416</v>
      </c>
      <c r="DR1" s="317" t="s">
        <v>417</v>
      </c>
      <c r="DS1" s="317" t="s">
        <v>418</v>
      </c>
      <c r="DT1" s="317" t="s">
        <v>419</v>
      </c>
      <c r="DU1" s="317" t="s">
        <v>420</v>
      </c>
      <c r="DV1" s="317" t="s">
        <v>421</v>
      </c>
      <c r="DW1" s="317" t="s">
        <v>422</v>
      </c>
      <c r="DX1" s="317" t="s">
        <v>424</v>
      </c>
      <c r="DY1" s="317" t="s">
        <v>425</v>
      </c>
      <c r="DZ1" s="317" t="s">
        <v>427</v>
      </c>
      <c r="EA1" s="317" t="s">
        <v>428</v>
      </c>
      <c r="EB1" s="317" t="s">
        <v>429</v>
      </c>
      <c r="EC1" s="317" t="s">
        <v>430</v>
      </c>
      <c r="ED1" s="317" t="s">
        <v>431</v>
      </c>
      <c r="EE1" s="317" t="s">
        <v>433</v>
      </c>
      <c r="EF1" s="317" t="s">
        <v>434</v>
      </c>
      <c r="EG1" s="317" t="s">
        <v>435</v>
      </c>
      <c r="EH1" s="317" t="s">
        <v>436</v>
      </c>
      <c r="EI1" s="317" t="s">
        <v>437</v>
      </c>
      <c r="EJ1" s="317" t="s">
        <v>438</v>
      </c>
      <c r="EK1" s="320" t="s">
        <v>439</v>
      </c>
      <c r="EL1" s="320" t="s">
        <v>441</v>
      </c>
      <c r="EM1" s="320" t="s">
        <v>442</v>
      </c>
      <c r="EN1" s="320" t="s">
        <v>443</v>
      </c>
      <c r="EO1" s="320" t="s">
        <v>444</v>
      </c>
      <c r="EP1" s="323" t="s">
        <v>445</v>
      </c>
    </row>
    <row r="2" spans="1:146" ht="15.6">
      <c r="A2" s="215">
        <v>3527</v>
      </c>
      <c r="B2" s="233">
        <v>200</v>
      </c>
      <c r="C2" s="245"/>
      <c r="D2" s="245">
        <v>0.83</v>
      </c>
      <c r="E2" s="245">
        <v>0.83</v>
      </c>
      <c r="F2" s="245">
        <v>0.83</v>
      </c>
      <c r="G2" s="245"/>
      <c r="H2" s="245"/>
      <c r="I2" s="245"/>
      <c r="J2" s="245"/>
      <c r="K2" s="245"/>
      <c r="L2" s="251"/>
      <c r="M2" s="251"/>
      <c r="N2" s="251"/>
      <c r="O2" s="251"/>
      <c r="P2" s="251"/>
      <c r="Q2" s="251"/>
      <c r="R2" s="251"/>
      <c r="S2" s="245">
        <v>2.14</v>
      </c>
      <c r="T2" s="245">
        <v>1.07</v>
      </c>
      <c r="U2" s="245">
        <v>2.14</v>
      </c>
      <c r="V2" s="245"/>
      <c r="W2" s="245">
        <v>2.14</v>
      </c>
      <c r="X2" s="245">
        <v>2.14</v>
      </c>
      <c r="Y2" s="245"/>
      <c r="Z2" s="245"/>
      <c r="AA2" s="245"/>
      <c r="AB2" s="245"/>
      <c r="AC2" s="245"/>
      <c r="AD2" s="245"/>
      <c r="AE2" s="245">
        <v>2.14</v>
      </c>
      <c r="AF2" s="245">
        <v>1.07</v>
      </c>
      <c r="AG2" s="245"/>
      <c r="AH2" s="245"/>
      <c r="AI2" s="245"/>
      <c r="AJ2" s="245"/>
      <c r="AK2" s="245">
        <v>1.07</v>
      </c>
      <c r="AL2" s="245"/>
      <c r="AM2" s="245"/>
      <c r="AN2" s="245"/>
      <c r="AO2" s="245">
        <v>1.07</v>
      </c>
      <c r="AP2" s="245">
        <v>1.07</v>
      </c>
      <c r="AQ2" s="245">
        <v>1.07</v>
      </c>
      <c r="AR2" s="245"/>
      <c r="AS2" s="245"/>
      <c r="AT2" s="245"/>
      <c r="AU2" s="273"/>
      <c r="AV2" s="245">
        <v>1.07</v>
      </c>
      <c r="AW2" s="281">
        <v>1.07</v>
      </c>
      <c r="AX2" s="245"/>
      <c r="AY2" s="245"/>
      <c r="AZ2" s="245">
        <v>1.07</v>
      </c>
      <c r="BA2" s="245"/>
      <c r="BB2" s="245">
        <v>1.07</v>
      </c>
      <c r="BC2" s="245"/>
      <c r="BD2" s="245"/>
      <c r="BE2" s="245"/>
      <c r="BF2" s="245"/>
      <c r="BG2" s="245"/>
      <c r="BH2" s="245"/>
      <c r="BI2" s="245">
        <v>1.07</v>
      </c>
      <c r="BJ2" s="245"/>
      <c r="BK2" s="245"/>
      <c r="BL2" s="245"/>
      <c r="BM2" s="245"/>
      <c r="BN2" s="245"/>
      <c r="BO2" s="245"/>
      <c r="BP2" s="245"/>
      <c r="BQ2" s="245"/>
      <c r="BR2" s="245"/>
      <c r="BS2" s="245"/>
      <c r="BT2" s="245"/>
      <c r="BU2" s="245"/>
      <c r="BV2" s="245"/>
      <c r="BW2" s="245"/>
      <c r="BX2" s="245"/>
      <c r="BY2" s="245"/>
      <c r="BZ2" s="245"/>
      <c r="CA2" s="245"/>
      <c r="CB2" s="245"/>
      <c r="CC2" s="245"/>
      <c r="CD2" s="245"/>
      <c r="CE2" s="245"/>
      <c r="CF2" s="245"/>
      <c r="CG2" s="245"/>
      <c r="CH2" s="245"/>
      <c r="CI2" s="245"/>
      <c r="CJ2" s="245"/>
      <c r="CK2" s="245"/>
      <c r="CL2" s="245"/>
      <c r="CM2" s="245"/>
      <c r="CN2" s="245"/>
      <c r="CO2" s="245"/>
      <c r="CP2" s="245"/>
      <c r="CQ2" s="245"/>
      <c r="CR2" s="245"/>
      <c r="CS2" s="245"/>
      <c r="CT2" s="245"/>
      <c r="CU2" s="245"/>
      <c r="CV2" s="245"/>
      <c r="CW2" s="245"/>
      <c r="CX2" s="245"/>
      <c r="CY2" s="245"/>
      <c r="CZ2" s="245"/>
      <c r="DA2" s="245"/>
      <c r="DB2" s="245"/>
      <c r="DC2" s="245"/>
      <c r="DD2" s="245"/>
      <c r="DE2" s="245"/>
      <c r="DF2" s="245"/>
      <c r="DG2" s="245"/>
      <c r="DH2" s="245"/>
      <c r="DI2" s="245"/>
      <c r="DJ2" s="245"/>
      <c r="DK2" s="245"/>
      <c r="DL2" s="245"/>
      <c r="DM2" s="245"/>
      <c r="DN2" s="245"/>
      <c r="DO2" s="245"/>
      <c r="DP2" s="245"/>
      <c r="DQ2" s="245"/>
      <c r="DR2" s="245"/>
      <c r="DS2" s="245"/>
      <c r="DT2" s="245"/>
      <c r="DU2" s="245"/>
      <c r="DV2" s="245"/>
      <c r="DW2" s="245"/>
      <c r="DX2" s="245"/>
      <c r="DY2" s="245"/>
      <c r="DZ2" s="245"/>
      <c r="EA2" s="245"/>
      <c r="EB2" s="245"/>
      <c r="EC2" s="245"/>
      <c r="ED2" s="245"/>
      <c r="EE2" s="245"/>
      <c r="EF2" s="245"/>
      <c r="EG2" s="245"/>
      <c r="EH2" s="245"/>
      <c r="EI2" s="245"/>
      <c r="EJ2" s="245"/>
      <c r="EK2" s="278"/>
      <c r="EL2" s="278"/>
      <c r="EM2" s="278"/>
      <c r="EN2" s="278"/>
      <c r="EO2" s="278"/>
      <c r="EP2" s="250"/>
    </row>
    <row r="3" spans="1:146" ht="15.6">
      <c r="A3" s="215">
        <v>3522</v>
      </c>
      <c r="B3" s="233">
        <v>200</v>
      </c>
      <c r="C3" s="245"/>
      <c r="D3" s="245">
        <v>0.83</v>
      </c>
      <c r="E3" s="245">
        <v>0.83</v>
      </c>
      <c r="F3" s="245">
        <v>0.83</v>
      </c>
      <c r="G3" s="245"/>
      <c r="H3" s="245"/>
      <c r="I3" s="245"/>
      <c r="J3" s="245"/>
      <c r="K3" s="245"/>
      <c r="L3" s="251"/>
      <c r="M3" s="251"/>
      <c r="N3" s="251"/>
      <c r="O3" s="251"/>
      <c r="P3" s="251"/>
      <c r="Q3" s="251"/>
      <c r="R3" s="251"/>
      <c r="S3" s="245">
        <v>2.14</v>
      </c>
      <c r="T3" s="245">
        <v>1.07</v>
      </c>
      <c r="U3" s="245">
        <v>2.14</v>
      </c>
      <c r="V3" s="245">
        <v>2.14</v>
      </c>
      <c r="W3" s="245"/>
      <c r="X3" s="245"/>
      <c r="Y3" s="245">
        <v>2.14</v>
      </c>
      <c r="Z3" s="245"/>
      <c r="AA3" s="245"/>
      <c r="AB3" s="245"/>
      <c r="AC3" s="245"/>
      <c r="AD3" s="245"/>
      <c r="AE3" s="245"/>
      <c r="AF3" s="245">
        <v>1.07</v>
      </c>
      <c r="AG3" s="245"/>
      <c r="AH3" s="245">
        <v>2.14</v>
      </c>
      <c r="AI3" s="245"/>
      <c r="AJ3" s="245"/>
      <c r="AK3" s="245">
        <v>1.07</v>
      </c>
      <c r="AL3" s="245"/>
      <c r="AM3" s="245"/>
      <c r="AN3" s="245"/>
      <c r="AO3" s="245">
        <v>1.07</v>
      </c>
      <c r="AP3" s="245">
        <v>1.07</v>
      </c>
      <c r="AQ3" s="245">
        <v>1.07</v>
      </c>
      <c r="AR3" s="245"/>
      <c r="AS3" s="245"/>
      <c r="AT3" s="245"/>
      <c r="AU3" s="273"/>
      <c r="AV3" s="245">
        <v>1.07</v>
      </c>
      <c r="AW3" s="281">
        <v>1.07</v>
      </c>
      <c r="AX3" s="245"/>
      <c r="AY3" s="245"/>
      <c r="AZ3" s="245">
        <v>1.07</v>
      </c>
      <c r="BA3" s="245"/>
      <c r="BB3" s="245">
        <v>1.07</v>
      </c>
      <c r="BC3" s="245"/>
      <c r="BD3" s="245"/>
      <c r="BE3" s="245"/>
      <c r="BF3" s="245"/>
      <c r="BG3" s="245"/>
      <c r="BH3" s="245"/>
      <c r="BI3" s="245">
        <v>1.07</v>
      </c>
      <c r="BJ3" s="245"/>
      <c r="BK3" s="245"/>
      <c r="BL3" s="245"/>
      <c r="BM3" s="245"/>
      <c r="BN3" s="245"/>
      <c r="BO3" s="245"/>
      <c r="BP3" s="245"/>
      <c r="BQ3" s="245"/>
      <c r="BR3" s="245"/>
      <c r="BS3" s="245"/>
      <c r="BT3" s="245"/>
      <c r="BU3" s="245"/>
      <c r="BV3" s="245"/>
      <c r="BW3" s="245"/>
      <c r="BX3" s="245"/>
      <c r="BY3" s="245"/>
      <c r="BZ3" s="245"/>
      <c r="CA3" s="245"/>
      <c r="CB3" s="245"/>
      <c r="CC3" s="245"/>
      <c r="CD3" s="245"/>
      <c r="CE3" s="245"/>
      <c r="CF3" s="245"/>
      <c r="CG3" s="245"/>
      <c r="CH3" s="245"/>
      <c r="CI3" s="245"/>
      <c r="CJ3" s="245"/>
      <c r="CK3" s="245"/>
      <c r="CL3" s="245"/>
      <c r="CM3" s="245"/>
      <c r="CN3" s="245"/>
      <c r="CO3" s="245"/>
      <c r="CP3" s="245"/>
      <c r="CQ3" s="245"/>
      <c r="CR3" s="245"/>
      <c r="CS3" s="245"/>
      <c r="CT3" s="245"/>
      <c r="CU3" s="245"/>
      <c r="CV3" s="245"/>
      <c r="CW3" s="245"/>
      <c r="CX3" s="245"/>
      <c r="CY3" s="245"/>
      <c r="CZ3" s="245"/>
      <c r="DA3" s="245"/>
      <c r="DB3" s="245"/>
      <c r="DC3" s="245"/>
      <c r="DD3" s="245"/>
      <c r="DE3" s="245"/>
      <c r="DF3" s="245"/>
      <c r="DG3" s="245"/>
      <c r="DH3" s="245"/>
      <c r="DI3" s="245"/>
      <c r="DJ3" s="245"/>
      <c r="DK3" s="245"/>
      <c r="DL3" s="245"/>
      <c r="DM3" s="245"/>
      <c r="DN3" s="245"/>
      <c r="DO3" s="245"/>
      <c r="DP3" s="245"/>
      <c r="DQ3" s="245"/>
      <c r="DR3" s="245"/>
      <c r="DS3" s="245"/>
      <c r="DT3" s="245"/>
      <c r="DU3" s="245"/>
      <c r="DV3" s="245"/>
      <c r="DW3" s="245"/>
      <c r="DX3" s="245"/>
      <c r="DY3" s="245"/>
      <c r="DZ3" s="245"/>
      <c r="EA3" s="245"/>
      <c r="EB3" s="245"/>
      <c r="EC3" s="245"/>
      <c r="ED3" s="245"/>
      <c r="EE3" s="245"/>
      <c r="EF3" s="245"/>
      <c r="EG3" s="245"/>
      <c r="EH3" s="245"/>
      <c r="EI3" s="245"/>
      <c r="EJ3" s="245"/>
      <c r="EK3" s="278"/>
      <c r="EL3" s="278"/>
      <c r="EM3" s="278"/>
      <c r="EN3" s="278"/>
      <c r="EO3" s="278"/>
      <c r="EP3" s="250"/>
    </row>
    <row r="4" spans="1:146" ht="15.6">
      <c r="A4" s="215">
        <v>3515</v>
      </c>
      <c r="B4" s="233">
        <v>800</v>
      </c>
      <c r="C4" s="245"/>
      <c r="D4" s="245">
        <v>3.33</v>
      </c>
      <c r="E4" s="245">
        <v>3.33</v>
      </c>
      <c r="F4" s="245">
        <v>3.33</v>
      </c>
      <c r="G4" s="245"/>
      <c r="H4" s="245"/>
      <c r="I4" s="245"/>
      <c r="J4" s="245"/>
      <c r="K4" s="245"/>
      <c r="L4" s="251"/>
      <c r="M4" s="251"/>
      <c r="N4" s="251"/>
      <c r="O4" s="251"/>
      <c r="P4" s="251"/>
      <c r="Q4" s="251"/>
      <c r="R4" s="251"/>
      <c r="S4" s="245">
        <v>8.57</v>
      </c>
      <c r="T4" s="245">
        <v>4.28</v>
      </c>
      <c r="U4" s="245"/>
      <c r="V4" s="245">
        <v>4.28</v>
      </c>
      <c r="W4" s="245"/>
      <c r="X4" s="245"/>
      <c r="Y4" s="245"/>
      <c r="Z4" s="245"/>
      <c r="AA4" s="245"/>
      <c r="AB4" s="245"/>
      <c r="AC4" s="245"/>
      <c r="AD4" s="245">
        <v>8.57</v>
      </c>
      <c r="AE4" s="245">
        <v>8.57</v>
      </c>
      <c r="AF4" s="245"/>
      <c r="AG4" s="245"/>
      <c r="AH4" s="245">
        <v>8.57</v>
      </c>
      <c r="AI4" s="245"/>
      <c r="AJ4" s="245"/>
      <c r="AK4" s="245">
        <v>4.28</v>
      </c>
      <c r="AL4" s="245"/>
      <c r="AM4" s="245"/>
      <c r="AN4" s="245"/>
      <c r="AO4" s="245">
        <v>4.28</v>
      </c>
      <c r="AP4" s="245">
        <v>4.28</v>
      </c>
      <c r="AQ4" s="245">
        <v>4.28</v>
      </c>
      <c r="AR4" s="245"/>
      <c r="AS4" s="245"/>
      <c r="AT4" s="245"/>
      <c r="AU4" s="273"/>
      <c r="AV4" s="245">
        <v>4.28</v>
      </c>
      <c r="AW4" s="281">
        <v>4.28</v>
      </c>
      <c r="AX4" s="245"/>
      <c r="AY4" s="245"/>
      <c r="AZ4" s="245">
        <v>4.28</v>
      </c>
      <c r="BA4" s="245"/>
      <c r="BB4" s="245"/>
      <c r="BC4" s="245"/>
      <c r="BD4" s="245"/>
      <c r="BE4" s="245">
        <v>4.28</v>
      </c>
      <c r="BF4" s="245">
        <v>4.28</v>
      </c>
      <c r="BG4" s="245"/>
      <c r="BH4" s="245">
        <v>4.28</v>
      </c>
      <c r="BI4" s="245">
        <v>4.28</v>
      </c>
      <c r="BJ4" s="245"/>
      <c r="BK4" s="245"/>
      <c r="BL4" s="245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245"/>
      <c r="DD4" s="245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78"/>
      <c r="EL4" s="278"/>
      <c r="EM4" s="278"/>
      <c r="EN4" s="278"/>
      <c r="EO4" s="278"/>
      <c r="EP4" s="250"/>
    </row>
    <row r="5" spans="1:146" ht="15.6">
      <c r="A5" s="215">
        <v>3543</v>
      </c>
      <c r="B5" s="233">
        <v>200</v>
      </c>
      <c r="C5" s="245"/>
      <c r="D5" s="245">
        <v>0.83</v>
      </c>
      <c r="E5" s="245">
        <v>0.83</v>
      </c>
      <c r="F5" s="245">
        <v>0.83</v>
      </c>
      <c r="G5" s="245"/>
      <c r="H5" s="245"/>
      <c r="I5" s="245"/>
      <c r="J5" s="245"/>
      <c r="K5" s="245"/>
      <c r="L5" s="251"/>
      <c r="M5" s="251"/>
      <c r="N5" s="251"/>
      <c r="O5" s="251"/>
      <c r="P5" s="251"/>
      <c r="Q5" s="251"/>
      <c r="R5" s="251"/>
      <c r="S5" s="245">
        <v>2.14</v>
      </c>
      <c r="T5" s="245">
        <v>2.14</v>
      </c>
      <c r="U5" s="245"/>
      <c r="V5" s="245">
        <v>2.14</v>
      </c>
      <c r="W5" s="245">
        <v>2.14</v>
      </c>
      <c r="X5" s="245">
        <v>2.14</v>
      </c>
      <c r="Y5" s="245"/>
      <c r="Z5" s="245"/>
      <c r="AA5" s="245"/>
      <c r="AB5" s="245">
        <v>1.07</v>
      </c>
      <c r="AC5" s="245"/>
      <c r="AD5" s="245"/>
      <c r="AE5" s="245"/>
      <c r="AF5" s="245">
        <v>1.07</v>
      </c>
      <c r="AG5" s="245"/>
      <c r="AH5" s="245"/>
      <c r="AI5" s="245"/>
      <c r="AJ5" s="245"/>
      <c r="AK5" s="245">
        <v>1.07</v>
      </c>
      <c r="AL5" s="245"/>
      <c r="AM5" s="245"/>
      <c r="AN5" s="245"/>
      <c r="AO5" s="245">
        <v>1.07</v>
      </c>
      <c r="AP5" s="245">
        <v>1.07</v>
      </c>
      <c r="AQ5" s="245">
        <v>1.07</v>
      </c>
      <c r="AR5" s="245"/>
      <c r="AS5" s="245"/>
      <c r="AT5" s="245"/>
      <c r="AU5" s="273"/>
      <c r="AV5" s="245">
        <v>1.07</v>
      </c>
      <c r="AW5" s="281">
        <v>1.07</v>
      </c>
      <c r="AX5" s="245"/>
      <c r="AY5" s="245"/>
      <c r="AZ5" s="245">
        <v>1.07</v>
      </c>
      <c r="BA5" s="245"/>
      <c r="BB5" s="245"/>
      <c r="BC5" s="245"/>
      <c r="BD5" s="245"/>
      <c r="BE5" s="245"/>
      <c r="BF5" s="245">
        <v>1.07</v>
      </c>
      <c r="BG5" s="245"/>
      <c r="BH5" s="245"/>
      <c r="BI5" s="245">
        <v>1.07</v>
      </c>
      <c r="BJ5" s="245"/>
      <c r="BK5" s="245"/>
      <c r="BL5" s="245"/>
      <c r="BM5" s="245"/>
      <c r="BN5" s="245"/>
      <c r="BO5" s="245"/>
      <c r="BP5" s="245"/>
      <c r="BQ5" s="245"/>
      <c r="BR5" s="245"/>
      <c r="BS5" s="245"/>
      <c r="BT5" s="245"/>
      <c r="BU5" s="245"/>
      <c r="BV5" s="245"/>
      <c r="BW5" s="245"/>
      <c r="BX5" s="245"/>
      <c r="BY5" s="245"/>
      <c r="BZ5" s="245"/>
      <c r="CA5" s="245"/>
      <c r="CB5" s="245"/>
      <c r="CC5" s="245"/>
      <c r="CD5" s="245"/>
      <c r="CE5" s="245"/>
      <c r="CF5" s="245"/>
      <c r="CG5" s="245"/>
      <c r="CH5" s="245"/>
      <c r="CI5" s="245"/>
      <c r="CJ5" s="245"/>
      <c r="CK5" s="245"/>
      <c r="CL5" s="245"/>
      <c r="CM5" s="245"/>
      <c r="CN5" s="245"/>
      <c r="CO5" s="245"/>
      <c r="CP5" s="245"/>
      <c r="CQ5" s="245"/>
      <c r="CR5" s="245"/>
      <c r="CS5" s="245"/>
      <c r="CT5" s="245"/>
      <c r="CU5" s="245"/>
      <c r="CV5" s="245"/>
      <c r="CW5" s="245"/>
      <c r="CX5" s="245"/>
      <c r="CY5" s="245"/>
      <c r="CZ5" s="245"/>
      <c r="DA5" s="245"/>
      <c r="DB5" s="245"/>
      <c r="DC5" s="245"/>
      <c r="DD5" s="245"/>
      <c r="DE5" s="245"/>
      <c r="DF5" s="245"/>
      <c r="DG5" s="245"/>
      <c r="DH5" s="245"/>
      <c r="DI5" s="245"/>
      <c r="DJ5" s="245"/>
      <c r="DK5" s="245"/>
      <c r="DL5" s="245"/>
      <c r="DM5" s="245"/>
      <c r="DN5" s="245"/>
      <c r="DO5" s="245"/>
      <c r="DP5" s="245"/>
      <c r="DQ5" s="245"/>
      <c r="DR5" s="245"/>
      <c r="DS5" s="245"/>
      <c r="DT5" s="245"/>
      <c r="DU5" s="245"/>
      <c r="DV5" s="245"/>
      <c r="DW5" s="245"/>
      <c r="DX5" s="245"/>
      <c r="DY5" s="245"/>
      <c r="DZ5" s="245"/>
      <c r="EA5" s="245"/>
      <c r="EB5" s="245"/>
      <c r="EC5" s="245"/>
      <c r="ED5" s="245"/>
      <c r="EE5" s="245"/>
      <c r="EF5" s="245"/>
      <c r="EG5" s="245"/>
      <c r="EH5" s="245"/>
      <c r="EI5" s="245"/>
      <c r="EJ5" s="245"/>
      <c r="EK5" s="278"/>
      <c r="EL5" s="278"/>
      <c r="EM5" s="278"/>
      <c r="EN5" s="278"/>
      <c r="EO5" s="278"/>
      <c r="EP5" s="250"/>
    </row>
    <row r="6" spans="1:146" ht="15.6">
      <c r="A6" s="215">
        <v>3502</v>
      </c>
      <c r="B6" s="233">
        <v>1044</v>
      </c>
      <c r="C6" s="245"/>
      <c r="D6" s="245">
        <v>4.3499999999999996</v>
      </c>
      <c r="E6" s="245">
        <v>4.3499999999999996</v>
      </c>
      <c r="F6" s="245">
        <v>4.3499999999999996</v>
      </c>
      <c r="G6" s="245"/>
      <c r="H6" s="245"/>
      <c r="I6" s="245"/>
      <c r="J6" s="245"/>
      <c r="K6" s="245"/>
      <c r="L6" s="251"/>
      <c r="M6" s="251"/>
      <c r="N6" s="251"/>
      <c r="O6" s="251"/>
      <c r="P6" s="251"/>
      <c r="Q6" s="251"/>
      <c r="R6" s="251"/>
      <c r="S6" s="245">
        <v>11.74</v>
      </c>
      <c r="T6" s="245"/>
      <c r="U6" s="245">
        <v>11.74</v>
      </c>
      <c r="V6" s="245">
        <v>11.74</v>
      </c>
      <c r="W6" s="245"/>
      <c r="X6" s="245"/>
      <c r="Y6" s="245">
        <v>11.74</v>
      </c>
      <c r="Z6" s="245"/>
      <c r="AA6" s="245"/>
      <c r="AB6" s="245">
        <v>5.87</v>
      </c>
      <c r="AC6" s="245"/>
      <c r="AD6" s="245"/>
      <c r="AE6" s="245"/>
      <c r="AF6" s="245">
        <v>5.87</v>
      </c>
      <c r="AG6" s="245"/>
      <c r="AH6" s="245"/>
      <c r="AI6" s="245"/>
      <c r="AJ6" s="245"/>
      <c r="AK6" s="245">
        <v>5.87</v>
      </c>
      <c r="AL6" s="245"/>
      <c r="AM6" s="245"/>
      <c r="AN6" s="245"/>
      <c r="AO6" s="245">
        <v>5.87</v>
      </c>
      <c r="AP6" s="245"/>
      <c r="AQ6" s="245">
        <v>5.87</v>
      </c>
      <c r="AR6" s="245"/>
      <c r="AS6" s="245"/>
      <c r="AT6" s="245"/>
      <c r="AU6" s="273"/>
      <c r="AV6" s="245">
        <v>5.87</v>
      </c>
      <c r="AW6" s="281">
        <v>5.87</v>
      </c>
      <c r="AX6" s="245"/>
      <c r="AY6" s="245"/>
      <c r="AZ6" s="245">
        <v>5.87</v>
      </c>
      <c r="BA6" s="245"/>
      <c r="BB6" s="245"/>
      <c r="BC6" s="245"/>
      <c r="BD6" s="245"/>
      <c r="BE6" s="245">
        <v>5.87</v>
      </c>
      <c r="BF6" s="245"/>
      <c r="BG6" s="245">
        <v>5.87</v>
      </c>
      <c r="BH6" s="245">
        <v>5.87</v>
      </c>
      <c r="BI6" s="245">
        <v>5.87</v>
      </c>
      <c r="BJ6" s="245"/>
      <c r="BK6" s="245"/>
      <c r="BL6" s="245"/>
      <c r="BM6" s="245"/>
      <c r="BN6" s="245"/>
      <c r="BO6" s="245"/>
      <c r="BP6" s="245"/>
      <c r="BQ6" s="245"/>
      <c r="BR6" s="245"/>
      <c r="BS6" s="245"/>
      <c r="BT6" s="245"/>
      <c r="BU6" s="245"/>
      <c r="BV6" s="245"/>
      <c r="BW6" s="245"/>
      <c r="BX6" s="245"/>
      <c r="BY6" s="245"/>
      <c r="BZ6" s="245"/>
      <c r="CA6" s="245"/>
      <c r="CB6" s="245"/>
      <c r="CC6" s="245"/>
      <c r="CD6" s="245"/>
      <c r="CE6" s="245"/>
      <c r="CF6" s="245"/>
      <c r="CG6" s="245"/>
      <c r="CH6" s="245"/>
      <c r="CI6" s="245"/>
      <c r="CJ6" s="245"/>
      <c r="CK6" s="245"/>
      <c r="CL6" s="245"/>
      <c r="CM6" s="245"/>
      <c r="CN6" s="245"/>
      <c r="CO6" s="245"/>
      <c r="CP6" s="245"/>
      <c r="CQ6" s="245"/>
      <c r="CR6" s="245"/>
      <c r="CS6" s="245"/>
      <c r="CT6" s="245"/>
      <c r="CU6" s="245"/>
      <c r="CV6" s="245"/>
      <c r="CW6" s="245"/>
      <c r="CX6" s="245"/>
      <c r="CY6" s="245"/>
      <c r="CZ6" s="245"/>
      <c r="DA6" s="245"/>
      <c r="DB6" s="245"/>
      <c r="DC6" s="245"/>
      <c r="DD6" s="245"/>
      <c r="DE6" s="245"/>
      <c r="DF6" s="245"/>
      <c r="DG6" s="245"/>
      <c r="DH6" s="245"/>
      <c r="DI6" s="245"/>
      <c r="DJ6" s="245"/>
      <c r="DK6" s="245"/>
      <c r="DL6" s="245"/>
      <c r="DM6" s="245"/>
      <c r="DN6" s="245"/>
      <c r="DO6" s="245"/>
      <c r="DP6" s="245"/>
      <c r="DQ6" s="245"/>
      <c r="DR6" s="245"/>
      <c r="DS6" s="245"/>
      <c r="DT6" s="245"/>
      <c r="DU6" s="245"/>
      <c r="DV6" s="245"/>
      <c r="DW6" s="245"/>
      <c r="DX6" s="245"/>
      <c r="DY6" s="245"/>
      <c r="DZ6" s="245"/>
      <c r="EA6" s="245"/>
      <c r="EB6" s="245"/>
      <c r="EC6" s="245"/>
      <c r="ED6" s="245"/>
      <c r="EE6" s="245"/>
      <c r="EF6" s="245"/>
      <c r="EG6" s="245"/>
      <c r="EH6" s="245"/>
      <c r="EI6" s="245"/>
      <c r="EJ6" s="245"/>
      <c r="EK6" s="278"/>
      <c r="EL6" s="278"/>
      <c r="EM6" s="278"/>
      <c r="EN6" s="278"/>
      <c r="EO6" s="278"/>
      <c r="EP6" s="250"/>
    </row>
    <row r="7" spans="1:146" ht="15.6">
      <c r="A7" s="215">
        <v>3501</v>
      </c>
      <c r="B7" s="233">
        <v>998.40000000000009</v>
      </c>
      <c r="C7" s="245"/>
      <c r="D7" s="245">
        <v>4.16</v>
      </c>
      <c r="E7" s="245">
        <v>4.16</v>
      </c>
      <c r="F7" s="245">
        <v>4.16</v>
      </c>
      <c r="G7" s="245"/>
      <c r="H7" s="245"/>
      <c r="I7" s="245"/>
      <c r="J7" s="245"/>
      <c r="K7" s="245"/>
      <c r="L7" s="251"/>
      <c r="M7" s="251"/>
      <c r="N7" s="251"/>
      <c r="O7" s="251"/>
      <c r="P7" s="251"/>
      <c r="Q7" s="251"/>
      <c r="R7" s="251"/>
      <c r="S7" s="245">
        <v>10.210000000000001</v>
      </c>
      <c r="T7" s="245">
        <v>10.210000000000001</v>
      </c>
      <c r="U7" s="245"/>
      <c r="V7" s="245">
        <v>5.0999999999999996</v>
      </c>
      <c r="W7" s="245"/>
      <c r="X7" s="245">
        <v>10.210000000000001</v>
      </c>
      <c r="Y7" s="245"/>
      <c r="Z7" s="245"/>
      <c r="AA7" s="245"/>
      <c r="AB7" s="245"/>
      <c r="AC7" s="245"/>
      <c r="AD7" s="245">
        <v>10.210000000000001</v>
      </c>
      <c r="AE7" s="245"/>
      <c r="AF7" s="245">
        <v>5.0999999999999996</v>
      </c>
      <c r="AG7" s="245"/>
      <c r="AH7" s="245">
        <v>10.210000000000001</v>
      </c>
      <c r="AI7" s="245"/>
      <c r="AJ7" s="245"/>
      <c r="AK7" s="245">
        <v>5.0999999999999996</v>
      </c>
      <c r="AL7" s="245"/>
      <c r="AM7" s="245"/>
      <c r="AN7" s="245"/>
      <c r="AO7" s="245">
        <v>5.0999999999999996</v>
      </c>
      <c r="AP7" s="245">
        <v>5.0999999999999996</v>
      </c>
      <c r="AQ7" s="245">
        <v>5.0999999999999996</v>
      </c>
      <c r="AR7" s="245"/>
      <c r="AS7" s="245"/>
      <c r="AT7" s="245"/>
      <c r="AU7" s="273"/>
      <c r="AV7" s="245">
        <v>5.0999999999999996</v>
      </c>
      <c r="AW7" s="281">
        <v>5.0999999999999996</v>
      </c>
      <c r="AX7" s="245"/>
      <c r="AY7" s="245"/>
      <c r="AZ7" s="245">
        <v>5.0999999999999996</v>
      </c>
      <c r="BA7" s="245"/>
      <c r="BB7" s="245"/>
      <c r="BC7" s="245"/>
      <c r="BD7" s="245"/>
      <c r="BE7" s="245"/>
      <c r="BF7" s="245">
        <v>5.0999999999999996</v>
      </c>
      <c r="BG7" s="245"/>
      <c r="BH7" s="245">
        <v>5.0999999999999996</v>
      </c>
      <c r="BI7" s="245">
        <v>5.0999999999999996</v>
      </c>
      <c r="BJ7" s="245"/>
      <c r="BK7" s="245"/>
      <c r="BL7" s="245"/>
      <c r="BM7" s="245"/>
      <c r="BN7" s="245"/>
      <c r="BO7" s="245"/>
      <c r="BP7" s="245"/>
      <c r="BQ7" s="245"/>
      <c r="BR7" s="245"/>
      <c r="BS7" s="245"/>
      <c r="BT7" s="245"/>
      <c r="BU7" s="245"/>
      <c r="BV7" s="245"/>
      <c r="BW7" s="245"/>
      <c r="BX7" s="245"/>
      <c r="BY7" s="245"/>
      <c r="BZ7" s="245"/>
      <c r="CA7" s="245"/>
      <c r="CB7" s="245"/>
      <c r="CC7" s="245"/>
      <c r="CD7" s="245"/>
      <c r="CE7" s="245"/>
      <c r="CF7" s="245"/>
      <c r="CG7" s="245"/>
      <c r="CH7" s="245"/>
      <c r="CI7" s="245"/>
      <c r="CJ7" s="245"/>
      <c r="CK7" s="245"/>
      <c r="CL7" s="245"/>
      <c r="CM7" s="245"/>
      <c r="CN7" s="245"/>
      <c r="CO7" s="245"/>
      <c r="CP7" s="245"/>
      <c r="CQ7" s="245"/>
      <c r="CR7" s="245"/>
      <c r="CS7" s="245"/>
      <c r="CT7" s="245"/>
      <c r="CU7" s="245"/>
      <c r="CV7" s="245"/>
      <c r="CW7" s="245"/>
      <c r="CX7" s="245"/>
      <c r="CY7" s="245"/>
      <c r="CZ7" s="245"/>
      <c r="DA7" s="245"/>
      <c r="DB7" s="245"/>
      <c r="DC7" s="245"/>
      <c r="DD7" s="245"/>
      <c r="DE7" s="245"/>
      <c r="DF7" s="245"/>
      <c r="DG7" s="245"/>
      <c r="DH7" s="245"/>
      <c r="DI7" s="245"/>
      <c r="DJ7" s="245"/>
      <c r="DK7" s="245"/>
      <c r="DL7" s="245"/>
      <c r="DM7" s="245"/>
      <c r="DN7" s="245"/>
      <c r="DO7" s="245"/>
      <c r="DP7" s="245"/>
      <c r="DQ7" s="245"/>
      <c r="DR7" s="245"/>
      <c r="DS7" s="245"/>
      <c r="DT7" s="245"/>
      <c r="DU7" s="245"/>
      <c r="DV7" s="245"/>
      <c r="DW7" s="245"/>
      <c r="DX7" s="245"/>
      <c r="DY7" s="245"/>
      <c r="DZ7" s="245"/>
      <c r="EA7" s="245"/>
      <c r="EB7" s="245"/>
      <c r="EC7" s="245"/>
      <c r="ED7" s="245"/>
      <c r="EE7" s="245"/>
      <c r="EF7" s="245"/>
      <c r="EG7" s="245"/>
      <c r="EH7" s="245"/>
      <c r="EI7" s="245"/>
      <c r="EJ7" s="245"/>
      <c r="EK7" s="278"/>
      <c r="EL7" s="278"/>
      <c r="EM7" s="278"/>
      <c r="EN7" s="278"/>
      <c r="EO7" s="278"/>
      <c r="EP7" s="250"/>
    </row>
    <row r="8" spans="1:146" ht="15.6">
      <c r="A8" s="215">
        <v>3376</v>
      </c>
      <c r="B8" s="233">
        <v>272</v>
      </c>
      <c r="C8" s="245">
        <v>1.1299999999999999</v>
      </c>
      <c r="D8" s="245"/>
      <c r="E8" s="245">
        <v>1.1299999999999999</v>
      </c>
      <c r="F8" s="245">
        <v>1.1299999999999999</v>
      </c>
      <c r="G8" s="245"/>
      <c r="H8" s="245"/>
      <c r="I8" s="245"/>
      <c r="J8" s="245"/>
      <c r="K8" s="245"/>
      <c r="L8" s="251"/>
      <c r="M8" s="251"/>
      <c r="N8" s="251"/>
      <c r="O8" s="251"/>
      <c r="P8" s="251"/>
      <c r="Q8" s="251"/>
      <c r="R8" s="251"/>
      <c r="S8" s="245">
        <v>2.78</v>
      </c>
      <c r="T8" s="245">
        <v>1.39</v>
      </c>
      <c r="U8" s="245">
        <v>1.39</v>
      </c>
      <c r="V8" s="245">
        <v>2.78</v>
      </c>
      <c r="W8" s="245"/>
      <c r="X8" s="245"/>
      <c r="Y8" s="245">
        <v>2.78</v>
      </c>
      <c r="Z8" s="245"/>
      <c r="AA8" s="245"/>
      <c r="AB8" s="245"/>
      <c r="AC8" s="245"/>
      <c r="AD8" s="245">
        <v>2.78</v>
      </c>
      <c r="AE8" s="245"/>
      <c r="AF8" s="245"/>
      <c r="AG8" s="245">
        <v>2.78</v>
      </c>
      <c r="AH8" s="245"/>
      <c r="AI8" s="245"/>
      <c r="AJ8" s="245"/>
      <c r="AK8" s="245">
        <v>1.39</v>
      </c>
      <c r="AL8" s="245"/>
      <c r="AM8" s="245"/>
      <c r="AN8" s="245"/>
      <c r="AO8" s="245">
        <v>1.39</v>
      </c>
      <c r="AP8" s="245">
        <v>1.39</v>
      </c>
      <c r="AQ8" s="245">
        <v>1.39</v>
      </c>
      <c r="AR8" s="245"/>
      <c r="AS8" s="245"/>
      <c r="AT8" s="245"/>
      <c r="AU8" s="273"/>
      <c r="AV8" s="245">
        <v>1.39</v>
      </c>
      <c r="AW8" s="281">
        <v>1.39</v>
      </c>
      <c r="AX8" s="245"/>
      <c r="AY8" s="245">
        <v>1.39</v>
      </c>
      <c r="AZ8" s="245"/>
      <c r="BA8" s="245">
        <v>1.39</v>
      </c>
      <c r="BB8" s="245">
        <v>1.39</v>
      </c>
      <c r="BC8" s="245"/>
      <c r="BD8" s="245"/>
      <c r="BE8" s="245"/>
      <c r="BF8" s="245"/>
      <c r="BG8" s="245"/>
      <c r="BH8" s="245"/>
      <c r="BI8" s="245">
        <v>1.39</v>
      </c>
      <c r="BJ8" s="245"/>
      <c r="BK8" s="245"/>
      <c r="BL8" s="245"/>
      <c r="BM8" s="245"/>
      <c r="BN8" s="245"/>
      <c r="BO8" s="245"/>
      <c r="BP8" s="245"/>
      <c r="BQ8" s="245"/>
      <c r="BR8" s="245"/>
      <c r="BS8" s="245"/>
      <c r="BT8" s="245"/>
      <c r="BU8" s="245"/>
      <c r="BV8" s="245"/>
      <c r="BW8" s="245"/>
      <c r="BX8" s="245"/>
      <c r="BY8" s="245"/>
      <c r="BZ8" s="245"/>
      <c r="CA8" s="245"/>
      <c r="CB8" s="245"/>
      <c r="CC8" s="245"/>
      <c r="CD8" s="245"/>
      <c r="CE8" s="245"/>
      <c r="CF8" s="245"/>
      <c r="CG8" s="245"/>
      <c r="CH8" s="245"/>
      <c r="CI8" s="245"/>
      <c r="CJ8" s="245"/>
      <c r="CK8" s="245"/>
      <c r="CL8" s="245"/>
      <c r="CM8" s="245"/>
      <c r="CN8" s="245"/>
      <c r="CO8" s="245"/>
      <c r="CP8" s="245"/>
      <c r="CQ8" s="245"/>
      <c r="CR8" s="245"/>
      <c r="CS8" s="245"/>
      <c r="CT8" s="245"/>
      <c r="CU8" s="245"/>
      <c r="CV8" s="245"/>
      <c r="CW8" s="245"/>
      <c r="CX8" s="245"/>
      <c r="CY8" s="245"/>
      <c r="CZ8" s="245"/>
      <c r="DA8" s="245"/>
      <c r="DB8" s="245"/>
      <c r="DC8" s="245"/>
      <c r="DD8" s="245"/>
      <c r="DE8" s="245"/>
      <c r="DF8" s="245"/>
      <c r="DG8" s="245"/>
      <c r="DH8" s="245"/>
      <c r="DI8" s="245"/>
      <c r="DJ8" s="245"/>
      <c r="DK8" s="245"/>
      <c r="DL8" s="245"/>
      <c r="DM8" s="245"/>
      <c r="DN8" s="245"/>
      <c r="DO8" s="245"/>
      <c r="DP8" s="245"/>
      <c r="DQ8" s="245"/>
      <c r="DR8" s="245"/>
      <c r="DS8" s="245"/>
      <c r="DT8" s="245"/>
      <c r="DU8" s="245"/>
      <c r="DV8" s="245"/>
      <c r="DW8" s="245"/>
      <c r="DX8" s="245"/>
      <c r="DY8" s="245"/>
      <c r="DZ8" s="245"/>
      <c r="EA8" s="245"/>
      <c r="EB8" s="245"/>
      <c r="EC8" s="245"/>
      <c r="ED8" s="245"/>
      <c r="EE8" s="245"/>
      <c r="EF8" s="245"/>
      <c r="EG8" s="245"/>
      <c r="EH8" s="245"/>
      <c r="EI8" s="245"/>
      <c r="EJ8" s="245"/>
      <c r="EK8" s="278"/>
      <c r="EL8" s="278"/>
      <c r="EM8" s="278"/>
      <c r="EN8" s="278"/>
      <c r="EO8" s="278"/>
      <c r="EP8" s="250"/>
    </row>
    <row r="9" spans="1:146" ht="15.6">
      <c r="A9" s="215">
        <v>3475</v>
      </c>
      <c r="B9" s="233">
        <v>200</v>
      </c>
      <c r="C9" s="245">
        <v>0.83</v>
      </c>
      <c r="D9" s="245"/>
      <c r="E9" s="245">
        <v>0.83</v>
      </c>
      <c r="F9" s="245">
        <v>0.83</v>
      </c>
      <c r="G9" s="245"/>
      <c r="H9" s="245"/>
      <c r="I9" s="245"/>
      <c r="J9" s="245"/>
      <c r="K9" s="245"/>
      <c r="L9" s="251"/>
      <c r="M9" s="251"/>
      <c r="N9" s="251"/>
      <c r="O9" s="251"/>
      <c r="P9" s="251"/>
      <c r="Q9" s="251"/>
      <c r="R9" s="251"/>
      <c r="S9" s="245">
        <v>1.95</v>
      </c>
      <c r="T9" s="245">
        <v>0.97</v>
      </c>
      <c r="U9" s="245">
        <v>1.95</v>
      </c>
      <c r="V9" s="245">
        <v>1.95</v>
      </c>
      <c r="W9" s="245"/>
      <c r="X9" s="245"/>
      <c r="Y9" s="245">
        <v>1.95</v>
      </c>
      <c r="Z9" s="245">
        <v>0.97</v>
      </c>
      <c r="AA9" s="245"/>
      <c r="AB9" s="245"/>
      <c r="AC9" s="245"/>
      <c r="AD9" s="245">
        <v>1.95</v>
      </c>
      <c r="AE9" s="245">
        <v>1.95</v>
      </c>
      <c r="AF9" s="245"/>
      <c r="AG9" s="245"/>
      <c r="AH9" s="245"/>
      <c r="AI9" s="245"/>
      <c r="AJ9" s="245"/>
      <c r="AK9" s="245">
        <v>0.97</v>
      </c>
      <c r="AL9" s="245"/>
      <c r="AM9" s="245"/>
      <c r="AN9" s="245"/>
      <c r="AO9" s="245">
        <v>0.97</v>
      </c>
      <c r="AP9" s="245">
        <v>0.97</v>
      </c>
      <c r="AQ9" s="245">
        <v>0.97</v>
      </c>
      <c r="AR9" s="245"/>
      <c r="AS9" s="245"/>
      <c r="AT9" s="245"/>
      <c r="AU9" s="273"/>
      <c r="AV9" s="245">
        <v>0.97</v>
      </c>
      <c r="AW9" s="281">
        <v>0.97</v>
      </c>
      <c r="AX9" s="245"/>
      <c r="AY9" s="245"/>
      <c r="AZ9" s="245">
        <v>0.97</v>
      </c>
      <c r="BA9" s="245"/>
      <c r="BB9" s="245">
        <v>0.97</v>
      </c>
      <c r="BC9" s="245"/>
      <c r="BD9" s="245"/>
      <c r="BE9" s="245"/>
      <c r="BF9" s="245"/>
      <c r="BG9" s="245"/>
      <c r="BH9" s="245"/>
      <c r="BI9" s="245">
        <v>0.97</v>
      </c>
      <c r="BJ9" s="245"/>
      <c r="BK9" s="245"/>
      <c r="BL9" s="245"/>
      <c r="BM9" s="245"/>
      <c r="BN9" s="245"/>
      <c r="BO9" s="245"/>
      <c r="BP9" s="245"/>
      <c r="BQ9" s="245"/>
      <c r="BR9" s="245"/>
      <c r="BS9" s="245"/>
      <c r="BT9" s="245"/>
      <c r="BU9" s="245"/>
      <c r="BV9" s="245"/>
      <c r="BW9" s="245"/>
      <c r="BX9" s="245"/>
      <c r="BY9" s="245"/>
      <c r="BZ9" s="245"/>
      <c r="CA9" s="245"/>
      <c r="CB9" s="245"/>
      <c r="CC9" s="245"/>
      <c r="CD9" s="245"/>
      <c r="CE9" s="245"/>
      <c r="CF9" s="245"/>
      <c r="CG9" s="245"/>
      <c r="CH9" s="245"/>
      <c r="CI9" s="245"/>
      <c r="CJ9" s="245"/>
      <c r="CK9" s="245"/>
      <c r="CL9" s="245"/>
      <c r="CM9" s="245"/>
      <c r="CN9" s="245"/>
      <c r="CO9" s="245"/>
      <c r="CP9" s="245"/>
      <c r="CQ9" s="245"/>
      <c r="CR9" s="245"/>
      <c r="CS9" s="245"/>
      <c r="CT9" s="245"/>
      <c r="CU9" s="245"/>
      <c r="CV9" s="245"/>
      <c r="CW9" s="245"/>
      <c r="CX9" s="245"/>
      <c r="CY9" s="245"/>
      <c r="CZ9" s="245"/>
      <c r="DA9" s="245"/>
      <c r="DB9" s="245"/>
      <c r="DC9" s="245"/>
      <c r="DD9" s="245"/>
      <c r="DE9" s="245"/>
      <c r="DF9" s="245"/>
      <c r="DG9" s="245"/>
      <c r="DH9" s="245"/>
      <c r="DI9" s="245"/>
      <c r="DJ9" s="245"/>
      <c r="DK9" s="245"/>
      <c r="DL9" s="245"/>
      <c r="DM9" s="245"/>
      <c r="DN9" s="245"/>
      <c r="DO9" s="245"/>
      <c r="DP9" s="245"/>
      <c r="DQ9" s="245"/>
      <c r="DR9" s="245"/>
      <c r="DS9" s="245"/>
      <c r="DT9" s="245"/>
      <c r="DU9" s="245"/>
      <c r="DV9" s="245"/>
      <c r="DW9" s="245"/>
      <c r="DX9" s="245"/>
      <c r="DY9" s="245"/>
      <c r="DZ9" s="245"/>
      <c r="EA9" s="245"/>
      <c r="EB9" s="245"/>
      <c r="EC9" s="245"/>
      <c r="ED9" s="245"/>
      <c r="EE9" s="245"/>
      <c r="EF9" s="245"/>
      <c r="EG9" s="245"/>
      <c r="EH9" s="245"/>
      <c r="EI9" s="245"/>
      <c r="EJ9" s="245"/>
      <c r="EK9" s="278"/>
      <c r="EL9" s="278"/>
      <c r="EM9" s="278"/>
      <c r="EN9" s="278"/>
      <c r="EO9" s="278"/>
      <c r="EP9" s="250"/>
    </row>
    <row r="10" spans="1:146" ht="15.6">
      <c r="A10" s="215">
        <v>3485</v>
      </c>
      <c r="B10" s="233">
        <v>214</v>
      </c>
      <c r="C10" s="245">
        <v>0.89</v>
      </c>
      <c r="D10" s="245"/>
      <c r="E10" s="245">
        <v>0.89</v>
      </c>
      <c r="F10" s="245">
        <v>0.89</v>
      </c>
      <c r="G10" s="245"/>
      <c r="H10" s="245"/>
      <c r="I10" s="245"/>
      <c r="J10" s="245"/>
      <c r="K10" s="245"/>
      <c r="L10" s="251"/>
      <c r="M10" s="251"/>
      <c r="N10" s="251"/>
      <c r="O10" s="251"/>
      <c r="P10" s="251"/>
      <c r="Q10" s="251"/>
      <c r="R10" s="251"/>
      <c r="S10" s="245">
        <v>2.29</v>
      </c>
      <c r="T10" s="245">
        <v>2.29</v>
      </c>
      <c r="U10" s="245">
        <v>2.29</v>
      </c>
      <c r="V10" s="245"/>
      <c r="W10" s="245">
        <v>2.29</v>
      </c>
      <c r="X10" s="245">
        <v>2.29</v>
      </c>
      <c r="Y10" s="245"/>
      <c r="Z10" s="245">
        <v>1.1399999999999999</v>
      </c>
      <c r="AA10" s="245"/>
      <c r="AB10" s="245"/>
      <c r="AC10" s="245"/>
      <c r="AD10" s="245">
        <v>1.1399999999999999</v>
      </c>
      <c r="AE10" s="245"/>
      <c r="AF10" s="245"/>
      <c r="AG10" s="245"/>
      <c r="AH10" s="245"/>
      <c r="AI10" s="245"/>
      <c r="AJ10" s="245"/>
      <c r="AK10" s="245">
        <v>1.1399999999999999</v>
      </c>
      <c r="AL10" s="245"/>
      <c r="AM10" s="245"/>
      <c r="AN10" s="245"/>
      <c r="AO10" s="245">
        <v>1.1399999999999999</v>
      </c>
      <c r="AP10" s="245">
        <v>1.1399999999999999</v>
      </c>
      <c r="AQ10" s="245">
        <v>1.1399999999999999</v>
      </c>
      <c r="AR10" s="245"/>
      <c r="AS10" s="245"/>
      <c r="AT10" s="245"/>
      <c r="AU10" s="273"/>
      <c r="AV10" s="245">
        <v>1.1399999999999999</v>
      </c>
      <c r="AW10" s="281">
        <v>1.1399999999999999</v>
      </c>
      <c r="AX10" s="245"/>
      <c r="AY10" s="245"/>
      <c r="AZ10" s="245"/>
      <c r="BA10" s="245">
        <v>1.1399999999999999</v>
      </c>
      <c r="BB10" s="245">
        <v>1.1399999999999999</v>
      </c>
      <c r="BC10" s="245"/>
      <c r="BD10" s="245"/>
      <c r="BE10" s="245"/>
      <c r="BF10" s="245"/>
      <c r="BG10" s="245"/>
      <c r="BH10" s="245"/>
      <c r="BI10" s="245">
        <v>1.1399999999999999</v>
      </c>
      <c r="BJ10" s="245"/>
      <c r="BK10" s="245"/>
      <c r="BL10" s="245"/>
      <c r="BM10" s="245"/>
      <c r="BN10" s="245"/>
      <c r="BO10" s="245"/>
      <c r="BP10" s="245"/>
      <c r="BQ10" s="245"/>
      <c r="BR10" s="245"/>
      <c r="BS10" s="245"/>
      <c r="BT10" s="245"/>
      <c r="BU10" s="245"/>
      <c r="BV10" s="245"/>
      <c r="BW10" s="245"/>
      <c r="BX10" s="245"/>
      <c r="BY10" s="245"/>
      <c r="BZ10" s="245"/>
      <c r="CA10" s="245"/>
      <c r="CB10" s="245"/>
      <c r="CC10" s="245"/>
      <c r="CD10" s="245"/>
      <c r="CE10" s="245"/>
      <c r="CF10" s="245"/>
      <c r="CG10" s="245"/>
      <c r="CH10" s="245"/>
      <c r="CI10" s="245"/>
      <c r="CJ10" s="245"/>
      <c r="CK10" s="245"/>
      <c r="CL10" s="245"/>
      <c r="CM10" s="245"/>
      <c r="CN10" s="245"/>
      <c r="CO10" s="245"/>
      <c r="CP10" s="245"/>
      <c r="CQ10" s="245"/>
      <c r="CR10" s="245"/>
      <c r="CS10" s="245"/>
      <c r="CT10" s="245"/>
      <c r="CU10" s="245"/>
      <c r="CV10" s="245"/>
      <c r="CW10" s="245"/>
      <c r="CX10" s="245"/>
      <c r="CY10" s="245"/>
      <c r="CZ10" s="245"/>
      <c r="DA10" s="245"/>
      <c r="DB10" s="245"/>
      <c r="DC10" s="245"/>
      <c r="DD10" s="245"/>
      <c r="DE10" s="245"/>
      <c r="DF10" s="245"/>
      <c r="DG10" s="245"/>
      <c r="DH10" s="245"/>
      <c r="DI10" s="245"/>
      <c r="DJ10" s="245"/>
      <c r="DK10" s="245"/>
      <c r="DL10" s="245"/>
      <c r="DM10" s="245"/>
      <c r="DN10" s="245"/>
      <c r="DO10" s="245"/>
      <c r="DP10" s="245"/>
      <c r="DQ10" s="245"/>
      <c r="DR10" s="245"/>
      <c r="DS10" s="245"/>
      <c r="DT10" s="245"/>
      <c r="DU10" s="245"/>
      <c r="DV10" s="245"/>
      <c r="DW10" s="245"/>
      <c r="DX10" s="245"/>
      <c r="DY10" s="245"/>
      <c r="DZ10" s="245"/>
      <c r="EA10" s="245"/>
      <c r="EB10" s="245"/>
      <c r="EC10" s="245"/>
      <c r="ED10" s="245"/>
      <c r="EE10" s="245"/>
      <c r="EF10" s="245"/>
      <c r="EG10" s="245"/>
      <c r="EH10" s="245"/>
      <c r="EI10" s="245"/>
      <c r="EJ10" s="245"/>
      <c r="EK10" s="278"/>
      <c r="EL10" s="278"/>
      <c r="EM10" s="278"/>
      <c r="EN10" s="278"/>
      <c r="EO10" s="278"/>
      <c r="EP10" s="250"/>
    </row>
    <row r="11" spans="1:146" ht="15.6">
      <c r="A11" s="215">
        <v>3463</v>
      </c>
      <c r="B11" s="233">
        <v>200</v>
      </c>
      <c r="C11" s="245">
        <v>0.83</v>
      </c>
      <c r="D11" s="245"/>
      <c r="E11" s="245">
        <v>0.83</v>
      </c>
      <c r="F11" s="245">
        <v>0.83</v>
      </c>
      <c r="G11" s="245"/>
      <c r="H11" s="245"/>
      <c r="I11" s="245"/>
      <c r="J11" s="245"/>
      <c r="K11" s="245"/>
      <c r="L11" s="251"/>
      <c r="M11" s="251"/>
      <c r="N11" s="251"/>
      <c r="O11" s="251"/>
      <c r="P11" s="251"/>
      <c r="Q11" s="251"/>
      <c r="R11" s="251"/>
      <c r="S11" s="245">
        <v>2.14</v>
      </c>
      <c r="T11" s="245">
        <v>1.07</v>
      </c>
      <c r="U11" s="245">
        <v>2.14</v>
      </c>
      <c r="V11" s="245">
        <v>1.07</v>
      </c>
      <c r="W11" s="245">
        <v>2.14</v>
      </c>
      <c r="X11" s="245"/>
      <c r="Y11" s="245">
        <v>2.14</v>
      </c>
      <c r="Z11" s="245"/>
      <c r="AA11" s="245"/>
      <c r="AB11" s="245"/>
      <c r="AC11" s="245"/>
      <c r="AD11" s="245"/>
      <c r="AE11" s="245"/>
      <c r="AF11" s="245"/>
      <c r="AG11" s="245"/>
      <c r="AH11" s="245"/>
      <c r="AI11" s="245"/>
      <c r="AJ11" s="245"/>
      <c r="AK11" s="245">
        <v>1.07</v>
      </c>
      <c r="AL11" s="245"/>
      <c r="AM11" s="245"/>
      <c r="AN11" s="245"/>
      <c r="AO11" s="245">
        <v>1.07</v>
      </c>
      <c r="AP11" s="245">
        <v>1.07</v>
      </c>
      <c r="AQ11" s="245">
        <v>1.07</v>
      </c>
      <c r="AR11" s="245"/>
      <c r="AS11" s="245"/>
      <c r="AT11" s="245"/>
      <c r="AU11" s="273"/>
      <c r="AV11" s="245">
        <v>1.07</v>
      </c>
      <c r="AW11" s="281">
        <v>1.07</v>
      </c>
      <c r="AX11" s="245"/>
      <c r="AY11" s="245">
        <v>1.07</v>
      </c>
      <c r="AZ11" s="245"/>
      <c r="BA11" s="245">
        <v>1.07</v>
      </c>
      <c r="BB11" s="245">
        <v>1.07</v>
      </c>
      <c r="BC11" s="245">
        <v>1.07</v>
      </c>
      <c r="BD11" s="245"/>
      <c r="BE11" s="245"/>
      <c r="BF11" s="245">
        <v>1.07</v>
      </c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  <c r="BW11" s="245"/>
      <c r="BX11" s="245"/>
      <c r="BY11" s="245"/>
      <c r="BZ11" s="245"/>
      <c r="CA11" s="245"/>
      <c r="CB11" s="245"/>
      <c r="CC11" s="245"/>
      <c r="CD11" s="245"/>
      <c r="CE11" s="245"/>
      <c r="CF11" s="245"/>
      <c r="CG11" s="245"/>
      <c r="CH11" s="245"/>
      <c r="CI11" s="245"/>
      <c r="CJ11" s="245"/>
      <c r="CK11" s="245"/>
      <c r="CL11" s="245"/>
      <c r="CM11" s="245"/>
      <c r="CN11" s="245"/>
      <c r="CO11" s="245"/>
      <c r="CP11" s="245"/>
      <c r="CQ11" s="245"/>
      <c r="CR11" s="245"/>
      <c r="CS11" s="245"/>
      <c r="CT11" s="245"/>
      <c r="CU11" s="245"/>
      <c r="CV11" s="245"/>
      <c r="CW11" s="245"/>
      <c r="CX11" s="245"/>
      <c r="CY11" s="245"/>
      <c r="CZ11" s="245"/>
      <c r="DA11" s="245"/>
      <c r="DB11" s="245"/>
      <c r="DC11" s="245"/>
      <c r="DD11" s="245"/>
      <c r="DE11" s="245"/>
      <c r="DF11" s="245"/>
      <c r="DG11" s="245"/>
      <c r="DH11" s="245"/>
      <c r="DI11" s="245"/>
      <c r="DJ11" s="245"/>
      <c r="DK11" s="245"/>
      <c r="DL11" s="245"/>
      <c r="DM11" s="245"/>
      <c r="DN11" s="245"/>
      <c r="DO11" s="245"/>
      <c r="DP11" s="245"/>
      <c r="DQ11" s="245"/>
      <c r="DR11" s="245"/>
      <c r="DS11" s="245"/>
      <c r="DT11" s="245"/>
      <c r="DU11" s="245"/>
      <c r="DV11" s="245"/>
      <c r="DW11" s="245"/>
      <c r="DX11" s="245"/>
      <c r="DY11" s="245"/>
      <c r="DZ11" s="245"/>
      <c r="EA11" s="245"/>
      <c r="EB11" s="245"/>
      <c r="EC11" s="245"/>
      <c r="ED11" s="245"/>
      <c r="EE11" s="245"/>
      <c r="EF11" s="245"/>
      <c r="EG11" s="245"/>
      <c r="EH11" s="245"/>
      <c r="EI11" s="245"/>
      <c r="EJ11" s="245"/>
      <c r="EK11" s="278"/>
      <c r="EL11" s="278"/>
      <c r="EM11" s="278"/>
      <c r="EN11" s="278"/>
      <c r="EO11" s="278"/>
      <c r="EP11" s="250"/>
    </row>
    <row r="12" spans="1:146" ht="15.6">
      <c r="A12" s="215">
        <v>3468</v>
      </c>
      <c r="B12" s="233">
        <v>152</v>
      </c>
      <c r="C12" s="245">
        <v>0.63</v>
      </c>
      <c r="D12" s="245"/>
      <c r="E12" s="245">
        <v>0.63</v>
      </c>
      <c r="F12" s="245">
        <v>0.63</v>
      </c>
      <c r="G12" s="245"/>
      <c r="H12" s="245"/>
      <c r="I12" s="245"/>
      <c r="J12" s="245"/>
      <c r="K12" s="245"/>
      <c r="L12" s="251"/>
      <c r="M12" s="251"/>
      <c r="N12" s="251"/>
      <c r="O12" s="251"/>
      <c r="P12" s="251"/>
      <c r="Q12" s="251"/>
      <c r="R12" s="251"/>
      <c r="S12" s="245">
        <v>1.8</v>
      </c>
      <c r="T12" s="245"/>
      <c r="U12" s="245">
        <v>0.9</v>
      </c>
      <c r="V12" s="245">
        <v>1.8</v>
      </c>
      <c r="W12" s="245"/>
      <c r="X12" s="245">
        <v>1.8</v>
      </c>
      <c r="Y12" s="245"/>
      <c r="Z12" s="245"/>
      <c r="AA12" s="245"/>
      <c r="AB12" s="245"/>
      <c r="AC12" s="245"/>
      <c r="AD12" s="245"/>
      <c r="AE12" s="245"/>
      <c r="AF12" s="245"/>
      <c r="AG12" s="245">
        <v>1.8</v>
      </c>
      <c r="AH12" s="245"/>
      <c r="AI12" s="245"/>
      <c r="AJ12" s="245"/>
      <c r="AK12" s="245">
        <v>0.9</v>
      </c>
      <c r="AL12" s="245"/>
      <c r="AM12" s="245"/>
      <c r="AN12" s="245"/>
      <c r="AO12" s="245">
        <v>0.9</v>
      </c>
      <c r="AP12" s="245">
        <v>0.9</v>
      </c>
      <c r="AQ12" s="245">
        <v>0.9</v>
      </c>
      <c r="AR12" s="245"/>
      <c r="AS12" s="245"/>
      <c r="AT12" s="245"/>
      <c r="AU12" s="273"/>
      <c r="AV12" s="245">
        <v>0.9</v>
      </c>
      <c r="AW12" s="281">
        <v>0.9</v>
      </c>
      <c r="AX12" s="245"/>
      <c r="AY12" s="245"/>
      <c r="AZ12" s="245">
        <v>0.9</v>
      </c>
      <c r="BA12" s="245"/>
      <c r="BB12" s="245">
        <v>0.9</v>
      </c>
      <c r="BC12" s="245"/>
      <c r="BD12" s="245"/>
      <c r="BE12" s="245"/>
      <c r="BF12" s="245"/>
      <c r="BG12" s="245">
        <v>0.9</v>
      </c>
      <c r="BH12" s="245"/>
      <c r="BI12" s="245">
        <v>0.9</v>
      </c>
      <c r="BJ12" s="245"/>
      <c r="BK12" s="245"/>
      <c r="BL12" s="245"/>
      <c r="BM12" s="245"/>
      <c r="BN12" s="245"/>
      <c r="BO12" s="245"/>
      <c r="BP12" s="245"/>
      <c r="BQ12" s="245"/>
      <c r="BR12" s="245"/>
      <c r="BS12" s="245"/>
      <c r="BT12" s="245"/>
      <c r="BU12" s="245"/>
      <c r="BV12" s="245"/>
      <c r="BW12" s="245"/>
      <c r="BX12" s="245"/>
      <c r="BY12" s="245"/>
      <c r="BZ12" s="245"/>
      <c r="CA12" s="245"/>
      <c r="CB12" s="245"/>
      <c r="CC12" s="245"/>
      <c r="CD12" s="245"/>
      <c r="CE12" s="245"/>
      <c r="CF12" s="245"/>
      <c r="CG12" s="245"/>
      <c r="CH12" s="245"/>
      <c r="CI12" s="245"/>
      <c r="CJ12" s="245"/>
      <c r="CK12" s="245"/>
      <c r="CL12" s="245"/>
      <c r="CM12" s="245"/>
      <c r="CN12" s="245"/>
      <c r="CO12" s="245"/>
      <c r="CP12" s="245"/>
      <c r="CQ12" s="245"/>
      <c r="CR12" s="245"/>
      <c r="CS12" s="245"/>
      <c r="CT12" s="245"/>
      <c r="CU12" s="245"/>
      <c r="CV12" s="245"/>
      <c r="CW12" s="245"/>
      <c r="CX12" s="245"/>
      <c r="CY12" s="245"/>
      <c r="CZ12" s="245"/>
      <c r="DA12" s="245"/>
      <c r="DB12" s="245"/>
      <c r="DC12" s="245"/>
      <c r="DD12" s="245"/>
      <c r="DE12" s="245"/>
      <c r="DF12" s="245"/>
      <c r="DG12" s="245"/>
      <c r="DH12" s="245"/>
      <c r="DI12" s="245"/>
      <c r="DJ12" s="245"/>
      <c r="DK12" s="245"/>
      <c r="DL12" s="245"/>
      <c r="DM12" s="245"/>
      <c r="DN12" s="245"/>
      <c r="DO12" s="245"/>
      <c r="DP12" s="245"/>
      <c r="DQ12" s="245"/>
      <c r="DR12" s="245"/>
      <c r="DS12" s="245"/>
      <c r="DT12" s="245"/>
      <c r="DU12" s="245"/>
      <c r="DV12" s="245"/>
      <c r="DW12" s="245"/>
      <c r="DX12" s="245"/>
      <c r="DY12" s="245"/>
      <c r="DZ12" s="245"/>
      <c r="EA12" s="245"/>
      <c r="EB12" s="245"/>
      <c r="EC12" s="245"/>
      <c r="ED12" s="245"/>
      <c r="EE12" s="245"/>
      <c r="EF12" s="245"/>
      <c r="EG12" s="245"/>
      <c r="EH12" s="245"/>
      <c r="EI12" s="245"/>
      <c r="EJ12" s="245"/>
      <c r="EK12" s="278"/>
      <c r="EL12" s="278"/>
      <c r="EM12" s="278"/>
      <c r="EN12" s="278"/>
      <c r="EO12" s="278"/>
      <c r="EP12" s="250"/>
    </row>
    <row r="13" spans="1:146" ht="15.6">
      <c r="A13" s="215">
        <v>3470</v>
      </c>
      <c r="B13" s="233">
        <v>200</v>
      </c>
      <c r="C13" s="245">
        <v>0.83</v>
      </c>
      <c r="D13" s="245"/>
      <c r="E13" s="245">
        <v>0.83</v>
      </c>
      <c r="F13" s="245">
        <v>0.83</v>
      </c>
      <c r="G13" s="245"/>
      <c r="H13" s="245"/>
      <c r="I13" s="245"/>
      <c r="J13" s="245"/>
      <c r="K13" s="245"/>
      <c r="L13" s="251"/>
      <c r="M13" s="251"/>
      <c r="N13" s="251"/>
      <c r="O13" s="251"/>
      <c r="P13" s="251"/>
      <c r="Q13" s="251"/>
      <c r="R13" s="251"/>
      <c r="S13" s="245">
        <v>2.04</v>
      </c>
      <c r="T13" s="245">
        <v>1.02</v>
      </c>
      <c r="U13" s="245">
        <v>2.04</v>
      </c>
      <c r="V13" s="245">
        <v>1.02</v>
      </c>
      <c r="W13" s="245">
        <v>2.04</v>
      </c>
      <c r="X13" s="245"/>
      <c r="Y13" s="245"/>
      <c r="Z13" s="245"/>
      <c r="AA13" s="245">
        <v>2.04</v>
      </c>
      <c r="AB13" s="245"/>
      <c r="AC13" s="245"/>
      <c r="AD13" s="245"/>
      <c r="AE13" s="245"/>
      <c r="AF13" s="245"/>
      <c r="AG13" s="245"/>
      <c r="AH13" s="245"/>
      <c r="AI13" s="245"/>
      <c r="AJ13" s="245"/>
      <c r="AK13" s="245">
        <v>1.02</v>
      </c>
      <c r="AL13" s="245"/>
      <c r="AM13" s="245"/>
      <c r="AN13" s="245"/>
      <c r="AO13" s="245">
        <v>1.02</v>
      </c>
      <c r="AP13" s="245">
        <v>1.02</v>
      </c>
      <c r="AQ13" s="245">
        <v>1.02</v>
      </c>
      <c r="AR13" s="245"/>
      <c r="AS13" s="245"/>
      <c r="AT13" s="245"/>
      <c r="AU13" s="273"/>
      <c r="AV13" s="245">
        <v>1.02</v>
      </c>
      <c r="AW13" s="281">
        <v>1.02</v>
      </c>
      <c r="AX13" s="245"/>
      <c r="AY13" s="245">
        <v>1.02</v>
      </c>
      <c r="AZ13" s="245"/>
      <c r="BA13" s="245">
        <v>1.02</v>
      </c>
      <c r="BB13" s="245">
        <v>1.02</v>
      </c>
      <c r="BC13" s="245"/>
      <c r="BD13" s="245"/>
      <c r="BE13" s="245"/>
      <c r="BF13" s="245">
        <v>1.02</v>
      </c>
      <c r="BG13" s="245">
        <v>1.02</v>
      </c>
      <c r="BH13" s="245"/>
      <c r="BI13" s="245">
        <v>1.02</v>
      </c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5"/>
      <c r="CS13" s="245"/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5"/>
      <c r="DE13" s="245"/>
      <c r="DF13" s="245"/>
      <c r="DG13" s="245"/>
      <c r="DH13" s="245"/>
      <c r="DI13" s="245"/>
      <c r="DJ13" s="245"/>
      <c r="DK13" s="245"/>
      <c r="DL13" s="245"/>
      <c r="DM13" s="245"/>
      <c r="DN13" s="245"/>
      <c r="DO13" s="245"/>
      <c r="DP13" s="245"/>
      <c r="DQ13" s="245"/>
      <c r="DR13" s="245"/>
      <c r="DS13" s="245"/>
      <c r="DT13" s="245"/>
      <c r="DU13" s="245"/>
      <c r="DV13" s="245"/>
      <c r="DW13" s="245"/>
      <c r="DX13" s="245"/>
      <c r="DY13" s="245"/>
      <c r="DZ13" s="245"/>
      <c r="EA13" s="245"/>
      <c r="EB13" s="245"/>
      <c r="EC13" s="245"/>
      <c r="ED13" s="245"/>
      <c r="EE13" s="245"/>
      <c r="EF13" s="245"/>
      <c r="EG13" s="245"/>
      <c r="EH13" s="245"/>
      <c r="EI13" s="245"/>
      <c r="EJ13" s="245"/>
      <c r="EK13" s="278"/>
      <c r="EL13" s="278"/>
      <c r="EM13" s="278"/>
      <c r="EN13" s="278"/>
      <c r="EO13" s="278"/>
      <c r="EP13" s="250"/>
    </row>
    <row r="14" spans="1:146" ht="15.6">
      <c r="A14" s="215">
        <v>3463</v>
      </c>
      <c r="B14" s="233">
        <v>300</v>
      </c>
      <c r="C14" s="245">
        <v>1.25</v>
      </c>
      <c r="D14" s="245"/>
      <c r="E14" s="245">
        <v>1.25</v>
      </c>
      <c r="F14" s="245">
        <v>1.25</v>
      </c>
      <c r="G14" s="245"/>
      <c r="H14" s="245"/>
      <c r="I14" s="245"/>
      <c r="J14" s="245"/>
      <c r="K14" s="245"/>
      <c r="L14" s="251"/>
      <c r="M14" s="251"/>
      <c r="N14" s="251"/>
      <c r="O14" s="251"/>
      <c r="P14" s="251"/>
      <c r="Q14" s="251"/>
      <c r="R14" s="251"/>
      <c r="S14" s="245">
        <v>3.06</v>
      </c>
      <c r="T14" s="245">
        <v>1.53</v>
      </c>
      <c r="U14" s="245">
        <v>3.06</v>
      </c>
      <c r="V14" s="245">
        <v>3.06</v>
      </c>
      <c r="W14" s="245"/>
      <c r="X14" s="245"/>
      <c r="Y14" s="245"/>
      <c r="Z14" s="245"/>
      <c r="AA14" s="245">
        <v>1.53</v>
      </c>
      <c r="AB14" s="245"/>
      <c r="AC14" s="245"/>
      <c r="AD14" s="245"/>
      <c r="AE14" s="245">
        <v>1.53</v>
      </c>
      <c r="AF14" s="245"/>
      <c r="AG14" s="245"/>
      <c r="AH14" s="245">
        <v>1.53</v>
      </c>
      <c r="AI14" s="245"/>
      <c r="AJ14" s="245"/>
      <c r="AK14" s="267">
        <v>1.53</v>
      </c>
      <c r="AL14" s="267"/>
      <c r="AM14" s="245"/>
      <c r="AN14" s="245"/>
      <c r="AO14" s="245">
        <v>1.53</v>
      </c>
      <c r="AP14" s="245">
        <v>1.53</v>
      </c>
      <c r="AQ14" s="245">
        <v>1.53</v>
      </c>
      <c r="AR14" s="245"/>
      <c r="AS14" s="245"/>
      <c r="AT14" s="245"/>
      <c r="AU14" s="273"/>
      <c r="AV14" s="245">
        <v>1.53</v>
      </c>
      <c r="AW14" s="281">
        <v>1.53</v>
      </c>
      <c r="AX14" s="245"/>
      <c r="AY14" s="245"/>
      <c r="AZ14" s="245">
        <v>1.53</v>
      </c>
      <c r="BA14" s="245"/>
      <c r="BB14" s="245">
        <v>1.53</v>
      </c>
      <c r="BC14" s="245">
        <v>1.53</v>
      </c>
      <c r="BD14" s="245"/>
      <c r="BE14" s="245"/>
      <c r="BF14" s="245">
        <v>1.53</v>
      </c>
      <c r="BG14" s="245"/>
      <c r="BH14" s="245">
        <v>1.53</v>
      </c>
      <c r="BI14" s="245">
        <v>1.53</v>
      </c>
      <c r="BJ14" s="245"/>
      <c r="BK14" s="245"/>
      <c r="BL14" s="245"/>
      <c r="BM14" s="245"/>
      <c r="BN14" s="245"/>
      <c r="BO14" s="245"/>
      <c r="BP14" s="245"/>
      <c r="BQ14" s="245"/>
      <c r="BR14" s="245"/>
      <c r="BS14" s="245"/>
      <c r="BT14" s="245"/>
      <c r="BU14" s="245"/>
      <c r="BV14" s="245"/>
      <c r="BW14" s="245"/>
      <c r="BX14" s="245"/>
      <c r="BY14" s="245"/>
      <c r="BZ14" s="245"/>
      <c r="CA14" s="245"/>
      <c r="CB14" s="245"/>
      <c r="CC14" s="245"/>
      <c r="CD14" s="245"/>
      <c r="CE14" s="245"/>
      <c r="CF14" s="245"/>
      <c r="CG14" s="245"/>
      <c r="CH14" s="245"/>
      <c r="CI14" s="245"/>
      <c r="CJ14" s="245"/>
      <c r="CK14" s="245"/>
      <c r="CL14" s="245"/>
      <c r="CM14" s="245"/>
      <c r="CN14" s="245"/>
      <c r="CO14" s="245"/>
      <c r="CP14" s="245"/>
      <c r="CQ14" s="245"/>
      <c r="CR14" s="245"/>
      <c r="CS14" s="245"/>
      <c r="CT14" s="245"/>
      <c r="CU14" s="245"/>
      <c r="CV14" s="245"/>
      <c r="CW14" s="245"/>
      <c r="CX14" s="245"/>
      <c r="CY14" s="245"/>
      <c r="CZ14" s="245"/>
      <c r="DA14" s="245"/>
      <c r="DB14" s="245"/>
      <c r="DC14" s="245"/>
      <c r="DD14" s="245"/>
      <c r="DE14" s="245"/>
      <c r="DF14" s="245"/>
      <c r="DG14" s="245"/>
      <c r="DH14" s="245"/>
      <c r="DI14" s="245"/>
      <c r="DJ14" s="245"/>
      <c r="DK14" s="245"/>
      <c r="DL14" s="245"/>
      <c r="DM14" s="245"/>
      <c r="DN14" s="245"/>
      <c r="DO14" s="245"/>
      <c r="DP14" s="245"/>
      <c r="DQ14" s="245"/>
      <c r="DR14" s="245"/>
      <c r="DS14" s="245"/>
      <c r="DT14" s="245"/>
      <c r="DU14" s="245"/>
      <c r="DV14" s="245"/>
      <c r="DW14" s="245"/>
      <c r="DX14" s="245"/>
      <c r="DY14" s="245"/>
      <c r="DZ14" s="245"/>
      <c r="EA14" s="245"/>
      <c r="EB14" s="245"/>
      <c r="EC14" s="245"/>
      <c r="ED14" s="245"/>
      <c r="EE14" s="245"/>
      <c r="EF14" s="245"/>
      <c r="EG14" s="245"/>
      <c r="EH14" s="245"/>
      <c r="EI14" s="245"/>
      <c r="EJ14" s="245"/>
      <c r="EK14" s="278"/>
      <c r="EL14" s="278"/>
      <c r="EM14" s="278"/>
      <c r="EN14" s="278"/>
      <c r="EO14" s="278"/>
      <c r="EP14" s="250"/>
    </row>
    <row r="15" spans="1:146" ht="15.6">
      <c r="A15" s="215">
        <v>3460</v>
      </c>
      <c r="B15" s="233">
        <v>104</v>
      </c>
      <c r="C15" s="245">
        <v>0.43</v>
      </c>
      <c r="D15" s="245"/>
      <c r="E15" s="245">
        <v>0.43</v>
      </c>
      <c r="F15" s="245">
        <v>0.43</v>
      </c>
      <c r="G15" s="245"/>
      <c r="H15" s="245"/>
      <c r="I15" s="245"/>
      <c r="J15" s="245"/>
      <c r="K15" s="245"/>
      <c r="L15" s="251"/>
      <c r="M15" s="251"/>
      <c r="N15" s="251"/>
      <c r="O15" s="251"/>
      <c r="P15" s="251"/>
      <c r="Q15" s="251"/>
      <c r="R15" s="251"/>
      <c r="S15" s="245">
        <v>1.3</v>
      </c>
      <c r="T15" s="245">
        <v>0.65</v>
      </c>
      <c r="U15" s="245">
        <v>1.3</v>
      </c>
      <c r="V15" s="245"/>
      <c r="W15" s="245"/>
      <c r="X15" s="245"/>
      <c r="Y15" s="245"/>
      <c r="Z15" s="245">
        <v>0.65</v>
      </c>
      <c r="AA15" s="245">
        <v>1.3</v>
      </c>
      <c r="AB15" s="245"/>
      <c r="AC15" s="245"/>
      <c r="AD15" s="245"/>
      <c r="AE15" s="245"/>
      <c r="AF15" s="245"/>
      <c r="AG15" s="245"/>
      <c r="AH15" s="245"/>
      <c r="AI15" s="245"/>
      <c r="AJ15" s="245"/>
      <c r="AK15" s="245">
        <v>0.65</v>
      </c>
      <c r="AL15" s="245"/>
      <c r="AM15" s="245"/>
      <c r="AN15" s="245"/>
      <c r="AO15" s="245">
        <v>0.65</v>
      </c>
      <c r="AP15" s="245">
        <v>0.65</v>
      </c>
      <c r="AQ15" s="245">
        <v>0.65</v>
      </c>
      <c r="AR15" s="245"/>
      <c r="AS15" s="245"/>
      <c r="AT15" s="245"/>
      <c r="AU15" s="273"/>
      <c r="AV15" s="245">
        <v>0.65</v>
      </c>
      <c r="AW15" s="281">
        <v>0.65</v>
      </c>
      <c r="AX15" s="245"/>
      <c r="AY15" s="245"/>
      <c r="AZ15" s="245">
        <v>0.65</v>
      </c>
      <c r="BA15" s="245"/>
      <c r="BB15" s="245">
        <v>0.65</v>
      </c>
      <c r="BC15" s="245"/>
      <c r="BD15" s="245"/>
      <c r="BE15" s="245"/>
      <c r="BF15" s="245">
        <v>0.65</v>
      </c>
      <c r="BG15" s="245">
        <v>0.65</v>
      </c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  <c r="BX15" s="245"/>
      <c r="BY15" s="245"/>
      <c r="BZ15" s="245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5"/>
      <c r="CL15" s="245"/>
      <c r="CM15" s="245"/>
      <c r="CN15" s="245"/>
      <c r="CO15" s="245"/>
      <c r="CP15" s="245"/>
      <c r="CQ15" s="245"/>
      <c r="CR15" s="245"/>
      <c r="CS15" s="245"/>
      <c r="CT15" s="245"/>
      <c r="CU15" s="245"/>
      <c r="CV15" s="245"/>
      <c r="CW15" s="245"/>
      <c r="CX15" s="245"/>
      <c r="CY15" s="245"/>
      <c r="CZ15" s="245"/>
      <c r="DA15" s="245"/>
      <c r="DB15" s="245"/>
      <c r="DC15" s="245"/>
      <c r="DD15" s="245"/>
      <c r="DE15" s="245"/>
      <c r="DF15" s="245"/>
      <c r="DG15" s="245"/>
      <c r="DH15" s="245"/>
      <c r="DI15" s="245"/>
      <c r="DJ15" s="245"/>
      <c r="DK15" s="245"/>
      <c r="DL15" s="245"/>
      <c r="DM15" s="245"/>
      <c r="DN15" s="245"/>
      <c r="DO15" s="245"/>
      <c r="DP15" s="245"/>
      <c r="DQ15" s="245"/>
      <c r="DR15" s="245"/>
      <c r="DS15" s="245"/>
      <c r="DT15" s="245"/>
      <c r="DU15" s="245"/>
      <c r="DV15" s="245"/>
      <c r="DW15" s="245"/>
      <c r="DX15" s="245"/>
      <c r="DY15" s="245"/>
      <c r="DZ15" s="245"/>
      <c r="EA15" s="245"/>
      <c r="EB15" s="245"/>
      <c r="EC15" s="245"/>
      <c r="ED15" s="245"/>
      <c r="EE15" s="245"/>
      <c r="EF15" s="245"/>
      <c r="EG15" s="245"/>
      <c r="EH15" s="245"/>
      <c r="EI15" s="245"/>
      <c r="EJ15" s="245"/>
      <c r="EK15" s="278"/>
      <c r="EL15" s="278"/>
      <c r="EM15" s="278"/>
      <c r="EN15" s="278"/>
      <c r="EO15" s="278"/>
      <c r="EP15" s="250"/>
    </row>
    <row r="16" spans="1:146" ht="15.6">
      <c r="A16" s="215">
        <v>3447</v>
      </c>
      <c r="B16" s="233">
        <v>162</v>
      </c>
      <c r="C16" s="245">
        <v>0.67</v>
      </c>
      <c r="D16" s="245"/>
      <c r="E16" s="245">
        <v>0.67</v>
      </c>
      <c r="F16" s="245">
        <v>0.67</v>
      </c>
      <c r="G16" s="245"/>
      <c r="H16" s="245"/>
      <c r="I16" s="245"/>
      <c r="J16" s="245"/>
      <c r="K16" s="245"/>
      <c r="L16" s="251"/>
      <c r="M16" s="251"/>
      <c r="N16" s="251"/>
      <c r="O16" s="251"/>
      <c r="P16" s="251"/>
      <c r="Q16" s="251"/>
      <c r="R16" s="251"/>
      <c r="S16" s="245">
        <v>1.73</v>
      </c>
      <c r="T16" s="245">
        <v>0.86</v>
      </c>
      <c r="U16" s="245">
        <v>0.86</v>
      </c>
      <c r="V16" s="245">
        <v>1.73</v>
      </c>
      <c r="W16" s="245"/>
      <c r="X16" s="245"/>
      <c r="Y16" s="245">
        <v>1.73</v>
      </c>
      <c r="Z16" s="245"/>
      <c r="AA16" s="245"/>
      <c r="AB16" s="245"/>
      <c r="AC16" s="245"/>
      <c r="AD16" s="245"/>
      <c r="AE16" s="245"/>
      <c r="AF16" s="245"/>
      <c r="AG16" s="245">
        <v>1.73</v>
      </c>
      <c r="AH16" s="245">
        <v>1.73</v>
      </c>
      <c r="AI16" s="245"/>
      <c r="AJ16" s="245"/>
      <c r="AK16" s="245">
        <v>0.86</v>
      </c>
      <c r="AL16" s="245"/>
      <c r="AM16" s="245"/>
      <c r="AN16" s="245"/>
      <c r="AO16" s="245">
        <v>0.86</v>
      </c>
      <c r="AP16" s="245">
        <v>0.86</v>
      </c>
      <c r="AQ16" s="245">
        <v>0.86</v>
      </c>
      <c r="AR16" s="245"/>
      <c r="AS16" s="245"/>
      <c r="AT16" s="245"/>
      <c r="AU16" s="273"/>
      <c r="AV16" s="245">
        <v>0.86</v>
      </c>
      <c r="AW16" s="281">
        <v>0.86</v>
      </c>
      <c r="AX16" s="245"/>
      <c r="AY16" s="245"/>
      <c r="AZ16" s="245">
        <v>0.86</v>
      </c>
      <c r="BA16" s="245"/>
      <c r="BB16" s="245">
        <v>0.86</v>
      </c>
      <c r="BC16" s="245"/>
      <c r="BD16" s="245"/>
      <c r="BE16" s="245"/>
      <c r="BF16" s="245"/>
      <c r="BG16" s="245"/>
      <c r="BH16" s="245"/>
      <c r="BI16" s="245">
        <v>0.86</v>
      </c>
      <c r="BJ16" s="245"/>
      <c r="BK16" s="245"/>
      <c r="BL16" s="245"/>
      <c r="BM16" s="245"/>
      <c r="BN16" s="245"/>
      <c r="BO16" s="245"/>
      <c r="BP16" s="245"/>
      <c r="BQ16" s="245"/>
      <c r="BR16" s="245"/>
      <c r="BS16" s="245"/>
      <c r="BT16" s="245"/>
      <c r="BU16" s="245"/>
      <c r="BV16" s="245"/>
      <c r="BW16" s="245"/>
      <c r="BX16" s="245"/>
      <c r="BY16" s="245"/>
      <c r="BZ16" s="245"/>
      <c r="CA16" s="245"/>
      <c r="CB16" s="245"/>
      <c r="CC16" s="245"/>
      <c r="CD16" s="245"/>
      <c r="CE16" s="245"/>
      <c r="CF16" s="245"/>
      <c r="CG16" s="245"/>
      <c r="CH16" s="245"/>
      <c r="CI16" s="245"/>
      <c r="CJ16" s="245"/>
      <c r="CK16" s="245"/>
      <c r="CL16" s="245"/>
      <c r="CM16" s="245"/>
      <c r="CN16" s="245"/>
      <c r="CO16" s="245"/>
      <c r="CP16" s="245"/>
      <c r="CQ16" s="245"/>
      <c r="CR16" s="245"/>
      <c r="CS16" s="245"/>
      <c r="CT16" s="245"/>
      <c r="CU16" s="245"/>
      <c r="CV16" s="245"/>
      <c r="CW16" s="245"/>
      <c r="CX16" s="245"/>
      <c r="CY16" s="245"/>
      <c r="CZ16" s="245"/>
      <c r="DA16" s="245"/>
      <c r="DB16" s="245"/>
      <c r="DC16" s="245"/>
      <c r="DD16" s="245"/>
      <c r="DE16" s="245"/>
      <c r="DF16" s="245"/>
      <c r="DG16" s="245"/>
      <c r="DH16" s="245"/>
      <c r="DI16" s="245"/>
      <c r="DJ16" s="245"/>
      <c r="DK16" s="245"/>
      <c r="DL16" s="245"/>
      <c r="DM16" s="245"/>
      <c r="DN16" s="245"/>
      <c r="DO16" s="245"/>
      <c r="DP16" s="245"/>
      <c r="DQ16" s="245"/>
      <c r="DR16" s="245"/>
      <c r="DS16" s="245"/>
      <c r="DT16" s="245"/>
      <c r="DU16" s="245"/>
      <c r="DV16" s="245"/>
      <c r="DW16" s="245"/>
      <c r="DX16" s="245"/>
      <c r="DY16" s="245"/>
      <c r="DZ16" s="245"/>
      <c r="EA16" s="245"/>
      <c r="EB16" s="245"/>
      <c r="EC16" s="245"/>
      <c r="ED16" s="245"/>
      <c r="EE16" s="245"/>
      <c r="EF16" s="245"/>
      <c r="EG16" s="245"/>
      <c r="EH16" s="245"/>
      <c r="EI16" s="245"/>
      <c r="EJ16" s="245"/>
      <c r="EK16" s="278"/>
      <c r="EL16" s="278"/>
      <c r="EM16" s="278"/>
      <c r="EN16" s="278"/>
      <c r="EO16" s="278"/>
      <c r="EP16" s="250"/>
    </row>
    <row r="17" spans="1:146" ht="15.6">
      <c r="A17" s="215">
        <v>3445</v>
      </c>
      <c r="B17" s="233">
        <v>200</v>
      </c>
      <c r="C17" s="245">
        <v>0.83</v>
      </c>
      <c r="D17" s="245"/>
      <c r="E17" s="245">
        <v>0.83</v>
      </c>
      <c r="F17" s="245">
        <v>0.83</v>
      </c>
      <c r="G17" s="245"/>
      <c r="H17" s="245"/>
      <c r="I17" s="245"/>
      <c r="J17" s="245"/>
      <c r="K17" s="245"/>
      <c r="L17" s="251"/>
      <c r="M17" s="251"/>
      <c r="N17" s="251"/>
      <c r="O17" s="251"/>
      <c r="P17" s="251"/>
      <c r="Q17" s="251"/>
      <c r="R17" s="251"/>
      <c r="S17" s="245">
        <v>2.36</v>
      </c>
      <c r="T17" s="245"/>
      <c r="U17" s="245">
        <v>2.36</v>
      </c>
      <c r="V17" s="245"/>
      <c r="W17" s="245">
        <v>2.36</v>
      </c>
      <c r="X17" s="245"/>
      <c r="Y17" s="245"/>
      <c r="Z17" s="245"/>
      <c r="AA17" s="245">
        <v>1.18</v>
      </c>
      <c r="AB17" s="245"/>
      <c r="AC17" s="245"/>
      <c r="AD17" s="245"/>
      <c r="AE17" s="245"/>
      <c r="AF17" s="245"/>
      <c r="AG17" s="245"/>
      <c r="AH17" s="245">
        <v>2.36</v>
      </c>
      <c r="AI17" s="245"/>
      <c r="AJ17" s="245"/>
      <c r="AK17" s="245">
        <v>1.18</v>
      </c>
      <c r="AL17" s="245"/>
      <c r="AM17" s="245"/>
      <c r="AN17" s="245"/>
      <c r="AO17" s="245">
        <v>1.18</v>
      </c>
      <c r="AP17" s="245">
        <v>1.18</v>
      </c>
      <c r="AQ17" s="245">
        <v>1.18</v>
      </c>
      <c r="AR17" s="245"/>
      <c r="AS17" s="245"/>
      <c r="AT17" s="245"/>
      <c r="AU17" s="273"/>
      <c r="AV17" s="245">
        <v>1.18</v>
      </c>
      <c r="AW17" s="281">
        <v>1.18</v>
      </c>
      <c r="AX17" s="245"/>
      <c r="AY17" s="245"/>
      <c r="AZ17" s="245">
        <v>1.18</v>
      </c>
      <c r="BA17" s="245"/>
      <c r="BB17" s="245">
        <v>1.18</v>
      </c>
      <c r="BC17" s="245"/>
      <c r="BD17" s="245"/>
      <c r="BE17" s="245"/>
      <c r="BF17" s="245">
        <v>1.18</v>
      </c>
      <c r="BG17" s="245"/>
      <c r="BH17" s="245"/>
      <c r="BI17" s="245">
        <v>1.18</v>
      </c>
      <c r="BJ17" s="245"/>
      <c r="BK17" s="245"/>
      <c r="BL17" s="245"/>
      <c r="BM17" s="245"/>
      <c r="BN17" s="245"/>
      <c r="BO17" s="245"/>
      <c r="BP17" s="245"/>
      <c r="BQ17" s="245"/>
      <c r="BR17" s="245"/>
      <c r="BS17" s="245"/>
      <c r="BT17" s="245"/>
      <c r="BU17" s="245"/>
      <c r="BV17" s="245"/>
      <c r="BW17" s="245"/>
      <c r="BX17" s="245"/>
      <c r="BY17" s="245"/>
      <c r="BZ17" s="245"/>
      <c r="CA17" s="245"/>
      <c r="CB17" s="245"/>
      <c r="CC17" s="245"/>
      <c r="CD17" s="245"/>
      <c r="CE17" s="245"/>
      <c r="CF17" s="245"/>
      <c r="CG17" s="245"/>
      <c r="CH17" s="245"/>
      <c r="CI17" s="245"/>
      <c r="CJ17" s="245"/>
      <c r="CK17" s="245"/>
      <c r="CL17" s="245"/>
      <c r="CM17" s="245"/>
      <c r="CN17" s="245"/>
      <c r="CO17" s="245"/>
      <c r="CP17" s="245"/>
      <c r="CQ17" s="245"/>
      <c r="CR17" s="245"/>
      <c r="CS17" s="245"/>
      <c r="CT17" s="245"/>
      <c r="CU17" s="245"/>
      <c r="CV17" s="245"/>
      <c r="CW17" s="245"/>
      <c r="CX17" s="245"/>
      <c r="CY17" s="245"/>
      <c r="CZ17" s="245"/>
      <c r="DA17" s="245"/>
      <c r="DB17" s="245"/>
      <c r="DC17" s="245"/>
      <c r="DD17" s="245"/>
      <c r="DE17" s="245"/>
      <c r="DF17" s="245"/>
      <c r="DG17" s="245"/>
      <c r="DH17" s="245"/>
      <c r="DI17" s="245"/>
      <c r="DJ17" s="245"/>
      <c r="DK17" s="245"/>
      <c r="DL17" s="245"/>
      <c r="DM17" s="245"/>
      <c r="DN17" s="245"/>
      <c r="DO17" s="245"/>
      <c r="DP17" s="245"/>
      <c r="DQ17" s="245"/>
      <c r="DR17" s="245"/>
      <c r="DS17" s="245"/>
      <c r="DT17" s="245"/>
      <c r="DU17" s="245"/>
      <c r="DV17" s="245"/>
      <c r="DW17" s="245"/>
      <c r="DX17" s="245"/>
      <c r="DY17" s="245"/>
      <c r="DZ17" s="245"/>
      <c r="EA17" s="245"/>
      <c r="EB17" s="245"/>
      <c r="EC17" s="245"/>
      <c r="ED17" s="245"/>
      <c r="EE17" s="245"/>
      <c r="EF17" s="245"/>
      <c r="EG17" s="245"/>
      <c r="EH17" s="245"/>
      <c r="EI17" s="245"/>
      <c r="EJ17" s="245"/>
      <c r="EK17" s="278"/>
      <c r="EL17" s="278"/>
      <c r="EM17" s="278"/>
      <c r="EN17" s="278"/>
      <c r="EO17" s="278"/>
      <c r="EP17" s="250"/>
    </row>
    <row r="18" spans="1:146" ht="15.6">
      <c r="A18" s="215">
        <v>3437</v>
      </c>
      <c r="B18" s="233">
        <v>200</v>
      </c>
      <c r="C18" s="245">
        <v>0.83</v>
      </c>
      <c r="D18" s="245"/>
      <c r="E18" s="245">
        <v>0.83</v>
      </c>
      <c r="F18" s="245">
        <v>0.83</v>
      </c>
      <c r="G18" s="245"/>
      <c r="H18" s="245"/>
      <c r="I18" s="245"/>
      <c r="J18" s="245"/>
      <c r="K18" s="245"/>
      <c r="L18" s="251"/>
      <c r="M18" s="251"/>
      <c r="N18" s="251"/>
      <c r="O18" s="251"/>
      <c r="P18" s="251"/>
      <c r="Q18" s="251"/>
      <c r="R18" s="251"/>
      <c r="S18" s="245">
        <v>2.04</v>
      </c>
      <c r="T18" s="245"/>
      <c r="U18" s="245">
        <v>2.04</v>
      </c>
      <c r="V18" s="245">
        <v>2.04</v>
      </c>
      <c r="W18" s="245"/>
      <c r="X18" s="245"/>
      <c r="Y18" s="245"/>
      <c r="Z18" s="245"/>
      <c r="AA18" s="245"/>
      <c r="AB18" s="245"/>
      <c r="AC18" s="245"/>
      <c r="AD18" s="245"/>
      <c r="AE18" s="245">
        <v>2.04</v>
      </c>
      <c r="AF18" s="245"/>
      <c r="AG18" s="245"/>
      <c r="AH18" s="245">
        <v>2.04</v>
      </c>
      <c r="AI18" s="245"/>
      <c r="AJ18" s="245"/>
      <c r="AK18" s="245"/>
      <c r="AL18" s="245"/>
      <c r="AM18" s="245"/>
      <c r="AN18" s="245">
        <v>1.02</v>
      </c>
      <c r="AO18" s="245">
        <v>1.02</v>
      </c>
      <c r="AP18" s="245">
        <v>1.02</v>
      </c>
      <c r="AQ18" s="245">
        <v>1.02</v>
      </c>
      <c r="AR18" s="245"/>
      <c r="AS18" s="245"/>
      <c r="AT18" s="245"/>
      <c r="AU18" s="273"/>
      <c r="AV18" s="245">
        <v>1.02</v>
      </c>
      <c r="AW18" s="281">
        <v>1.02</v>
      </c>
      <c r="AX18" s="245"/>
      <c r="AY18" s="245">
        <v>1.02</v>
      </c>
      <c r="AZ18" s="245"/>
      <c r="BA18" s="245">
        <v>1.02</v>
      </c>
      <c r="BB18" s="245">
        <v>1.02</v>
      </c>
      <c r="BC18" s="245">
        <v>1.02</v>
      </c>
      <c r="BD18" s="245"/>
      <c r="BE18" s="245"/>
      <c r="BF18" s="245">
        <v>1.02</v>
      </c>
      <c r="BG18" s="245"/>
      <c r="BH18" s="245"/>
      <c r="BI18" s="245">
        <v>1.02</v>
      </c>
      <c r="BJ18" s="245"/>
      <c r="BK18" s="245"/>
      <c r="BL18" s="245"/>
      <c r="BM18" s="245"/>
      <c r="BN18" s="245"/>
      <c r="BO18" s="245"/>
      <c r="BP18" s="245"/>
      <c r="BQ18" s="245"/>
      <c r="BR18" s="245"/>
      <c r="BS18" s="245"/>
      <c r="BT18" s="245"/>
      <c r="BU18" s="245"/>
      <c r="BV18" s="245"/>
      <c r="BW18" s="245"/>
      <c r="BX18" s="245"/>
      <c r="BY18" s="245"/>
      <c r="BZ18" s="245"/>
      <c r="CA18" s="245"/>
      <c r="CB18" s="245"/>
      <c r="CC18" s="245"/>
      <c r="CD18" s="245"/>
      <c r="CE18" s="245"/>
      <c r="CF18" s="245"/>
      <c r="CG18" s="245"/>
      <c r="CH18" s="245"/>
      <c r="CI18" s="245"/>
      <c r="CJ18" s="245"/>
      <c r="CK18" s="245"/>
      <c r="CL18" s="245"/>
      <c r="CM18" s="245"/>
      <c r="CN18" s="245"/>
      <c r="CO18" s="245"/>
      <c r="CP18" s="245"/>
      <c r="CQ18" s="245"/>
      <c r="CR18" s="245"/>
      <c r="CS18" s="245"/>
      <c r="CT18" s="245"/>
      <c r="CU18" s="245"/>
      <c r="CV18" s="245"/>
      <c r="CW18" s="245"/>
      <c r="CX18" s="245"/>
      <c r="CY18" s="245"/>
      <c r="CZ18" s="245"/>
      <c r="DA18" s="245"/>
      <c r="DB18" s="245"/>
      <c r="DC18" s="245"/>
      <c r="DD18" s="245"/>
      <c r="DE18" s="245"/>
      <c r="DF18" s="245"/>
      <c r="DG18" s="245"/>
      <c r="DH18" s="245"/>
      <c r="DI18" s="245"/>
      <c r="DJ18" s="245"/>
      <c r="DK18" s="245"/>
      <c r="DL18" s="245"/>
      <c r="DM18" s="245"/>
      <c r="DN18" s="245"/>
      <c r="DO18" s="245"/>
      <c r="DP18" s="245"/>
      <c r="DQ18" s="245"/>
      <c r="DR18" s="245"/>
      <c r="DS18" s="245"/>
      <c r="DT18" s="245"/>
      <c r="DU18" s="245"/>
      <c r="DV18" s="245"/>
      <c r="DW18" s="245"/>
      <c r="DX18" s="245"/>
      <c r="DY18" s="245"/>
      <c r="DZ18" s="245"/>
      <c r="EA18" s="245"/>
      <c r="EB18" s="245"/>
      <c r="EC18" s="245"/>
      <c r="ED18" s="245"/>
      <c r="EE18" s="245"/>
      <c r="EF18" s="245"/>
      <c r="EG18" s="245"/>
      <c r="EH18" s="245"/>
      <c r="EI18" s="245"/>
      <c r="EJ18" s="245"/>
      <c r="EK18" s="278"/>
      <c r="EL18" s="278"/>
      <c r="EM18" s="278"/>
      <c r="EN18" s="278"/>
      <c r="EO18" s="278"/>
      <c r="EP18" s="250"/>
    </row>
    <row r="19" spans="1:146" ht="15.6">
      <c r="A19" s="215">
        <v>3394</v>
      </c>
      <c r="B19" s="233">
        <v>200</v>
      </c>
      <c r="C19" s="245">
        <v>0.83</v>
      </c>
      <c r="D19" s="245"/>
      <c r="E19" s="245">
        <v>0.83</v>
      </c>
      <c r="F19" s="245">
        <v>0.83</v>
      </c>
      <c r="G19" s="245"/>
      <c r="H19" s="245"/>
      <c r="I19" s="245"/>
      <c r="J19" s="245"/>
      <c r="K19" s="245"/>
      <c r="L19" s="251"/>
      <c r="M19" s="251"/>
      <c r="N19" s="251"/>
      <c r="O19" s="251"/>
      <c r="P19" s="251"/>
      <c r="Q19" s="251"/>
      <c r="R19" s="251"/>
      <c r="S19" s="245">
        <v>2.5</v>
      </c>
      <c r="T19" s="245">
        <v>1.25</v>
      </c>
      <c r="U19" s="245"/>
      <c r="V19" s="245"/>
      <c r="W19" s="245"/>
      <c r="X19" s="245">
        <v>1.25</v>
      </c>
      <c r="Y19" s="245"/>
      <c r="Z19" s="245"/>
      <c r="AA19" s="245"/>
      <c r="AB19" s="245"/>
      <c r="AC19" s="245"/>
      <c r="AD19" s="245">
        <v>2.5</v>
      </c>
      <c r="AE19" s="245">
        <v>2.5</v>
      </c>
      <c r="AF19" s="245"/>
      <c r="AG19" s="245"/>
      <c r="AH19" s="245"/>
      <c r="AI19" s="266"/>
      <c r="AJ19" s="1"/>
      <c r="AK19" s="245"/>
      <c r="AL19" s="245"/>
      <c r="AM19" s="245"/>
      <c r="AN19" s="245">
        <v>1.25</v>
      </c>
      <c r="AO19" s="245">
        <v>1.25</v>
      </c>
      <c r="AP19" s="245">
        <v>1.25</v>
      </c>
      <c r="AQ19" s="245">
        <v>1.25</v>
      </c>
      <c r="AR19" s="245"/>
      <c r="AS19" s="245"/>
      <c r="AT19" s="245"/>
      <c r="AU19" s="273"/>
      <c r="AV19" s="245">
        <v>1.25</v>
      </c>
      <c r="AW19" s="281">
        <v>1.25</v>
      </c>
      <c r="AX19" s="245"/>
      <c r="AY19" s="245">
        <v>1.25</v>
      </c>
      <c r="AZ19" s="245"/>
      <c r="BA19" s="245">
        <v>1.25</v>
      </c>
      <c r="BB19" s="245">
        <v>1.25</v>
      </c>
      <c r="BC19" s="245"/>
      <c r="BD19" s="245"/>
      <c r="BE19" s="245"/>
      <c r="BF19" s="245"/>
      <c r="BG19" s="245"/>
      <c r="BH19" s="245"/>
      <c r="BI19" s="245">
        <v>1.25</v>
      </c>
      <c r="BJ19" s="245"/>
      <c r="BK19" s="245"/>
      <c r="BL19" s="245"/>
      <c r="BM19" s="245"/>
      <c r="BN19" s="245"/>
      <c r="BO19" s="245"/>
      <c r="BP19" s="245"/>
      <c r="BQ19" s="245"/>
      <c r="BR19" s="245"/>
      <c r="BS19" s="245"/>
      <c r="BT19" s="245"/>
      <c r="BU19" s="245"/>
      <c r="BV19" s="245"/>
      <c r="BW19" s="245"/>
      <c r="BX19" s="245"/>
      <c r="BY19" s="245"/>
      <c r="BZ19" s="245"/>
      <c r="CA19" s="245"/>
      <c r="CB19" s="245"/>
      <c r="CC19" s="245"/>
      <c r="CD19" s="245"/>
      <c r="CE19" s="245"/>
      <c r="CF19" s="245"/>
      <c r="CG19" s="245"/>
      <c r="CH19" s="245"/>
      <c r="CI19" s="245"/>
      <c r="CJ19" s="245"/>
      <c r="CK19" s="245"/>
      <c r="CL19" s="245"/>
      <c r="CM19" s="245"/>
      <c r="CN19" s="245"/>
      <c r="CO19" s="245"/>
      <c r="CP19" s="245"/>
      <c r="CQ19" s="245"/>
      <c r="CR19" s="245"/>
      <c r="CS19" s="245"/>
      <c r="CT19" s="245"/>
      <c r="CU19" s="245"/>
      <c r="CV19" s="245"/>
      <c r="CW19" s="245"/>
      <c r="CX19" s="245"/>
      <c r="CY19" s="245"/>
      <c r="CZ19" s="245"/>
      <c r="DA19" s="245"/>
      <c r="DB19" s="245"/>
      <c r="DC19" s="245"/>
      <c r="DD19" s="245"/>
      <c r="DE19" s="245"/>
      <c r="DF19" s="245"/>
      <c r="DG19" s="245"/>
      <c r="DH19" s="245"/>
      <c r="DI19" s="245"/>
      <c r="DJ19" s="245"/>
      <c r="DK19" s="245"/>
      <c r="DL19" s="245"/>
      <c r="DM19" s="245"/>
      <c r="DN19" s="245"/>
      <c r="DO19" s="245"/>
      <c r="DP19" s="245"/>
      <c r="DQ19" s="245"/>
      <c r="DR19" s="245"/>
      <c r="DS19" s="245"/>
      <c r="DT19" s="245"/>
      <c r="DU19" s="245"/>
      <c r="DV19" s="245"/>
      <c r="DW19" s="245"/>
      <c r="DX19" s="245"/>
      <c r="DY19" s="245"/>
      <c r="DZ19" s="245"/>
      <c r="EA19" s="245"/>
      <c r="EB19" s="245"/>
      <c r="EC19" s="245"/>
      <c r="ED19" s="245"/>
      <c r="EE19" s="245"/>
      <c r="EF19" s="245"/>
      <c r="EG19" s="245"/>
      <c r="EH19" s="245"/>
      <c r="EI19" s="245"/>
      <c r="EJ19" s="245"/>
      <c r="EK19" s="278"/>
      <c r="EL19" s="278"/>
      <c r="EM19" s="278"/>
      <c r="EN19" s="278"/>
      <c r="EO19" s="278"/>
      <c r="EP19" s="250"/>
    </row>
    <row r="20" spans="1:146" ht="15.6">
      <c r="A20" s="215">
        <v>3392</v>
      </c>
      <c r="B20" s="233">
        <v>200</v>
      </c>
      <c r="C20" s="245">
        <v>0.83</v>
      </c>
      <c r="D20" s="245"/>
      <c r="E20" s="245">
        <v>0.83</v>
      </c>
      <c r="F20" s="245">
        <v>0.83</v>
      </c>
      <c r="G20" s="245"/>
      <c r="H20" s="245"/>
      <c r="I20" s="245"/>
      <c r="J20" s="245"/>
      <c r="K20" s="245"/>
      <c r="L20" s="251"/>
      <c r="M20" s="251"/>
      <c r="N20" s="251"/>
      <c r="O20" s="251"/>
      <c r="P20" s="251"/>
      <c r="Q20" s="251"/>
      <c r="R20" s="251"/>
      <c r="S20" s="245">
        <v>2.25</v>
      </c>
      <c r="T20" s="245">
        <v>1.1200000000000001</v>
      </c>
      <c r="U20" s="245"/>
      <c r="V20" s="245"/>
      <c r="W20" s="245"/>
      <c r="X20" s="245"/>
      <c r="Y20" s="245"/>
      <c r="Z20" s="245"/>
      <c r="AA20" s="245">
        <v>2.25</v>
      </c>
      <c r="AB20" s="245"/>
      <c r="AC20" s="245"/>
      <c r="AD20" s="245">
        <v>2.25</v>
      </c>
      <c r="AE20" s="245">
        <v>2.25</v>
      </c>
      <c r="AF20" s="245">
        <v>1.1200000000000001</v>
      </c>
      <c r="AG20" s="245">
        <v>1.1200000000000001</v>
      </c>
      <c r="AH20" s="245"/>
      <c r="AI20" s="245"/>
      <c r="AJ20" s="245"/>
      <c r="AK20" s="245"/>
      <c r="AL20" s="245"/>
      <c r="AM20" s="245"/>
      <c r="AN20" s="245">
        <v>1.1200000000000001</v>
      </c>
      <c r="AO20" s="245">
        <v>1.1200000000000001</v>
      </c>
      <c r="AP20" s="245">
        <v>1.1200000000000001</v>
      </c>
      <c r="AQ20" s="245">
        <v>1.1200000000000001</v>
      </c>
      <c r="AR20" s="245"/>
      <c r="AS20" s="245"/>
      <c r="AT20" s="245"/>
      <c r="AU20" s="273"/>
      <c r="AV20" s="245">
        <v>1.1200000000000001</v>
      </c>
      <c r="AW20" s="281">
        <v>1.1200000000000001</v>
      </c>
      <c r="AX20" s="245"/>
      <c r="AY20" s="245"/>
      <c r="AZ20" s="245"/>
      <c r="BA20" s="245">
        <v>1.1200000000000001</v>
      </c>
      <c r="BB20" s="245">
        <v>1.1200000000000001</v>
      </c>
      <c r="BC20" s="245"/>
      <c r="BD20" s="245"/>
      <c r="BE20" s="245"/>
      <c r="BF20" s="245"/>
      <c r="BG20" s="245"/>
      <c r="BH20" s="245"/>
      <c r="BI20" s="245">
        <v>1.1200000000000001</v>
      </c>
      <c r="BJ20" s="245"/>
      <c r="BK20" s="245"/>
      <c r="BL20" s="245"/>
      <c r="BM20" s="245"/>
      <c r="BN20" s="245"/>
      <c r="BO20" s="245"/>
      <c r="BP20" s="245"/>
      <c r="BQ20" s="245"/>
      <c r="BR20" s="245"/>
      <c r="BS20" s="245"/>
      <c r="BT20" s="245"/>
      <c r="BU20" s="245"/>
      <c r="BV20" s="245"/>
      <c r="BW20" s="245"/>
      <c r="BX20" s="245"/>
      <c r="BY20" s="245"/>
      <c r="BZ20" s="245"/>
      <c r="CA20" s="245"/>
      <c r="CB20" s="245"/>
      <c r="CC20" s="245"/>
      <c r="CD20" s="245"/>
      <c r="CE20" s="245"/>
      <c r="CF20" s="245"/>
      <c r="CG20" s="245"/>
      <c r="CH20" s="245"/>
      <c r="CI20" s="245"/>
      <c r="CJ20" s="245"/>
      <c r="CK20" s="245"/>
      <c r="CL20" s="245"/>
      <c r="CM20" s="245"/>
      <c r="CN20" s="245"/>
      <c r="CO20" s="245"/>
      <c r="CP20" s="245"/>
      <c r="CQ20" s="245"/>
      <c r="CR20" s="245"/>
      <c r="CS20" s="245"/>
      <c r="CT20" s="245"/>
      <c r="CU20" s="245"/>
      <c r="CV20" s="245"/>
      <c r="CW20" s="245"/>
      <c r="CX20" s="245"/>
      <c r="CY20" s="245"/>
      <c r="CZ20" s="245"/>
      <c r="DA20" s="245"/>
      <c r="DB20" s="245"/>
      <c r="DC20" s="245"/>
      <c r="DD20" s="245"/>
      <c r="DE20" s="245"/>
      <c r="DF20" s="245"/>
      <c r="DG20" s="245"/>
      <c r="DH20" s="245"/>
      <c r="DI20" s="245"/>
      <c r="DJ20" s="245"/>
      <c r="DK20" s="245"/>
      <c r="DL20" s="245"/>
      <c r="DM20" s="245"/>
      <c r="DN20" s="245"/>
      <c r="DO20" s="245"/>
      <c r="DP20" s="245"/>
      <c r="DQ20" s="245"/>
      <c r="DR20" s="245"/>
      <c r="DS20" s="245"/>
      <c r="DT20" s="245"/>
      <c r="DU20" s="245"/>
      <c r="DV20" s="245"/>
      <c r="DW20" s="245"/>
      <c r="DX20" s="245"/>
      <c r="DY20" s="245"/>
      <c r="DZ20" s="245"/>
      <c r="EA20" s="245"/>
      <c r="EB20" s="245"/>
      <c r="EC20" s="245"/>
      <c r="ED20" s="245"/>
      <c r="EE20" s="245"/>
      <c r="EF20" s="245"/>
      <c r="EG20" s="245"/>
      <c r="EH20" s="245"/>
      <c r="EI20" s="245"/>
      <c r="EJ20" s="245"/>
      <c r="EK20" s="278"/>
      <c r="EL20" s="278"/>
      <c r="EM20" s="278"/>
      <c r="EN20" s="278"/>
      <c r="EO20" s="278"/>
      <c r="EP20" s="250"/>
    </row>
    <row r="21" spans="1:146" ht="15.6">
      <c r="A21" s="215">
        <v>3391</v>
      </c>
      <c r="B21" s="233">
        <v>200</v>
      </c>
      <c r="C21" s="245">
        <v>0.83</v>
      </c>
      <c r="D21" s="245"/>
      <c r="E21" s="245">
        <v>0.83</v>
      </c>
      <c r="F21" s="245">
        <v>0.83</v>
      </c>
      <c r="G21" s="245"/>
      <c r="H21" s="245"/>
      <c r="I21" s="245"/>
      <c r="J21" s="245"/>
      <c r="K21" s="245"/>
      <c r="L21" s="251"/>
      <c r="M21" s="251"/>
      <c r="N21" s="251"/>
      <c r="O21" s="251"/>
      <c r="P21" s="251"/>
      <c r="Q21" s="251"/>
      <c r="R21" s="251"/>
      <c r="S21" s="245">
        <v>2.36</v>
      </c>
      <c r="T21" s="245">
        <v>1.18</v>
      </c>
      <c r="U21" s="245">
        <v>2.36</v>
      </c>
      <c r="V21" s="245">
        <v>1.18</v>
      </c>
      <c r="W21" s="245">
        <v>2.36</v>
      </c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  <c r="AH21" s="245">
        <v>2.36</v>
      </c>
      <c r="AI21" s="245"/>
      <c r="AJ21" s="245"/>
      <c r="AK21" s="245"/>
      <c r="AL21" s="245"/>
      <c r="AM21" s="245"/>
      <c r="AN21" s="245">
        <v>1.18</v>
      </c>
      <c r="AO21" s="245">
        <v>1.18</v>
      </c>
      <c r="AP21" s="245">
        <v>1.18</v>
      </c>
      <c r="AQ21" s="245">
        <v>1.18</v>
      </c>
      <c r="AR21" s="245"/>
      <c r="AS21" s="245"/>
      <c r="AT21" s="245"/>
      <c r="AU21" s="273"/>
      <c r="AV21" s="245"/>
      <c r="AW21" s="281">
        <v>1.18</v>
      </c>
      <c r="AX21" s="245"/>
      <c r="AY21" s="245">
        <v>1.18</v>
      </c>
      <c r="AZ21" s="245"/>
      <c r="BA21" s="245">
        <v>1.18</v>
      </c>
      <c r="BB21" s="245">
        <v>1.18</v>
      </c>
      <c r="BC21" s="245"/>
      <c r="BD21" s="245"/>
      <c r="BE21" s="245"/>
      <c r="BF21" s="245"/>
      <c r="BG21" s="245"/>
      <c r="BH21" s="245"/>
      <c r="BI21" s="245">
        <v>1.18</v>
      </c>
      <c r="BJ21" s="245"/>
      <c r="BK21" s="245"/>
      <c r="BL21" s="245"/>
      <c r="BM21" s="245"/>
      <c r="BN21" s="245"/>
      <c r="BO21" s="245"/>
      <c r="BP21" s="245"/>
      <c r="BQ21" s="245"/>
      <c r="BR21" s="245"/>
      <c r="BS21" s="245"/>
      <c r="BT21" s="245"/>
      <c r="BU21" s="245"/>
      <c r="BV21" s="245"/>
      <c r="BW21" s="245"/>
      <c r="BX21" s="245"/>
      <c r="BY21" s="245"/>
      <c r="BZ21" s="245"/>
      <c r="CA21" s="245"/>
      <c r="CB21" s="245"/>
      <c r="CC21" s="245"/>
      <c r="CD21" s="245"/>
      <c r="CE21" s="245"/>
      <c r="CF21" s="245"/>
      <c r="CG21" s="245"/>
      <c r="CH21" s="245"/>
      <c r="CI21" s="245"/>
      <c r="CJ21" s="245"/>
      <c r="CK21" s="245"/>
      <c r="CL21" s="245"/>
      <c r="CM21" s="245"/>
      <c r="CN21" s="245"/>
      <c r="CO21" s="245"/>
      <c r="CP21" s="245"/>
      <c r="CQ21" s="245"/>
      <c r="CR21" s="245"/>
      <c r="CS21" s="245"/>
      <c r="CT21" s="245"/>
      <c r="CU21" s="245"/>
      <c r="CV21" s="245"/>
      <c r="CW21" s="245"/>
      <c r="CX21" s="245"/>
      <c r="CY21" s="245"/>
      <c r="CZ21" s="245"/>
      <c r="DA21" s="245"/>
      <c r="DB21" s="245"/>
      <c r="DC21" s="245"/>
      <c r="DD21" s="245"/>
      <c r="DE21" s="245"/>
      <c r="DF21" s="245"/>
      <c r="DG21" s="245"/>
      <c r="DH21" s="245"/>
      <c r="DI21" s="245"/>
      <c r="DJ21" s="245"/>
      <c r="DK21" s="245"/>
      <c r="DL21" s="245"/>
      <c r="DM21" s="245"/>
      <c r="DN21" s="245"/>
      <c r="DO21" s="245"/>
      <c r="DP21" s="245"/>
      <c r="DQ21" s="245"/>
      <c r="DR21" s="245"/>
      <c r="DS21" s="245"/>
      <c r="DT21" s="245"/>
      <c r="DU21" s="245"/>
      <c r="DV21" s="245"/>
      <c r="DW21" s="245"/>
      <c r="DX21" s="245"/>
      <c r="DY21" s="245"/>
      <c r="DZ21" s="245"/>
      <c r="EA21" s="245"/>
      <c r="EB21" s="245"/>
      <c r="EC21" s="245"/>
      <c r="ED21" s="245"/>
      <c r="EE21" s="245"/>
      <c r="EF21" s="245"/>
      <c r="EG21" s="245"/>
      <c r="EH21" s="245"/>
      <c r="EI21" s="245"/>
      <c r="EJ21" s="245"/>
      <c r="EK21" s="278"/>
      <c r="EL21" s="278"/>
      <c r="EM21" s="278"/>
      <c r="EN21" s="278"/>
      <c r="EO21" s="278"/>
      <c r="EP21" s="250"/>
    </row>
    <row r="22" spans="1:146" ht="15.6">
      <c r="A22" s="215">
        <v>3362</v>
      </c>
      <c r="B22" s="233">
        <v>200</v>
      </c>
      <c r="C22" s="245">
        <v>0.83</v>
      </c>
      <c r="D22" s="245"/>
      <c r="E22" s="245">
        <v>0.83</v>
      </c>
      <c r="F22" s="245">
        <v>0.83</v>
      </c>
      <c r="G22" s="245"/>
      <c r="H22" s="245"/>
      <c r="I22" s="245"/>
      <c r="J22" s="245"/>
      <c r="K22" s="245"/>
      <c r="L22" s="251"/>
      <c r="M22" s="251"/>
      <c r="N22" s="251"/>
      <c r="O22" s="251"/>
      <c r="P22" s="251"/>
      <c r="Q22" s="251"/>
      <c r="R22" s="251"/>
      <c r="S22" s="245">
        <v>2.14</v>
      </c>
      <c r="T22" s="245"/>
      <c r="U22" s="245">
        <v>2.14</v>
      </c>
      <c r="V22" s="245"/>
      <c r="W22" s="245"/>
      <c r="X22" s="245">
        <v>2.14</v>
      </c>
      <c r="Y22" s="245">
        <v>2.14</v>
      </c>
      <c r="Z22" s="245"/>
      <c r="AA22" s="245">
        <v>1.07</v>
      </c>
      <c r="AB22" s="245">
        <v>1.07</v>
      </c>
      <c r="AC22" s="245"/>
      <c r="AD22" s="245"/>
      <c r="AE22" s="245"/>
      <c r="AF22" s="245"/>
      <c r="AG22" s="245"/>
      <c r="AH22" s="245">
        <v>2.14</v>
      </c>
      <c r="AI22" s="266"/>
      <c r="AJ22" s="1"/>
      <c r="AK22" s="245"/>
      <c r="AL22" s="245"/>
      <c r="AM22" s="245"/>
      <c r="AN22" s="245">
        <v>1.07</v>
      </c>
      <c r="AO22" s="245">
        <v>1.07</v>
      </c>
      <c r="AP22" s="245">
        <v>1.07</v>
      </c>
      <c r="AQ22" s="245">
        <v>1.07</v>
      </c>
      <c r="AR22" s="245"/>
      <c r="AS22" s="245"/>
      <c r="AT22" s="245"/>
      <c r="AU22" s="273"/>
      <c r="AV22" s="245">
        <v>1.07</v>
      </c>
      <c r="AW22" s="281">
        <v>1.07</v>
      </c>
      <c r="AX22" s="245"/>
      <c r="AY22" s="245"/>
      <c r="AZ22" s="245">
        <v>1.07</v>
      </c>
      <c r="BA22" s="245"/>
      <c r="BB22" s="245">
        <v>1.07</v>
      </c>
      <c r="BC22" s="245"/>
      <c r="BD22" s="245"/>
      <c r="BE22" s="245"/>
      <c r="BF22" s="245"/>
      <c r="BG22" s="245"/>
      <c r="BH22" s="245"/>
      <c r="BI22" s="245">
        <v>1.07</v>
      </c>
      <c r="BJ22" s="245"/>
      <c r="BK22" s="245"/>
      <c r="BL22" s="245"/>
      <c r="BM22" s="245"/>
      <c r="BN22" s="245"/>
      <c r="BO22" s="245"/>
      <c r="BP22" s="245"/>
      <c r="BQ22" s="245"/>
      <c r="BR22" s="245"/>
      <c r="BS22" s="245"/>
      <c r="BT22" s="245"/>
      <c r="BU22" s="245"/>
      <c r="BV22" s="245"/>
      <c r="BW22" s="245"/>
      <c r="BX22" s="245"/>
      <c r="BY22" s="245"/>
      <c r="BZ22" s="245"/>
      <c r="CA22" s="245"/>
      <c r="CB22" s="245"/>
      <c r="CC22" s="245"/>
      <c r="CD22" s="245"/>
      <c r="CE22" s="245"/>
      <c r="CF22" s="245"/>
      <c r="CG22" s="245"/>
      <c r="CH22" s="245"/>
      <c r="CI22" s="245"/>
      <c r="CJ22" s="245"/>
      <c r="CK22" s="245"/>
      <c r="CL22" s="245"/>
      <c r="CM22" s="245"/>
      <c r="CN22" s="245"/>
      <c r="CO22" s="245"/>
      <c r="CP22" s="245"/>
      <c r="CQ22" s="245"/>
      <c r="CR22" s="245"/>
      <c r="CS22" s="245"/>
      <c r="CT22" s="245"/>
      <c r="CU22" s="245"/>
      <c r="CV22" s="245"/>
      <c r="CW22" s="245"/>
      <c r="CX22" s="245"/>
      <c r="CY22" s="245"/>
      <c r="CZ22" s="245"/>
      <c r="DA22" s="245"/>
      <c r="DB22" s="245"/>
      <c r="DC22" s="245"/>
      <c r="DD22" s="245"/>
      <c r="DE22" s="245"/>
      <c r="DF22" s="245"/>
      <c r="DG22" s="245"/>
      <c r="DH22" s="245"/>
      <c r="DI22" s="245"/>
      <c r="DJ22" s="245"/>
      <c r="DK22" s="245"/>
      <c r="DL22" s="245"/>
      <c r="DM22" s="245"/>
      <c r="DN22" s="245"/>
      <c r="DO22" s="245"/>
      <c r="DP22" s="245"/>
      <c r="DQ22" s="245"/>
      <c r="DR22" s="245"/>
      <c r="DS22" s="245"/>
      <c r="DT22" s="245"/>
      <c r="DU22" s="245"/>
      <c r="DV22" s="245"/>
      <c r="DW22" s="245"/>
      <c r="DX22" s="245"/>
      <c r="DY22" s="245"/>
      <c r="DZ22" s="245"/>
      <c r="EA22" s="245"/>
      <c r="EB22" s="245"/>
      <c r="EC22" s="245"/>
      <c r="ED22" s="245"/>
      <c r="EE22" s="245"/>
      <c r="EF22" s="245"/>
      <c r="EG22" s="245"/>
      <c r="EH22" s="245"/>
      <c r="EI22" s="245"/>
      <c r="EJ22" s="245"/>
      <c r="EK22" s="278"/>
      <c r="EL22" s="278"/>
      <c r="EM22" s="278"/>
      <c r="EN22" s="278"/>
      <c r="EO22" s="278"/>
      <c r="EP22" s="250"/>
    </row>
    <row r="23" spans="1:146" ht="15.6">
      <c r="A23" s="215">
        <v>3357</v>
      </c>
      <c r="B23" s="233">
        <v>200</v>
      </c>
      <c r="C23" s="245">
        <v>0.83</v>
      </c>
      <c r="D23" s="245"/>
      <c r="E23" s="245">
        <v>0.83</v>
      </c>
      <c r="F23" s="245">
        <v>0.83</v>
      </c>
      <c r="G23" s="245"/>
      <c r="H23" s="245"/>
      <c r="I23" s="245"/>
      <c r="J23" s="245"/>
      <c r="K23" s="245"/>
      <c r="L23" s="251"/>
      <c r="M23" s="251"/>
      <c r="N23" s="251"/>
      <c r="O23" s="251"/>
      <c r="P23" s="251"/>
      <c r="Q23" s="251"/>
      <c r="R23" s="251"/>
      <c r="S23" s="245">
        <v>2.25</v>
      </c>
      <c r="T23" s="245">
        <v>1.1200000000000001</v>
      </c>
      <c r="U23" s="245"/>
      <c r="V23" s="245"/>
      <c r="W23" s="245">
        <v>2.25</v>
      </c>
      <c r="X23" s="245">
        <v>2.25</v>
      </c>
      <c r="Y23" s="245"/>
      <c r="Z23" s="245"/>
      <c r="AA23" s="245"/>
      <c r="AB23" s="245"/>
      <c r="AC23" s="245"/>
      <c r="AD23" s="245"/>
      <c r="AE23" s="245">
        <v>2.25</v>
      </c>
      <c r="AF23" s="245">
        <v>1.1200000000000001</v>
      </c>
      <c r="AG23" s="245"/>
      <c r="AH23" s="245"/>
      <c r="AI23" s="245"/>
      <c r="AJ23" s="245"/>
      <c r="AK23" s="245"/>
      <c r="AL23" s="245"/>
      <c r="AM23" s="245"/>
      <c r="AN23" s="245">
        <v>1.1200000000000001</v>
      </c>
      <c r="AO23" s="245">
        <v>1.1200000000000001</v>
      </c>
      <c r="AP23" s="245">
        <v>1.1200000000000001</v>
      </c>
      <c r="AQ23" s="245">
        <v>1.1200000000000001</v>
      </c>
      <c r="AR23" s="245"/>
      <c r="AS23" s="245"/>
      <c r="AT23" s="245"/>
      <c r="AU23" s="273"/>
      <c r="AV23" s="245">
        <v>1.1200000000000001</v>
      </c>
      <c r="AW23" s="281">
        <v>1.1200000000000001</v>
      </c>
      <c r="AX23" s="245"/>
      <c r="AY23" s="245">
        <v>1.1200000000000001</v>
      </c>
      <c r="AZ23" s="245">
        <v>1.1200000000000001</v>
      </c>
      <c r="BA23" s="245"/>
      <c r="BB23" s="245">
        <v>1.1200000000000001</v>
      </c>
      <c r="BC23" s="245"/>
      <c r="BD23" s="245"/>
      <c r="BE23" s="245"/>
      <c r="BF23" s="245"/>
      <c r="BG23" s="245"/>
      <c r="BH23" s="245"/>
      <c r="BI23" s="245">
        <v>1.1200000000000001</v>
      </c>
      <c r="BJ23" s="245"/>
      <c r="BK23" s="245"/>
      <c r="BL23" s="245"/>
      <c r="BM23" s="245"/>
      <c r="BN23" s="245"/>
      <c r="BO23" s="245"/>
      <c r="BP23" s="245"/>
      <c r="BQ23" s="245"/>
      <c r="BR23" s="245"/>
      <c r="BS23" s="245"/>
      <c r="BT23" s="245"/>
      <c r="BU23" s="245"/>
      <c r="BV23" s="245"/>
      <c r="BW23" s="245"/>
      <c r="BX23" s="245"/>
      <c r="BY23" s="245"/>
      <c r="BZ23" s="245"/>
      <c r="CA23" s="245"/>
      <c r="CB23" s="245"/>
      <c r="CC23" s="245"/>
      <c r="CD23" s="245"/>
      <c r="CE23" s="245"/>
      <c r="CF23" s="245"/>
      <c r="CG23" s="245"/>
      <c r="CH23" s="245"/>
      <c r="CI23" s="245"/>
      <c r="CJ23" s="245"/>
      <c r="CK23" s="245"/>
      <c r="CL23" s="245"/>
      <c r="CM23" s="245"/>
      <c r="CN23" s="245"/>
      <c r="CO23" s="245"/>
      <c r="CP23" s="245"/>
      <c r="CQ23" s="245"/>
      <c r="CR23" s="245"/>
      <c r="CS23" s="245"/>
      <c r="CT23" s="245"/>
      <c r="CU23" s="245"/>
      <c r="CV23" s="245"/>
      <c r="CW23" s="245"/>
      <c r="CX23" s="245"/>
      <c r="CY23" s="245"/>
      <c r="CZ23" s="245"/>
      <c r="DA23" s="245"/>
      <c r="DB23" s="245"/>
      <c r="DC23" s="245"/>
      <c r="DD23" s="245"/>
      <c r="DE23" s="245"/>
      <c r="DF23" s="245"/>
      <c r="DG23" s="245"/>
      <c r="DH23" s="245"/>
      <c r="DI23" s="245"/>
      <c r="DJ23" s="245"/>
      <c r="DK23" s="245"/>
      <c r="DL23" s="245"/>
      <c r="DM23" s="245"/>
      <c r="DN23" s="245"/>
      <c r="DO23" s="245"/>
      <c r="DP23" s="245"/>
      <c r="DQ23" s="245"/>
      <c r="DR23" s="245"/>
      <c r="DS23" s="245"/>
      <c r="DT23" s="245"/>
      <c r="DU23" s="245"/>
      <c r="DV23" s="245"/>
      <c r="DW23" s="245"/>
      <c r="DX23" s="245"/>
      <c r="DY23" s="245"/>
      <c r="DZ23" s="245"/>
      <c r="EA23" s="245"/>
      <c r="EB23" s="245"/>
      <c r="EC23" s="245"/>
      <c r="ED23" s="245"/>
      <c r="EE23" s="245"/>
      <c r="EF23" s="245"/>
      <c r="EG23" s="245"/>
      <c r="EH23" s="245"/>
      <c r="EI23" s="245"/>
      <c r="EJ23" s="245"/>
      <c r="EK23" s="278"/>
      <c r="EL23" s="278"/>
      <c r="EM23" s="278"/>
      <c r="EN23" s="278"/>
      <c r="EO23" s="278"/>
      <c r="EP23" s="250"/>
    </row>
    <row r="24" spans="1:146" ht="15.6">
      <c r="A24" s="215">
        <v>3370</v>
      </c>
      <c r="B24" s="233">
        <v>200</v>
      </c>
      <c r="C24" s="245">
        <v>0.83</v>
      </c>
      <c r="D24" s="245"/>
      <c r="E24" s="245">
        <v>0.83</v>
      </c>
      <c r="F24" s="245">
        <v>0.83</v>
      </c>
      <c r="G24" s="245"/>
      <c r="H24" s="245"/>
      <c r="I24" s="245"/>
      <c r="J24" s="245"/>
      <c r="K24" s="245"/>
      <c r="L24" s="251"/>
      <c r="M24" s="251"/>
      <c r="N24" s="251"/>
      <c r="O24" s="251"/>
      <c r="P24" s="251"/>
      <c r="Q24" s="251"/>
      <c r="R24" s="251"/>
      <c r="S24" s="245">
        <v>2.36</v>
      </c>
      <c r="T24" s="245"/>
      <c r="U24" s="245">
        <v>2.36</v>
      </c>
      <c r="V24" s="245"/>
      <c r="W24" s="245">
        <v>2.36</v>
      </c>
      <c r="X24" s="245">
        <v>2.36</v>
      </c>
      <c r="Y24" s="245"/>
      <c r="Z24" s="245"/>
      <c r="AA24" s="245">
        <v>1.18</v>
      </c>
      <c r="AB24" s="245">
        <v>1.18</v>
      </c>
      <c r="AC24" s="245"/>
      <c r="AD24" s="245"/>
      <c r="AE24" s="245"/>
      <c r="AF24" s="245"/>
      <c r="AG24" s="245"/>
      <c r="AH24" s="245"/>
      <c r="AI24" s="245"/>
      <c r="AJ24" s="245"/>
      <c r="AK24" s="245"/>
      <c r="AL24" s="245"/>
      <c r="AM24" s="245"/>
      <c r="AN24" s="245">
        <v>1.18</v>
      </c>
      <c r="AO24" s="245">
        <v>1.18</v>
      </c>
      <c r="AP24" s="245">
        <v>1.18</v>
      </c>
      <c r="AQ24" s="245">
        <v>1.18</v>
      </c>
      <c r="AR24" s="245"/>
      <c r="AS24" s="245"/>
      <c r="AT24" s="245"/>
      <c r="AU24" s="273"/>
      <c r="AV24" s="245">
        <v>1.18</v>
      </c>
      <c r="AW24" s="281">
        <v>1.18</v>
      </c>
      <c r="AX24" s="245"/>
      <c r="AY24" s="245"/>
      <c r="AZ24" s="245">
        <v>1.18</v>
      </c>
      <c r="BA24" s="245"/>
      <c r="BB24" s="245">
        <v>1.18</v>
      </c>
      <c r="BC24" s="245"/>
      <c r="BD24" s="245"/>
      <c r="BE24" s="245"/>
      <c r="BF24" s="245"/>
      <c r="BG24" s="245"/>
      <c r="BH24" s="245"/>
      <c r="BI24" s="245">
        <v>1.18</v>
      </c>
      <c r="BJ24" s="245"/>
      <c r="BK24" s="245"/>
      <c r="BL24" s="245"/>
      <c r="BM24" s="245"/>
      <c r="BN24" s="245"/>
      <c r="BO24" s="245"/>
      <c r="BP24" s="245"/>
      <c r="BQ24" s="245"/>
      <c r="BR24" s="245"/>
      <c r="BS24" s="245"/>
      <c r="BT24" s="245"/>
      <c r="BU24" s="245"/>
      <c r="BV24" s="245"/>
      <c r="BW24" s="245"/>
      <c r="BX24" s="245"/>
      <c r="BY24" s="245"/>
      <c r="BZ24" s="245"/>
      <c r="CA24" s="245"/>
      <c r="CB24" s="245"/>
      <c r="CC24" s="245"/>
      <c r="CD24" s="245"/>
      <c r="CE24" s="245"/>
      <c r="CF24" s="245"/>
      <c r="CG24" s="245"/>
      <c r="CH24" s="245"/>
      <c r="CI24" s="245"/>
      <c r="CJ24" s="245"/>
      <c r="CK24" s="245"/>
      <c r="CL24" s="245"/>
      <c r="CM24" s="245"/>
      <c r="CN24" s="245"/>
      <c r="CO24" s="245"/>
      <c r="CP24" s="245"/>
      <c r="CQ24" s="245"/>
      <c r="CR24" s="245"/>
      <c r="CS24" s="245"/>
      <c r="CT24" s="245"/>
      <c r="CU24" s="245"/>
      <c r="CV24" s="245"/>
      <c r="CW24" s="245"/>
      <c r="CX24" s="245"/>
      <c r="CY24" s="245"/>
      <c r="CZ24" s="245"/>
      <c r="DA24" s="245"/>
      <c r="DB24" s="245"/>
      <c r="DC24" s="245"/>
      <c r="DD24" s="245"/>
      <c r="DE24" s="245"/>
      <c r="DF24" s="245"/>
      <c r="DG24" s="245"/>
      <c r="DH24" s="245"/>
      <c r="DI24" s="245"/>
      <c r="DJ24" s="245"/>
      <c r="DK24" s="245"/>
      <c r="DL24" s="245"/>
      <c r="DM24" s="245"/>
      <c r="DN24" s="245"/>
      <c r="DO24" s="245"/>
      <c r="DP24" s="245"/>
      <c r="DQ24" s="245"/>
      <c r="DR24" s="245"/>
      <c r="DS24" s="245"/>
      <c r="DT24" s="245"/>
      <c r="DU24" s="245"/>
      <c r="DV24" s="245"/>
      <c r="DW24" s="245"/>
      <c r="DX24" s="245"/>
      <c r="DY24" s="245"/>
      <c r="DZ24" s="245"/>
      <c r="EA24" s="245"/>
      <c r="EB24" s="245"/>
      <c r="EC24" s="245"/>
      <c r="ED24" s="245"/>
      <c r="EE24" s="245"/>
      <c r="EF24" s="245"/>
      <c r="EG24" s="245"/>
      <c r="EH24" s="245"/>
      <c r="EI24" s="245"/>
      <c r="EJ24" s="245"/>
      <c r="EK24" s="278"/>
      <c r="EL24" s="278"/>
      <c r="EM24" s="278"/>
      <c r="EN24" s="278"/>
      <c r="EO24" s="278"/>
      <c r="EP24" s="250"/>
    </row>
    <row r="25" spans="1:146" ht="15.6">
      <c r="A25" s="215">
        <v>3326</v>
      </c>
      <c r="B25" s="233">
        <v>800</v>
      </c>
      <c r="C25" s="245">
        <v>3.33</v>
      </c>
      <c r="D25" s="245"/>
      <c r="E25" s="245">
        <v>3.33</v>
      </c>
      <c r="F25" s="245">
        <v>3.33</v>
      </c>
      <c r="G25" s="245"/>
      <c r="H25" s="245"/>
      <c r="I25" s="245"/>
      <c r="J25" s="245"/>
      <c r="K25" s="245"/>
      <c r="L25" s="251"/>
      <c r="M25" s="251"/>
      <c r="N25" s="251"/>
      <c r="O25" s="251"/>
      <c r="P25" s="251"/>
      <c r="Q25" s="251"/>
      <c r="R25" s="251"/>
      <c r="S25" s="245">
        <v>9</v>
      </c>
      <c r="T25" s="245">
        <v>4.5</v>
      </c>
      <c r="U25" s="245">
        <v>9</v>
      </c>
      <c r="V25" s="245">
        <v>9</v>
      </c>
      <c r="W25" s="245"/>
      <c r="X25" s="245"/>
      <c r="Y25" s="245"/>
      <c r="Z25" s="245">
        <v>4.5</v>
      </c>
      <c r="AA25" s="245"/>
      <c r="AB25" s="245"/>
      <c r="AC25" s="245"/>
      <c r="AD25" s="245"/>
      <c r="AE25" s="245"/>
      <c r="AF25" s="245"/>
      <c r="AG25" s="245">
        <v>9</v>
      </c>
      <c r="AH25" s="245"/>
      <c r="AI25" s="245"/>
      <c r="AJ25" s="245"/>
      <c r="AK25" s="245"/>
      <c r="AL25" s="245"/>
      <c r="AM25" s="245"/>
      <c r="AN25" s="245">
        <v>4.5</v>
      </c>
      <c r="AO25" s="245">
        <v>4.5</v>
      </c>
      <c r="AP25" s="245">
        <v>4.5</v>
      </c>
      <c r="AQ25" s="245">
        <v>4.5</v>
      </c>
      <c r="AR25" s="245"/>
      <c r="AS25" s="245"/>
      <c r="AT25" s="245"/>
      <c r="AU25" s="273"/>
      <c r="AV25" s="245">
        <v>4.5</v>
      </c>
      <c r="AW25" s="281">
        <v>4.5</v>
      </c>
      <c r="AX25" s="245"/>
      <c r="AY25" s="245"/>
      <c r="AZ25" s="245">
        <v>4.5</v>
      </c>
      <c r="BA25" s="245"/>
      <c r="BB25" s="245">
        <v>4.5</v>
      </c>
      <c r="BC25" s="245"/>
      <c r="BD25" s="245"/>
      <c r="BE25" s="245"/>
      <c r="BF25" s="245"/>
      <c r="BG25" s="245">
        <v>4.5</v>
      </c>
      <c r="BH25" s="245"/>
      <c r="BI25" s="245">
        <v>4.5</v>
      </c>
      <c r="BJ25" s="245"/>
      <c r="BK25" s="245"/>
      <c r="BL25" s="245"/>
      <c r="BM25" s="245"/>
      <c r="BN25" s="245"/>
      <c r="BO25" s="245"/>
      <c r="BP25" s="245"/>
      <c r="BQ25" s="245"/>
      <c r="BR25" s="245"/>
      <c r="BS25" s="245"/>
      <c r="BT25" s="245"/>
      <c r="BU25" s="245"/>
      <c r="BV25" s="245"/>
      <c r="BW25" s="245"/>
      <c r="BX25" s="245"/>
      <c r="BY25" s="245"/>
      <c r="BZ25" s="245"/>
      <c r="CA25" s="245"/>
      <c r="CB25" s="245"/>
      <c r="CC25" s="245"/>
      <c r="CD25" s="245"/>
      <c r="CE25" s="245"/>
      <c r="CF25" s="245"/>
      <c r="CG25" s="245"/>
      <c r="CH25" s="245"/>
      <c r="CI25" s="245"/>
      <c r="CJ25" s="245"/>
      <c r="CK25" s="245"/>
      <c r="CL25" s="245"/>
      <c r="CM25" s="245"/>
      <c r="CN25" s="245"/>
      <c r="CO25" s="245"/>
      <c r="CP25" s="245"/>
      <c r="CQ25" s="245"/>
      <c r="CR25" s="245"/>
      <c r="CS25" s="245"/>
      <c r="CT25" s="245"/>
      <c r="CU25" s="245"/>
      <c r="CV25" s="245"/>
      <c r="CW25" s="245"/>
      <c r="CX25" s="245"/>
      <c r="CY25" s="245"/>
      <c r="CZ25" s="245"/>
      <c r="DA25" s="245"/>
      <c r="DB25" s="245"/>
      <c r="DC25" s="245"/>
      <c r="DD25" s="245"/>
      <c r="DE25" s="245"/>
      <c r="DF25" s="245"/>
      <c r="DG25" s="245"/>
      <c r="DH25" s="245"/>
      <c r="DI25" s="245"/>
      <c r="DJ25" s="245"/>
      <c r="DK25" s="245"/>
      <c r="DL25" s="245"/>
      <c r="DM25" s="245"/>
      <c r="DN25" s="245"/>
      <c r="DO25" s="245"/>
      <c r="DP25" s="245"/>
      <c r="DQ25" s="245"/>
      <c r="DR25" s="245"/>
      <c r="DS25" s="245"/>
      <c r="DT25" s="245"/>
      <c r="DU25" s="245"/>
      <c r="DV25" s="245"/>
      <c r="DW25" s="245"/>
      <c r="DX25" s="245"/>
      <c r="DY25" s="245"/>
      <c r="DZ25" s="245"/>
      <c r="EA25" s="245"/>
      <c r="EB25" s="245"/>
      <c r="EC25" s="245"/>
      <c r="ED25" s="245"/>
      <c r="EE25" s="245"/>
      <c r="EF25" s="245"/>
      <c r="EG25" s="245"/>
      <c r="EH25" s="245"/>
      <c r="EI25" s="245"/>
      <c r="EJ25" s="245"/>
      <c r="EK25" s="278"/>
      <c r="EL25" s="278"/>
      <c r="EM25" s="278"/>
      <c r="EN25" s="278"/>
      <c r="EO25" s="278"/>
      <c r="EP25" s="250"/>
    </row>
    <row r="26" spans="1:146" ht="15.6">
      <c r="A26" s="215">
        <v>3325</v>
      </c>
      <c r="B26" s="233">
        <v>300</v>
      </c>
      <c r="C26" s="245">
        <v>1.25</v>
      </c>
      <c r="D26" s="245"/>
      <c r="E26" s="245">
        <v>1.25</v>
      </c>
      <c r="F26" s="245">
        <v>1.25</v>
      </c>
      <c r="G26" s="245"/>
      <c r="H26" s="245"/>
      <c r="I26" s="245"/>
      <c r="J26" s="245"/>
      <c r="K26" s="245"/>
      <c r="L26" s="251"/>
      <c r="M26" s="251"/>
      <c r="N26" s="251"/>
      <c r="O26" s="251"/>
      <c r="P26" s="251"/>
      <c r="Q26" s="251"/>
      <c r="R26" s="251"/>
      <c r="S26" s="245">
        <v>3.06</v>
      </c>
      <c r="T26" s="245"/>
      <c r="U26" s="245">
        <v>3.06</v>
      </c>
      <c r="V26" s="245">
        <v>3.06</v>
      </c>
      <c r="W26" s="245"/>
      <c r="X26" s="245">
        <v>3.06</v>
      </c>
      <c r="Y26" s="245"/>
      <c r="Z26" s="245"/>
      <c r="AA26" s="245">
        <v>1.53</v>
      </c>
      <c r="AB26" s="245"/>
      <c r="AC26" s="245"/>
      <c r="AD26" s="245"/>
      <c r="AE26" s="245"/>
      <c r="AF26" s="245">
        <v>1.53</v>
      </c>
      <c r="AG26" s="245">
        <v>3.06</v>
      </c>
      <c r="AH26" s="245"/>
      <c r="AI26" s="266"/>
      <c r="AJ26" s="1"/>
      <c r="AK26" s="245"/>
      <c r="AL26" s="245"/>
      <c r="AM26" s="245"/>
      <c r="AN26" s="245">
        <v>1.53</v>
      </c>
      <c r="AO26" s="245">
        <v>1.53</v>
      </c>
      <c r="AP26" s="245">
        <v>1.53</v>
      </c>
      <c r="AQ26" s="245">
        <v>1.53</v>
      </c>
      <c r="AR26" s="245"/>
      <c r="AS26" s="245"/>
      <c r="AT26" s="245"/>
      <c r="AU26" s="273"/>
      <c r="AV26" s="245">
        <v>1.53</v>
      </c>
      <c r="AW26" s="281">
        <v>1.53</v>
      </c>
      <c r="AX26" s="245"/>
      <c r="AY26" s="245"/>
      <c r="AZ26" s="245">
        <v>1.53</v>
      </c>
      <c r="BA26" s="245"/>
      <c r="BB26" s="245">
        <v>1.53</v>
      </c>
      <c r="BC26" s="245"/>
      <c r="BD26" s="245"/>
      <c r="BE26" s="245"/>
      <c r="BF26" s="245"/>
      <c r="BG26" s="245">
        <v>1.53</v>
      </c>
      <c r="BH26" s="245"/>
      <c r="BI26" s="245">
        <v>1.53</v>
      </c>
      <c r="BJ26" s="245"/>
      <c r="BK26" s="245"/>
      <c r="BL26" s="245"/>
      <c r="BM26" s="245"/>
      <c r="BN26" s="245"/>
      <c r="BO26" s="245"/>
      <c r="BP26" s="245"/>
      <c r="BQ26" s="245"/>
      <c r="BR26" s="245"/>
      <c r="BS26" s="245"/>
      <c r="BT26" s="245"/>
      <c r="BU26" s="245"/>
      <c r="BV26" s="245"/>
      <c r="BW26" s="245"/>
      <c r="BX26" s="245"/>
      <c r="BY26" s="245"/>
      <c r="BZ26" s="245"/>
      <c r="CA26" s="245"/>
      <c r="CB26" s="245"/>
      <c r="CC26" s="245"/>
      <c r="CD26" s="245"/>
      <c r="CE26" s="245"/>
      <c r="CF26" s="245"/>
      <c r="CG26" s="245"/>
      <c r="CH26" s="245"/>
      <c r="CI26" s="245"/>
      <c r="CJ26" s="245"/>
      <c r="CK26" s="245"/>
      <c r="CL26" s="245"/>
      <c r="CM26" s="245"/>
      <c r="CN26" s="245"/>
      <c r="CO26" s="245"/>
      <c r="CP26" s="245"/>
      <c r="CQ26" s="245"/>
      <c r="CR26" s="245"/>
      <c r="CS26" s="245"/>
      <c r="CT26" s="245"/>
      <c r="CU26" s="245"/>
      <c r="CV26" s="245"/>
      <c r="CW26" s="245"/>
      <c r="CX26" s="245"/>
      <c r="CY26" s="245"/>
      <c r="CZ26" s="245"/>
      <c r="DA26" s="245"/>
      <c r="DB26" s="245"/>
      <c r="DC26" s="245"/>
      <c r="DD26" s="245"/>
      <c r="DE26" s="245"/>
      <c r="DF26" s="245"/>
      <c r="DG26" s="245"/>
      <c r="DH26" s="245"/>
      <c r="DI26" s="245"/>
      <c r="DJ26" s="245"/>
      <c r="DK26" s="245"/>
      <c r="DL26" s="245"/>
      <c r="DM26" s="245"/>
      <c r="DN26" s="245"/>
      <c r="DO26" s="245"/>
      <c r="DP26" s="245"/>
      <c r="DQ26" s="245"/>
      <c r="DR26" s="245"/>
      <c r="DS26" s="245"/>
      <c r="DT26" s="245"/>
      <c r="DU26" s="245"/>
      <c r="DV26" s="245"/>
      <c r="DW26" s="245"/>
      <c r="DX26" s="245"/>
      <c r="DY26" s="245"/>
      <c r="DZ26" s="245"/>
      <c r="EA26" s="245"/>
      <c r="EB26" s="245"/>
      <c r="EC26" s="245"/>
      <c r="ED26" s="245"/>
      <c r="EE26" s="245"/>
      <c r="EF26" s="245"/>
      <c r="EG26" s="245"/>
      <c r="EH26" s="245"/>
      <c r="EI26" s="245"/>
      <c r="EJ26" s="245"/>
      <c r="EK26" s="278"/>
      <c r="EL26" s="278"/>
      <c r="EM26" s="278"/>
      <c r="EN26" s="278"/>
      <c r="EO26" s="278"/>
      <c r="EP26" s="250"/>
    </row>
    <row r="27" spans="1:146" ht="15.6">
      <c r="A27" s="215">
        <v>3307</v>
      </c>
      <c r="B27" s="233">
        <v>778</v>
      </c>
      <c r="C27" s="246">
        <v>3.24</v>
      </c>
      <c r="D27" s="246"/>
      <c r="E27" s="246">
        <v>3.24</v>
      </c>
      <c r="F27" s="246">
        <v>3.24</v>
      </c>
      <c r="G27" s="246"/>
      <c r="H27" s="246"/>
      <c r="I27" s="246"/>
      <c r="J27" s="246"/>
      <c r="K27" s="246"/>
      <c r="L27" s="251"/>
      <c r="M27" s="251"/>
      <c r="N27" s="251"/>
      <c r="O27" s="251"/>
      <c r="P27" s="251"/>
      <c r="Q27" s="251"/>
      <c r="R27" s="251"/>
      <c r="S27" s="246">
        <v>7</v>
      </c>
      <c r="T27" s="246">
        <v>7</v>
      </c>
      <c r="U27" s="246">
        <v>7</v>
      </c>
      <c r="V27" s="246"/>
      <c r="W27" s="246">
        <v>7</v>
      </c>
      <c r="X27" s="246"/>
      <c r="Y27" s="246">
        <v>7</v>
      </c>
      <c r="Z27" s="265"/>
      <c r="AA27" s="265"/>
      <c r="AB27" s="265"/>
      <c r="AC27" s="265"/>
      <c r="AD27" s="246">
        <v>3.5</v>
      </c>
      <c r="AE27" s="246">
        <v>7</v>
      </c>
      <c r="AF27" s="265"/>
      <c r="AG27" s="265"/>
      <c r="AH27" s="265"/>
      <c r="AI27" s="265"/>
      <c r="AJ27" s="265"/>
      <c r="AK27" s="265"/>
      <c r="AL27" s="265"/>
      <c r="AM27" s="246"/>
      <c r="AN27" s="246">
        <v>3.5</v>
      </c>
      <c r="AO27" s="246">
        <v>3.5</v>
      </c>
      <c r="AP27" s="246">
        <v>3.5</v>
      </c>
      <c r="AQ27" s="246">
        <v>3.5</v>
      </c>
      <c r="AR27" s="246"/>
      <c r="AS27" s="246"/>
      <c r="AT27" s="246"/>
      <c r="AU27" s="273"/>
      <c r="AV27" s="246">
        <v>3.5</v>
      </c>
      <c r="AW27" s="281">
        <v>3.5</v>
      </c>
      <c r="AX27" s="245"/>
      <c r="AY27" s="246">
        <v>3.5</v>
      </c>
      <c r="AZ27" s="246">
        <v>3.5</v>
      </c>
      <c r="BA27" s="246"/>
      <c r="BB27" s="246">
        <v>3.5</v>
      </c>
      <c r="BC27" s="246"/>
      <c r="BD27" s="246"/>
      <c r="BE27" s="246"/>
      <c r="BF27" s="246"/>
      <c r="BG27" s="246">
        <v>3.5</v>
      </c>
      <c r="BH27" s="246">
        <v>3.5</v>
      </c>
      <c r="BI27" s="246">
        <v>3.5</v>
      </c>
      <c r="BJ27" s="246"/>
      <c r="BK27" s="246"/>
      <c r="BL27" s="246"/>
      <c r="BM27" s="246"/>
      <c r="BN27" s="246"/>
      <c r="BO27" s="246"/>
      <c r="BP27" s="246"/>
      <c r="BQ27" s="246"/>
      <c r="BR27" s="246"/>
      <c r="BS27" s="246"/>
      <c r="BT27" s="246"/>
      <c r="BU27" s="246"/>
      <c r="BV27" s="246"/>
      <c r="BW27" s="246"/>
      <c r="BX27" s="246"/>
      <c r="BY27" s="246"/>
      <c r="BZ27" s="246"/>
      <c r="CA27" s="246"/>
      <c r="CB27" s="246"/>
      <c r="CC27" s="246"/>
      <c r="CD27" s="246"/>
      <c r="CE27" s="246"/>
      <c r="CF27" s="246"/>
      <c r="CG27" s="246"/>
      <c r="CH27" s="246"/>
      <c r="CI27" s="246"/>
      <c r="CJ27" s="246"/>
      <c r="CK27" s="246"/>
      <c r="CL27" s="246"/>
      <c r="CM27" s="246"/>
      <c r="CN27" s="246"/>
      <c r="CO27" s="246"/>
      <c r="CP27" s="246"/>
      <c r="CQ27" s="246"/>
      <c r="CR27" s="246"/>
      <c r="CS27" s="246"/>
      <c r="CT27" s="246"/>
      <c r="CU27" s="246"/>
      <c r="CV27" s="246"/>
      <c r="CW27" s="246"/>
      <c r="CX27" s="246"/>
      <c r="CY27" s="246"/>
      <c r="CZ27" s="246"/>
      <c r="DA27" s="246"/>
      <c r="DB27" s="246"/>
      <c r="DC27" s="246"/>
      <c r="DD27" s="246"/>
      <c r="DE27" s="246"/>
      <c r="DF27" s="246"/>
      <c r="DG27" s="246"/>
      <c r="DH27" s="246"/>
      <c r="DI27" s="246"/>
      <c r="DJ27" s="246"/>
      <c r="DK27" s="246"/>
      <c r="DL27" s="246"/>
      <c r="DM27" s="246"/>
      <c r="DN27" s="246"/>
      <c r="DO27" s="246"/>
      <c r="DP27" s="246"/>
      <c r="DQ27" s="246"/>
      <c r="DR27" s="246"/>
      <c r="DS27" s="246"/>
      <c r="DT27" s="246"/>
      <c r="DU27" s="246"/>
      <c r="DV27" s="246"/>
      <c r="DW27" s="246"/>
      <c r="DX27" s="246"/>
      <c r="DY27" s="246"/>
      <c r="DZ27" s="246"/>
      <c r="EA27" s="246"/>
      <c r="EB27" s="246"/>
      <c r="EC27" s="246"/>
      <c r="ED27" s="246"/>
      <c r="EE27" s="246"/>
      <c r="EF27" s="246"/>
      <c r="EG27" s="246"/>
      <c r="EH27" s="246"/>
      <c r="EI27" s="246"/>
      <c r="EJ27" s="246"/>
      <c r="EK27" s="296"/>
      <c r="EL27" s="296"/>
      <c r="EM27" s="296"/>
      <c r="EN27" s="296"/>
      <c r="EO27" s="296"/>
      <c r="EP27" s="250"/>
    </row>
    <row r="28" spans="1:146" ht="15.6">
      <c r="A28" s="215">
        <v>3272</v>
      </c>
      <c r="B28" s="233">
        <v>614</v>
      </c>
      <c r="C28" s="245">
        <v>2.5499999999999998</v>
      </c>
      <c r="D28" s="245"/>
      <c r="E28" s="245">
        <v>2.5499999999999998</v>
      </c>
      <c r="F28" s="245">
        <v>2.5499999999999998</v>
      </c>
      <c r="G28" s="245"/>
      <c r="H28" s="245"/>
      <c r="I28" s="245"/>
      <c r="J28" s="245"/>
      <c r="K28" s="245"/>
      <c r="L28" s="251"/>
      <c r="M28" s="251"/>
      <c r="N28" s="251"/>
      <c r="O28" s="251"/>
      <c r="P28" s="251"/>
      <c r="Q28" s="251"/>
      <c r="R28" s="251"/>
      <c r="S28" s="245"/>
      <c r="T28" s="245">
        <v>3.63</v>
      </c>
      <c r="U28" s="245">
        <v>3.63</v>
      </c>
      <c r="V28" s="245">
        <v>7.27</v>
      </c>
      <c r="W28" s="245">
        <v>7.27</v>
      </c>
      <c r="X28" s="245"/>
      <c r="Y28" s="245">
        <v>7.27</v>
      </c>
      <c r="Z28" s="245"/>
      <c r="AA28" s="245"/>
      <c r="AB28" s="245"/>
      <c r="AC28" s="245"/>
      <c r="AD28" s="245"/>
      <c r="AE28" s="245"/>
      <c r="AF28" s="245"/>
      <c r="AG28" s="245">
        <v>7.27</v>
      </c>
      <c r="AH28" s="245"/>
      <c r="AI28" s="245"/>
      <c r="AJ28" s="245"/>
      <c r="AK28" s="245"/>
      <c r="AL28" s="245"/>
      <c r="AM28" s="245"/>
      <c r="AN28" s="245">
        <v>3.63</v>
      </c>
      <c r="AO28" s="245">
        <v>3.63</v>
      </c>
      <c r="AP28" s="245">
        <v>3.63</v>
      </c>
      <c r="AQ28" s="245">
        <v>3.63</v>
      </c>
      <c r="AR28" s="245"/>
      <c r="AS28" s="245"/>
      <c r="AT28" s="245"/>
      <c r="AU28" s="273"/>
      <c r="AV28" s="245">
        <v>3.63</v>
      </c>
      <c r="AW28" s="281">
        <v>3.63</v>
      </c>
      <c r="AX28" s="245"/>
      <c r="AY28" s="245"/>
      <c r="AZ28" s="245"/>
      <c r="BA28" s="245">
        <v>3.63</v>
      </c>
      <c r="BB28" s="245">
        <v>3.63</v>
      </c>
      <c r="BC28" s="245"/>
      <c r="BD28" s="245"/>
      <c r="BE28" s="245"/>
      <c r="BF28" s="245"/>
      <c r="BG28" s="245"/>
      <c r="BH28" s="245"/>
      <c r="BI28" s="245">
        <v>3.63</v>
      </c>
      <c r="BJ28" s="245"/>
      <c r="BK28" s="245"/>
      <c r="BL28" s="245"/>
      <c r="BM28" s="245"/>
      <c r="BN28" s="245"/>
      <c r="BO28" s="245"/>
      <c r="BP28" s="245"/>
      <c r="BQ28" s="245"/>
      <c r="BR28" s="245"/>
      <c r="BS28" s="245"/>
      <c r="BT28" s="245"/>
      <c r="BU28" s="245"/>
      <c r="BV28" s="245"/>
      <c r="BW28" s="245"/>
      <c r="BX28" s="245"/>
      <c r="BY28" s="245"/>
      <c r="BZ28" s="245"/>
      <c r="CA28" s="245"/>
      <c r="CB28" s="245"/>
      <c r="CC28" s="245"/>
      <c r="CD28" s="245"/>
      <c r="CE28" s="245"/>
      <c r="CF28" s="245"/>
      <c r="CG28" s="245"/>
      <c r="CH28" s="245"/>
      <c r="CI28" s="245"/>
      <c r="CJ28" s="245"/>
      <c r="CK28" s="245"/>
      <c r="CL28" s="245"/>
      <c r="CM28" s="245"/>
      <c r="CN28" s="245"/>
      <c r="CO28" s="245"/>
      <c r="CP28" s="245"/>
      <c r="CQ28" s="245"/>
      <c r="CR28" s="245"/>
      <c r="CS28" s="245"/>
      <c r="CT28" s="245"/>
      <c r="CU28" s="245"/>
      <c r="CV28" s="245"/>
      <c r="CW28" s="245"/>
      <c r="CX28" s="245"/>
      <c r="CY28" s="245"/>
      <c r="CZ28" s="245"/>
      <c r="DA28" s="245"/>
      <c r="DB28" s="245"/>
      <c r="DC28" s="245"/>
      <c r="DD28" s="245"/>
      <c r="DE28" s="245"/>
      <c r="DF28" s="245"/>
      <c r="DG28" s="245"/>
      <c r="DH28" s="245"/>
      <c r="DI28" s="245"/>
      <c r="DJ28" s="245"/>
      <c r="DK28" s="245"/>
      <c r="DL28" s="245"/>
      <c r="DM28" s="245"/>
      <c r="DN28" s="245"/>
      <c r="DO28" s="245"/>
      <c r="DP28" s="245"/>
      <c r="DQ28" s="245"/>
      <c r="DR28" s="245"/>
      <c r="DS28" s="245"/>
      <c r="DT28" s="245"/>
      <c r="DU28" s="245"/>
      <c r="DV28" s="245"/>
      <c r="DW28" s="245"/>
      <c r="DX28" s="245"/>
      <c r="DY28" s="245"/>
      <c r="DZ28" s="245"/>
      <c r="EA28" s="245"/>
      <c r="EB28" s="245"/>
      <c r="EC28" s="245"/>
      <c r="ED28" s="245"/>
      <c r="EE28" s="245"/>
      <c r="EF28" s="245"/>
      <c r="EG28" s="245"/>
      <c r="EH28" s="245"/>
      <c r="EI28" s="245"/>
      <c r="EJ28" s="245"/>
      <c r="EK28" s="278"/>
      <c r="EL28" s="278"/>
      <c r="EM28" s="278"/>
      <c r="EN28" s="278"/>
      <c r="EO28" s="278"/>
      <c r="EP28" s="250"/>
    </row>
    <row r="29" spans="1:146" ht="15.6">
      <c r="A29" s="215">
        <v>3245</v>
      </c>
      <c r="B29" s="233">
        <v>444</v>
      </c>
      <c r="C29" s="245">
        <v>1.85</v>
      </c>
      <c r="D29" s="245"/>
      <c r="E29" s="245">
        <v>1.85</v>
      </c>
      <c r="F29" s="245">
        <v>1.85</v>
      </c>
      <c r="G29" s="245"/>
      <c r="H29" s="245"/>
      <c r="I29" s="245"/>
      <c r="J29" s="245"/>
      <c r="K29" s="245"/>
      <c r="L29" s="251"/>
      <c r="M29" s="251"/>
      <c r="N29" s="251"/>
      <c r="O29" s="251"/>
      <c r="P29" s="251"/>
      <c r="Q29" s="251"/>
      <c r="R29" s="251"/>
      <c r="S29" s="245">
        <v>4.99</v>
      </c>
      <c r="T29" s="245"/>
      <c r="U29" s="245">
        <v>4.99</v>
      </c>
      <c r="V29" s="245">
        <v>2.4900000000000002</v>
      </c>
      <c r="W29" s="245"/>
      <c r="X29" s="245"/>
      <c r="Y29" s="245">
        <v>4.99</v>
      </c>
      <c r="Z29" s="245">
        <v>2.4900000000000002</v>
      </c>
      <c r="AA29" s="245"/>
      <c r="AB29" s="245"/>
      <c r="AC29" s="245"/>
      <c r="AD29" s="245">
        <v>4.99</v>
      </c>
      <c r="AE29" s="245"/>
      <c r="AF29" s="245"/>
      <c r="AG29" s="245"/>
      <c r="AH29" s="245"/>
      <c r="AI29" s="245"/>
      <c r="AJ29" s="245"/>
      <c r="AK29" s="245"/>
      <c r="AL29" s="245"/>
      <c r="AM29" s="245"/>
      <c r="AN29" s="245">
        <v>2.4900000000000002</v>
      </c>
      <c r="AO29" s="245">
        <v>2.4900000000000002</v>
      </c>
      <c r="AP29" s="245">
        <v>2.4900000000000002</v>
      </c>
      <c r="AQ29" s="245">
        <v>2.4900000000000002</v>
      </c>
      <c r="AR29" s="245"/>
      <c r="AS29" s="245"/>
      <c r="AT29" s="245"/>
      <c r="AU29" s="273"/>
      <c r="AV29" s="245">
        <v>2.4900000000000002</v>
      </c>
      <c r="AW29" s="281">
        <v>2.4900000000000002</v>
      </c>
      <c r="AX29" s="245"/>
      <c r="AY29" s="245"/>
      <c r="AZ29" s="245">
        <v>2.4900000000000002</v>
      </c>
      <c r="BA29" s="245"/>
      <c r="BB29" s="245">
        <v>2.4900000000000002</v>
      </c>
      <c r="BC29" s="245"/>
      <c r="BD29" s="245"/>
      <c r="BE29" s="245"/>
      <c r="BF29" s="245"/>
      <c r="BG29" s="245"/>
      <c r="BH29" s="245">
        <v>2.4900000000000002</v>
      </c>
      <c r="BI29" s="245">
        <v>2.4900000000000002</v>
      </c>
      <c r="BJ29" s="245"/>
      <c r="BK29" s="245"/>
      <c r="BL29" s="245"/>
      <c r="BM29" s="245"/>
      <c r="BN29" s="245"/>
      <c r="BO29" s="245"/>
      <c r="BP29" s="245"/>
      <c r="BQ29" s="245"/>
      <c r="BR29" s="245"/>
      <c r="BS29" s="245"/>
      <c r="BT29" s="245"/>
      <c r="BU29" s="245"/>
      <c r="BV29" s="245"/>
      <c r="BW29" s="245"/>
      <c r="BX29" s="245"/>
      <c r="BY29" s="245"/>
      <c r="BZ29" s="245"/>
      <c r="CA29" s="245"/>
      <c r="CB29" s="245"/>
      <c r="CC29" s="245"/>
      <c r="CD29" s="245"/>
      <c r="CE29" s="245"/>
      <c r="CF29" s="245"/>
      <c r="CG29" s="245"/>
      <c r="CH29" s="245"/>
      <c r="CI29" s="245"/>
      <c r="CJ29" s="245"/>
      <c r="CK29" s="245"/>
      <c r="CL29" s="245"/>
      <c r="CM29" s="245"/>
      <c r="CN29" s="245"/>
      <c r="CO29" s="245"/>
      <c r="CP29" s="245"/>
      <c r="CQ29" s="245"/>
      <c r="CR29" s="245"/>
      <c r="CS29" s="245"/>
      <c r="CT29" s="245"/>
      <c r="CU29" s="245"/>
      <c r="CV29" s="245"/>
      <c r="CW29" s="245"/>
      <c r="CX29" s="245"/>
      <c r="CY29" s="245"/>
      <c r="CZ29" s="245"/>
      <c r="DA29" s="245"/>
      <c r="DB29" s="245"/>
      <c r="DC29" s="245"/>
      <c r="DD29" s="245"/>
      <c r="DE29" s="245"/>
      <c r="DF29" s="245"/>
      <c r="DG29" s="245"/>
      <c r="DH29" s="245"/>
      <c r="DI29" s="245"/>
      <c r="DJ29" s="245"/>
      <c r="DK29" s="245"/>
      <c r="DL29" s="245"/>
      <c r="DM29" s="245"/>
      <c r="DN29" s="245"/>
      <c r="DO29" s="245"/>
      <c r="DP29" s="245"/>
      <c r="DQ29" s="245"/>
      <c r="DR29" s="245"/>
      <c r="DS29" s="245"/>
      <c r="DT29" s="245"/>
      <c r="DU29" s="245"/>
      <c r="DV29" s="245"/>
      <c r="DW29" s="245"/>
      <c r="DX29" s="245"/>
      <c r="DY29" s="245"/>
      <c r="DZ29" s="245"/>
      <c r="EA29" s="245"/>
      <c r="EB29" s="245"/>
      <c r="EC29" s="245"/>
      <c r="ED29" s="245"/>
      <c r="EE29" s="245"/>
      <c r="EF29" s="245"/>
      <c r="EG29" s="245"/>
      <c r="EH29" s="245"/>
      <c r="EI29" s="245"/>
      <c r="EJ29" s="245"/>
      <c r="EK29" s="278"/>
      <c r="EL29" s="278"/>
      <c r="EM29" s="278"/>
      <c r="EN29" s="278"/>
      <c r="EO29" s="278"/>
      <c r="EP29" s="250"/>
    </row>
    <row r="30" spans="1:146" ht="15.6">
      <c r="A30" s="215">
        <v>3236</v>
      </c>
      <c r="B30" s="233">
        <v>800</v>
      </c>
      <c r="C30" s="245">
        <v>3.33</v>
      </c>
      <c r="D30" s="245"/>
      <c r="E30" s="245">
        <v>3.33</v>
      </c>
      <c r="F30" s="245">
        <v>3.33</v>
      </c>
      <c r="G30" s="245"/>
      <c r="H30" s="245"/>
      <c r="I30" s="245"/>
      <c r="J30" s="245"/>
      <c r="K30" s="245"/>
      <c r="L30" s="251"/>
      <c r="M30" s="251"/>
      <c r="N30" s="251"/>
      <c r="O30" s="251"/>
      <c r="P30" s="251"/>
      <c r="Q30" s="251"/>
      <c r="R30" s="251"/>
      <c r="S30" s="245">
        <v>9</v>
      </c>
      <c r="T30" s="245"/>
      <c r="U30" s="245">
        <v>4.5</v>
      </c>
      <c r="V30" s="245">
        <v>9</v>
      </c>
      <c r="W30" s="245"/>
      <c r="X30" s="245"/>
      <c r="Y30" s="245"/>
      <c r="Z30" s="245">
        <v>4.5</v>
      </c>
      <c r="AA30" s="245"/>
      <c r="AB30" s="245"/>
      <c r="AC30" s="245"/>
      <c r="AD30" s="245">
        <v>9</v>
      </c>
      <c r="AE30" s="245"/>
      <c r="AF30" s="245"/>
      <c r="AG30" s="245">
        <v>9</v>
      </c>
      <c r="AH30" s="245"/>
      <c r="AI30" s="245"/>
      <c r="AJ30" s="245"/>
      <c r="AK30" s="245"/>
      <c r="AL30" s="245"/>
      <c r="AM30" s="245"/>
      <c r="AN30" s="245">
        <v>4.5</v>
      </c>
      <c r="AO30" s="245">
        <v>4.5</v>
      </c>
      <c r="AP30" s="245">
        <v>4.5</v>
      </c>
      <c r="AQ30" s="245">
        <v>4.5</v>
      </c>
      <c r="AR30" s="245"/>
      <c r="AS30" s="245"/>
      <c r="AT30" s="245"/>
      <c r="AU30" s="273"/>
      <c r="AV30" s="245">
        <v>4.5</v>
      </c>
      <c r="AW30" s="281">
        <v>4.5</v>
      </c>
      <c r="AX30" s="245"/>
      <c r="AY30" s="245"/>
      <c r="AZ30" s="245">
        <v>4.5</v>
      </c>
      <c r="BA30" s="245"/>
      <c r="BB30" s="245">
        <v>4.5</v>
      </c>
      <c r="BC30" s="245"/>
      <c r="BD30" s="245"/>
      <c r="BE30" s="245"/>
      <c r="BF30" s="245"/>
      <c r="BG30" s="245"/>
      <c r="BH30" s="245">
        <v>4.5</v>
      </c>
      <c r="BI30" s="245">
        <v>4.5</v>
      </c>
      <c r="BJ30" s="245"/>
      <c r="BK30" s="245"/>
      <c r="BL30" s="245"/>
      <c r="BM30" s="245"/>
      <c r="BN30" s="245"/>
      <c r="BO30" s="245"/>
      <c r="BP30" s="245"/>
      <c r="BQ30" s="245"/>
      <c r="BR30" s="245"/>
      <c r="BS30" s="245"/>
      <c r="BT30" s="245"/>
      <c r="BU30" s="245"/>
      <c r="BV30" s="245"/>
      <c r="BW30" s="245"/>
      <c r="BX30" s="245"/>
      <c r="BY30" s="245"/>
      <c r="BZ30" s="245"/>
      <c r="CA30" s="245"/>
      <c r="CB30" s="245"/>
      <c r="CC30" s="245"/>
      <c r="CD30" s="245"/>
      <c r="CE30" s="245"/>
      <c r="CF30" s="245"/>
      <c r="CG30" s="245"/>
      <c r="CH30" s="245"/>
      <c r="CI30" s="245"/>
      <c r="CJ30" s="245"/>
      <c r="CK30" s="245"/>
      <c r="CL30" s="245"/>
      <c r="CM30" s="245"/>
      <c r="CN30" s="245"/>
      <c r="CO30" s="245"/>
      <c r="CP30" s="245"/>
      <c r="CQ30" s="245"/>
      <c r="CR30" s="245"/>
      <c r="CS30" s="245"/>
      <c r="CT30" s="245"/>
      <c r="CU30" s="245"/>
      <c r="CV30" s="245"/>
      <c r="CW30" s="245"/>
      <c r="CX30" s="245"/>
      <c r="CY30" s="245"/>
      <c r="CZ30" s="245"/>
      <c r="DA30" s="245"/>
      <c r="DB30" s="245"/>
      <c r="DC30" s="245"/>
      <c r="DD30" s="245"/>
      <c r="DE30" s="245"/>
      <c r="DF30" s="245"/>
      <c r="DG30" s="245"/>
      <c r="DH30" s="245"/>
      <c r="DI30" s="245"/>
      <c r="DJ30" s="245"/>
      <c r="DK30" s="245"/>
      <c r="DL30" s="245"/>
      <c r="DM30" s="245"/>
      <c r="DN30" s="245"/>
      <c r="DO30" s="245"/>
      <c r="DP30" s="245"/>
      <c r="DQ30" s="245"/>
      <c r="DR30" s="245"/>
      <c r="DS30" s="245"/>
      <c r="DT30" s="245"/>
      <c r="DU30" s="245"/>
      <c r="DV30" s="245"/>
      <c r="DW30" s="245"/>
      <c r="DX30" s="245"/>
      <c r="DY30" s="245"/>
      <c r="DZ30" s="245"/>
      <c r="EA30" s="245"/>
      <c r="EB30" s="245"/>
      <c r="EC30" s="245"/>
      <c r="ED30" s="245"/>
      <c r="EE30" s="245"/>
      <c r="EF30" s="245"/>
      <c r="EG30" s="245"/>
      <c r="EH30" s="245"/>
      <c r="EI30" s="245"/>
      <c r="EJ30" s="245"/>
      <c r="EK30" s="278"/>
      <c r="EL30" s="278"/>
      <c r="EM30" s="278"/>
      <c r="EN30" s="278"/>
      <c r="EO30" s="278"/>
      <c r="EP30" s="250"/>
    </row>
    <row r="31" spans="1:146" ht="15.6">
      <c r="A31" s="215">
        <v>3218</v>
      </c>
      <c r="B31" s="233">
        <v>200</v>
      </c>
      <c r="C31" s="245">
        <v>0.83</v>
      </c>
      <c r="D31" s="245"/>
      <c r="E31" s="245">
        <v>0.83</v>
      </c>
      <c r="F31" s="245">
        <v>0.83</v>
      </c>
      <c r="G31" s="245"/>
      <c r="H31" s="245"/>
      <c r="I31" s="245"/>
      <c r="J31" s="245"/>
      <c r="K31" s="245"/>
      <c r="L31" s="251"/>
      <c r="M31" s="251"/>
      <c r="N31" s="251"/>
      <c r="O31" s="251"/>
      <c r="P31" s="251"/>
      <c r="Q31" s="251"/>
      <c r="R31" s="251"/>
      <c r="S31" s="245">
        <v>2.04</v>
      </c>
      <c r="T31" s="245"/>
      <c r="U31" s="245">
        <v>2.04</v>
      </c>
      <c r="V31" s="245">
        <v>2.04</v>
      </c>
      <c r="W31" s="245">
        <v>2.04</v>
      </c>
      <c r="X31" s="245"/>
      <c r="Y31" s="245">
        <v>2.04</v>
      </c>
      <c r="Z31" s="245"/>
      <c r="AA31" s="245"/>
      <c r="AB31" s="245"/>
      <c r="AC31" s="245"/>
      <c r="AD31" s="245"/>
      <c r="AE31" s="245"/>
      <c r="AF31" s="245"/>
      <c r="AG31" s="245">
        <v>1.02</v>
      </c>
      <c r="AH31" s="245"/>
      <c r="AI31" s="245"/>
      <c r="AJ31" s="245"/>
      <c r="AK31" s="245"/>
      <c r="AL31" s="245"/>
      <c r="AM31" s="245"/>
      <c r="AN31" s="245">
        <v>1.02</v>
      </c>
      <c r="AO31" s="245">
        <v>1.02</v>
      </c>
      <c r="AP31" s="245">
        <v>1.02</v>
      </c>
      <c r="AQ31" s="245">
        <v>1.02</v>
      </c>
      <c r="AR31" s="245"/>
      <c r="AS31" s="245"/>
      <c r="AT31" s="245"/>
      <c r="AU31" s="273"/>
      <c r="AV31" s="245">
        <v>1.02</v>
      </c>
      <c r="AW31" s="281">
        <v>1.02</v>
      </c>
      <c r="AX31" s="245"/>
      <c r="AY31" s="245"/>
      <c r="AZ31" s="245"/>
      <c r="BA31" s="245">
        <v>1.02</v>
      </c>
      <c r="BB31" s="245">
        <v>1.02</v>
      </c>
      <c r="BC31" s="245"/>
      <c r="BD31" s="245"/>
      <c r="BE31" s="245"/>
      <c r="BF31" s="245">
        <v>1.02</v>
      </c>
      <c r="BG31" s="245">
        <v>1.02</v>
      </c>
      <c r="BH31" s="245"/>
      <c r="BI31" s="245">
        <v>1.02</v>
      </c>
      <c r="BJ31" s="245"/>
      <c r="BK31" s="245"/>
      <c r="BL31" s="245"/>
      <c r="BM31" s="245"/>
      <c r="BN31" s="245"/>
      <c r="BO31" s="245"/>
      <c r="BP31" s="245"/>
      <c r="BQ31" s="245"/>
      <c r="BR31" s="245"/>
      <c r="BS31" s="245"/>
      <c r="BT31" s="245"/>
      <c r="BU31" s="245"/>
      <c r="BV31" s="245"/>
      <c r="BW31" s="245"/>
      <c r="BX31" s="245"/>
      <c r="BY31" s="245"/>
      <c r="BZ31" s="245"/>
      <c r="CA31" s="245"/>
      <c r="CB31" s="245"/>
      <c r="CC31" s="245"/>
      <c r="CD31" s="245"/>
      <c r="CE31" s="245"/>
      <c r="CF31" s="245"/>
      <c r="CG31" s="245"/>
      <c r="CH31" s="245"/>
      <c r="CI31" s="245"/>
      <c r="CJ31" s="245"/>
      <c r="CK31" s="245"/>
      <c r="CL31" s="245"/>
      <c r="CM31" s="245"/>
      <c r="CN31" s="245"/>
      <c r="CO31" s="245"/>
      <c r="CP31" s="245"/>
      <c r="CQ31" s="245"/>
      <c r="CR31" s="245"/>
      <c r="CS31" s="245"/>
      <c r="CT31" s="245"/>
      <c r="CU31" s="245"/>
      <c r="CV31" s="245"/>
      <c r="CW31" s="245"/>
      <c r="CX31" s="245"/>
      <c r="CY31" s="245"/>
      <c r="CZ31" s="245"/>
      <c r="DA31" s="245"/>
      <c r="DB31" s="245"/>
      <c r="DC31" s="245"/>
      <c r="DD31" s="245"/>
      <c r="DE31" s="245"/>
      <c r="DF31" s="245"/>
      <c r="DG31" s="245"/>
      <c r="DH31" s="245"/>
      <c r="DI31" s="245"/>
      <c r="DJ31" s="245"/>
      <c r="DK31" s="245"/>
      <c r="DL31" s="245"/>
      <c r="DM31" s="245"/>
      <c r="DN31" s="245"/>
      <c r="DO31" s="245"/>
      <c r="DP31" s="245"/>
      <c r="DQ31" s="245"/>
      <c r="DR31" s="245"/>
      <c r="DS31" s="245"/>
      <c r="DT31" s="245"/>
      <c r="DU31" s="245"/>
      <c r="DV31" s="245"/>
      <c r="DW31" s="245"/>
      <c r="DX31" s="245"/>
      <c r="DY31" s="245"/>
      <c r="DZ31" s="245"/>
      <c r="EA31" s="245"/>
      <c r="EB31" s="245"/>
      <c r="EC31" s="245"/>
      <c r="ED31" s="245"/>
      <c r="EE31" s="245"/>
      <c r="EF31" s="245"/>
      <c r="EG31" s="245"/>
      <c r="EH31" s="245"/>
      <c r="EI31" s="245"/>
      <c r="EJ31" s="245"/>
      <c r="EK31" s="278"/>
      <c r="EL31" s="278"/>
      <c r="EM31" s="278"/>
      <c r="EN31" s="278"/>
      <c r="EO31" s="278"/>
      <c r="EP31" s="250"/>
    </row>
    <row r="32" spans="1:146" ht="15.6">
      <c r="A32" s="215">
        <v>3215</v>
      </c>
      <c r="B32" s="233">
        <v>780</v>
      </c>
      <c r="C32" s="245">
        <v>3.25</v>
      </c>
      <c r="D32" s="245"/>
      <c r="E32" s="245">
        <v>3.25</v>
      </c>
      <c r="F32" s="245">
        <v>3.25</v>
      </c>
      <c r="G32" s="245"/>
      <c r="H32" s="245"/>
      <c r="I32" s="245"/>
      <c r="J32" s="245"/>
      <c r="K32" s="245"/>
      <c r="L32" s="251"/>
      <c r="M32" s="251"/>
      <c r="N32" s="251"/>
      <c r="O32" s="251"/>
      <c r="P32" s="251"/>
      <c r="Q32" s="251"/>
      <c r="R32" s="251"/>
      <c r="S32" s="245">
        <v>7.63</v>
      </c>
      <c r="T32" s="245">
        <v>3.81</v>
      </c>
      <c r="U32" s="245">
        <v>7.63</v>
      </c>
      <c r="V32" s="245">
        <v>7.63</v>
      </c>
      <c r="W32" s="245">
        <v>7.63</v>
      </c>
      <c r="X32" s="245"/>
      <c r="Y32" s="245">
        <v>7.63</v>
      </c>
      <c r="Z32" s="245"/>
      <c r="AA32" s="245"/>
      <c r="AB32" s="245"/>
      <c r="AC32" s="245"/>
      <c r="AD32" s="245"/>
      <c r="AE32" s="245"/>
      <c r="AF32" s="245"/>
      <c r="AG32" s="245">
        <v>3.81</v>
      </c>
      <c r="AH32" s="245"/>
      <c r="AI32" s="266"/>
      <c r="AJ32" s="1"/>
      <c r="AK32" s="245"/>
      <c r="AL32" s="245"/>
      <c r="AM32" s="245"/>
      <c r="AN32" s="245">
        <v>3.81</v>
      </c>
      <c r="AO32" s="245">
        <v>3.81</v>
      </c>
      <c r="AP32" s="245">
        <v>3.81</v>
      </c>
      <c r="AQ32" s="245">
        <v>3.81</v>
      </c>
      <c r="AR32" s="245"/>
      <c r="AS32" s="245"/>
      <c r="AT32" s="245"/>
      <c r="AU32" s="273"/>
      <c r="AV32" s="245">
        <v>3.81</v>
      </c>
      <c r="AW32" s="281">
        <v>3.81</v>
      </c>
      <c r="AX32" s="245"/>
      <c r="AY32" s="245"/>
      <c r="AZ32" s="245"/>
      <c r="BA32" s="245">
        <v>3.81</v>
      </c>
      <c r="BB32" s="245">
        <v>3.81</v>
      </c>
      <c r="BC32" s="245"/>
      <c r="BD32" s="245"/>
      <c r="BE32" s="245"/>
      <c r="BF32" s="245"/>
      <c r="BG32" s="245">
        <v>3.81</v>
      </c>
      <c r="BH32" s="245">
        <v>3.81</v>
      </c>
      <c r="BI32" s="245">
        <v>3.81</v>
      </c>
      <c r="BJ32" s="245"/>
      <c r="BK32" s="245"/>
      <c r="BL32" s="245"/>
      <c r="BM32" s="245"/>
      <c r="BN32" s="245"/>
      <c r="BO32" s="245"/>
      <c r="BP32" s="245"/>
      <c r="BQ32" s="245"/>
      <c r="BR32" s="245"/>
      <c r="BS32" s="245"/>
      <c r="BT32" s="245"/>
      <c r="BU32" s="245"/>
      <c r="BV32" s="245"/>
      <c r="BW32" s="245"/>
      <c r="BX32" s="245"/>
      <c r="BY32" s="245"/>
      <c r="BZ32" s="245"/>
      <c r="CA32" s="245"/>
      <c r="CB32" s="245"/>
      <c r="CC32" s="245"/>
      <c r="CD32" s="245"/>
      <c r="CE32" s="245"/>
      <c r="CF32" s="245"/>
      <c r="CG32" s="245"/>
      <c r="CH32" s="245"/>
      <c r="CI32" s="245"/>
      <c r="CJ32" s="245"/>
      <c r="CK32" s="245"/>
      <c r="CL32" s="245"/>
      <c r="CM32" s="245"/>
      <c r="CN32" s="245"/>
      <c r="CO32" s="245"/>
      <c r="CP32" s="245"/>
      <c r="CQ32" s="245"/>
      <c r="CR32" s="245"/>
      <c r="CS32" s="245"/>
      <c r="CT32" s="245"/>
      <c r="CU32" s="245"/>
      <c r="CV32" s="245"/>
      <c r="CW32" s="245"/>
      <c r="CX32" s="245"/>
      <c r="CY32" s="245"/>
      <c r="CZ32" s="245"/>
      <c r="DA32" s="245"/>
      <c r="DB32" s="245"/>
      <c r="DC32" s="245"/>
      <c r="DD32" s="245"/>
      <c r="DE32" s="245"/>
      <c r="DF32" s="245"/>
      <c r="DG32" s="245"/>
      <c r="DH32" s="245"/>
      <c r="DI32" s="245"/>
      <c r="DJ32" s="245"/>
      <c r="DK32" s="245"/>
      <c r="DL32" s="245"/>
      <c r="DM32" s="245"/>
      <c r="DN32" s="245"/>
      <c r="DO32" s="245"/>
      <c r="DP32" s="245"/>
      <c r="DQ32" s="245"/>
      <c r="DR32" s="245"/>
      <c r="DS32" s="245"/>
      <c r="DT32" s="245"/>
      <c r="DU32" s="245"/>
      <c r="DV32" s="245"/>
      <c r="DW32" s="245"/>
      <c r="DX32" s="245"/>
      <c r="DY32" s="245"/>
      <c r="DZ32" s="245"/>
      <c r="EA32" s="245"/>
      <c r="EB32" s="245"/>
      <c r="EC32" s="245"/>
      <c r="ED32" s="245"/>
      <c r="EE32" s="245"/>
      <c r="EF32" s="245"/>
      <c r="EG32" s="245"/>
      <c r="EH32" s="245"/>
      <c r="EI32" s="245"/>
      <c r="EJ32" s="245"/>
      <c r="EK32" s="278"/>
      <c r="EL32" s="278"/>
      <c r="EM32" s="278"/>
      <c r="EN32" s="278"/>
      <c r="EO32" s="278"/>
      <c r="EP32" s="250"/>
    </row>
    <row r="33" spans="1:146" ht="15.6">
      <c r="A33" s="215">
        <v>3242</v>
      </c>
      <c r="B33" s="233">
        <v>174</v>
      </c>
      <c r="C33" s="245">
        <v>0.72</v>
      </c>
      <c r="D33" s="245"/>
      <c r="E33" s="245">
        <v>0.72</v>
      </c>
      <c r="F33" s="245">
        <v>0.72</v>
      </c>
      <c r="G33" s="245"/>
      <c r="H33" s="245"/>
      <c r="I33" s="245"/>
      <c r="J33" s="245"/>
      <c r="K33" s="245"/>
      <c r="L33" s="251"/>
      <c r="M33" s="251"/>
      <c r="N33" s="251"/>
      <c r="O33" s="251"/>
      <c r="P33" s="251"/>
      <c r="Q33" s="251"/>
      <c r="R33" s="251"/>
      <c r="S33" s="245">
        <v>1.7</v>
      </c>
      <c r="T33" s="245"/>
      <c r="U33" s="245">
        <v>1.7</v>
      </c>
      <c r="V33" s="245">
        <v>1.7</v>
      </c>
      <c r="W33" s="245">
        <v>1.7</v>
      </c>
      <c r="X33" s="245">
        <v>1.7</v>
      </c>
      <c r="Y33" s="245">
        <v>1.7</v>
      </c>
      <c r="Z33" s="245">
        <v>0.85</v>
      </c>
      <c r="AA33" s="245"/>
      <c r="AB33" s="245">
        <v>0.85</v>
      </c>
      <c r="AC33" s="245"/>
      <c r="AD33" s="245"/>
      <c r="AE33" s="245"/>
      <c r="AF33" s="245"/>
      <c r="AG33" s="245"/>
      <c r="AH33" s="245"/>
      <c r="AI33" s="266"/>
      <c r="AJ33" s="1"/>
      <c r="AK33" s="245"/>
      <c r="AL33" s="245"/>
      <c r="AM33" s="245"/>
      <c r="AN33" s="245">
        <v>0.85</v>
      </c>
      <c r="AO33" s="245">
        <v>0.85</v>
      </c>
      <c r="AP33" s="245">
        <v>0.85</v>
      </c>
      <c r="AQ33" s="245">
        <v>0.85</v>
      </c>
      <c r="AR33" s="245"/>
      <c r="AS33" s="245"/>
      <c r="AT33" s="245"/>
      <c r="AU33" s="273"/>
      <c r="AV33" s="245">
        <v>0.85</v>
      </c>
      <c r="AW33" s="281">
        <v>0.85</v>
      </c>
      <c r="AX33" s="245"/>
      <c r="AY33" s="245"/>
      <c r="AZ33" s="245">
        <v>0.85</v>
      </c>
      <c r="BA33" s="245"/>
      <c r="BB33" s="245">
        <v>0.85</v>
      </c>
      <c r="BC33" s="245"/>
      <c r="BD33" s="245"/>
      <c r="BE33" s="245"/>
      <c r="BF33" s="245"/>
      <c r="BG33" s="245"/>
      <c r="BH33" s="245"/>
      <c r="BI33" s="245">
        <v>0.85</v>
      </c>
      <c r="BJ33" s="245"/>
      <c r="BK33" s="245"/>
      <c r="BL33" s="245"/>
      <c r="BM33" s="245"/>
      <c r="BN33" s="245"/>
      <c r="BO33" s="245"/>
      <c r="BP33" s="245"/>
      <c r="BQ33" s="245"/>
      <c r="BR33" s="245"/>
      <c r="BS33" s="245"/>
      <c r="BT33" s="245"/>
      <c r="BU33" s="245"/>
      <c r="BV33" s="245"/>
      <c r="BW33" s="245"/>
      <c r="BX33" s="245"/>
      <c r="BY33" s="245"/>
      <c r="BZ33" s="245"/>
      <c r="CA33" s="245"/>
      <c r="CB33" s="245"/>
      <c r="CC33" s="245"/>
      <c r="CD33" s="245"/>
      <c r="CE33" s="245"/>
      <c r="CF33" s="245"/>
      <c r="CG33" s="245"/>
      <c r="CH33" s="245"/>
      <c r="CI33" s="245"/>
      <c r="CJ33" s="245"/>
      <c r="CK33" s="245"/>
      <c r="CL33" s="245"/>
      <c r="CM33" s="245"/>
      <c r="CN33" s="245"/>
      <c r="CO33" s="245"/>
      <c r="CP33" s="245"/>
      <c r="CQ33" s="245"/>
      <c r="CR33" s="245"/>
      <c r="CS33" s="245"/>
      <c r="CT33" s="245"/>
      <c r="CU33" s="245"/>
      <c r="CV33" s="245"/>
      <c r="CW33" s="245"/>
      <c r="CX33" s="245"/>
      <c r="CY33" s="245"/>
      <c r="CZ33" s="245"/>
      <c r="DA33" s="245"/>
      <c r="DB33" s="245"/>
      <c r="DC33" s="245"/>
      <c r="DD33" s="245"/>
      <c r="DE33" s="245"/>
      <c r="DF33" s="245"/>
      <c r="DG33" s="245"/>
      <c r="DH33" s="245"/>
      <c r="DI33" s="245"/>
      <c r="DJ33" s="245"/>
      <c r="DK33" s="245"/>
      <c r="DL33" s="245"/>
      <c r="DM33" s="245"/>
      <c r="DN33" s="245"/>
      <c r="DO33" s="245"/>
      <c r="DP33" s="245"/>
      <c r="DQ33" s="245"/>
      <c r="DR33" s="245"/>
      <c r="DS33" s="245"/>
      <c r="DT33" s="245"/>
      <c r="DU33" s="245"/>
      <c r="DV33" s="245"/>
      <c r="DW33" s="245"/>
      <c r="DX33" s="245"/>
      <c r="DY33" s="245"/>
      <c r="DZ33" s="245"/>
      <c r="EA33" s="245"/>
      <c r="EB33" s="245"/>
      <c r="EC33" s="245"/>
      <c r="ED33" s="245"/>
      <c r="EE33" s="245"/>
      <c r="EF33" s="245"/>
      <c r="EG33" s="245"/>
      <c r="EH33" s="245"/>
      <c r="EI33" s="245"/>
      <c r="EJ33" s="245"/>
      <c r="EK33" s="278"/>
      <c r="EL33" s="278"/>
      <c r="EM33" s="278"/>
      <c r="EN33" s="278"/>
      <c r="EO33" s="278"/>
      <c r="EP33" s="250"/>
    </row>
    <row r="34" spans="1:146" ht="15.6">
      <c r="A34" s="215">
        <v>3258</v>
      </c>
      <c r="B34" s="233">
        <v>194</v>
      </c>
      <c r="C34" s="245">
        <v>0.8</v>
      </c>
      <c r="D34" s="245"/>
      <c r="E34" s="245">
        <v>0.8</v>
      </c>
      <c r="F34" s="245">
        <v>0.8</v>
      </c>
      <c r="G34" s="245"/>
      <c r="H34" s="245"/>
      <c r="I34" s="245"/>
      <c r="J34" s="245"/>
      <c r="K34" s="245"/>
      <c r="L34" s="251"/>
      <c r="M34" s="251"/>
      <c r="N34" s="251"/>
      <c r="O34" s="251"/>
      <c r="P34" s="251"/>
      <c r="Q34" s="251"/>
      <c r="R34" s="251"/>
      <c r="S34" s="245">
        <v>1.82</v>
      </c>
      <c r="T34" s="245">
        <v>0.91</v>
      </c>
      <c r="U34" s="245">
        <v>1.82</v>
      </c>
      <c r="V34" s="245">
        <v>1.82</v>
      </c>
      <c r="W34" s="245">
        <v>1.82</v>
      </c>
      <c r="X34" s="245">
        <v>1.82</v>
      </c>
      <c r="Y34" s="245">
        <v>1.82</v>
      </c>
      <c r="Z34" s="245">
        <v>0.91</v>
      </c>
      <c r="AA34" s="245"/>
      <c r="AB34" s="245">
        <v>0.91</v>
      </c>
      <c r="AC34" s="245"/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>
        <v>0.91</v>
      </c>
      <c r="AO34" s="245">
        <v>0.91</v>
      </c>
      <c r="AP34" s="245">
        <v>0.91</v>
      </c>
      <c r="AQ34" s="245">
        <v>0.91</v>
      </c>
      <c r="AR34" s="245"/>
      <c r="AS34" s="245"/>
      <c r="AT34" s="245"/>
      <c r="AU34" s="273"/>
      <c r="AV34" s="245">
        <v>0.91</v>
      </c>
      <c r="AW34" s="281">
        <v>0.91</v>
      </c>
      <c r="AX34" s="245"/>
      <c r="AY34" s="245"/>
      <c r="AZ34" s="245"/>
      <c r="BA34" s="245">
        <v>0.91</v>
      </c>
      <c r="BB34" s="245">
        <v>0.91</v>
      </c>
      <c r="BC34" s="245"/>
      <c r="BD34" s="245"/>
      <c r="BE34" s="245"/>
      <c r="BF34" s="245"/>
      <c r="BG34" s="245"/>
      <c r="BH34" s="245"/>
      <c r="BI34" s="245">
        <v>0.91</v>
      </c>
      <c r="BJ34" s="245"/>
      <c r="BK34" s="245"/>
      <c r="BL34" s="245"/>
      <c r="BM34" s="245"/>
      <c r="BN34" s="245"/>
      <c r="BO34" s="245"/>
      <c r="BP34" s="245"/>
      <c r="BQ34" s="245"/>
      <c r="BR34" s="245"/>
      <c r="BS34" s="245"/>
      <c r="BT34" s="245"/>
      <c r="BU34" s="245"/>
      <c r="BV34" s="245"/>
      <c r="BW34" s="245"/>
      <c r="BX34" s="245"/>
      <c r="BY34" s="245"/>
      <c r="BZ34" s="245"/>
      <c r="CA34" s="245"/>
      <c r="CB34" s="245"/>
      <c r="CC34" s="245"/>
      <c r="CD34" s="245"/>
      <c r="CE34" s="245"/>
      <c r="CF34" s="245"/>
      <c r="CG34" s="245"/>
      <c r="CH34" s="245"/>
      <c r="CI34" s="245"/>
      <c r="CJ34" s="245"/>
      <c r="CK34" s="245"/>
      <c r="CL34" s="245"/>
      <c r="CM34" s="245"/>
      <c r="CN34" s="245"/>
      <c r="CO34" s="245"/>
      <c r="CP34" s="245"/>
      <c r="CQ34" s="245"/>
      <c r="CR34" s="245"/>
      <c r="CS34" s="245"/>
      <c r="CT34" s="245"/>
      <c r="CU34" s="245"/>
      <c r="CV34" s="245"/>
      <c r="CW34" s="245"/>
      <c r="CX34" s="245"/>
      <c r="CY34" s="245"/>
      <c r="CZ34" s="245"/>
      <c r="DA34" s="245"/>
      <c r="DB34" s="245"/>
      <c r="DC34" s="245"/>
      <c r="DD34" s="245"/>
      <c r="DE34" s="245"/>
      <c r="DF34" s="245"/>
      <c r="DG34" s="245"/>
      <c r="DH34" s="245"/>
      <c r="DI34" s="245"/>
      <c r="DJ34" s="245"/>
      <c r="DK34" s="245"/>
      <c r="DL34" s="245"/>
      <c r="DM34" s="245"/>
      <c r="DN34" s="245"/>
      <c r="DO34" s="245"/>
      <c r="DP34" s="245"/>
      <c r="DQ34" s="245"/>
      <c r="DR34" s="245"/>
      <c r="DS34" s="245"/>
      <c r="DT34" s="245"/>
      <c r="DU34" s="245"/>
      <c r="DV34" s="245"/>
      <c r="DW34" s="245"/>
      <c r="DX34" s="245"/>
      <c r="DY34" s="245"/>
      <c r="DZ34" s="245"/>
      <c r="EA34" s="245"/>
      <c r="EB34" s="245"/>
      <c r="EC34" s="245"/>
      <c r="ED34" s="245"/>
      <c r="EE34" s="245"/>
      <c r="EF34" s="245"/>
      <c r="EG34" s="245"/>
      <c r="EH34" s="245"/>
      <c r="EI34" s="245"/>
      <c r="EJ34" s="245"/>
      <c r="EK34" s="278"/>
      <c r="EL34" s="278"/>
      <c r="EM34" s="278"/>
      <c r="EN34" s="278"/>
      <c r="EO34" s="278"/>
      <c r="EP34" s="250"/>
    </row>
    <row r="35" spans="1:146" ht="15.6">
      <c r="A35" s="215">
        <v>3291</v>
      </c>
      <c r="B35" s="233">
        <v>782</v>
      </c>
      <c r="C35" s="245">
        <v>3.25</v>
      </c>
      <c r="D35" s="245"/>
      <c r="E35" s="245">
        <v>3.25</v>
      </c>
      <c r="F35" s="245">
        <v>3.25</v>
      </c>
      <c r="G35" s="245"/>
      <c r="H35" s="245"/>
      <c r="I35" s="245"/>
      <c r="J35" s="245"/>
      <c r="K35" s="245"/>
      <c r="L35" s="251"/>
      <c r="M35" s="251"/>
      <c r="N35" s="251"/>
      <c r="O35" s="251"/>
      <c r="P35" s="251"/>
      <c r="Q35" s="251"/>
      <c r="R35" s="251"/>
      <c r="S35" s="245">
        <v>8</v>
      </c>
      <c r="T35" s="245">
        <v>8</v>
      </c>
      <c r="U35" s="245">
        <v>4</v>
      </c>
      <c r="V35" s="245">
        <v>8</v>
      </c>
      <c r="W35" s="245">
        <v>8</v>
      </c>
      <c r="X35" s="245"/>
      <c r="Y35" s="245">
        <v>8</v>
      </c>
      <c r="Z35" s="245"/>
      <c r="AA35" s="245"/>
      <c r="AB35" s="245"/>
      <c r="AC35" s="245"/>
      <c r="AD35" s="245"/>
      <c r="AE35" s="245"/>
      <c r="AF35" s="245"/>
      <c r="AG35" s="245"/>
      <c r="AH35" s="245"/>
      <c r="AI35" s="266"/>
      <c r="AJ35" s="1"/>
      <c r="AK35" s="245"/>
      <c r="AL35" s="245"/>
      <c r="AM35" s="245"/>
      <c r="AN35" s="245">
        <v>4</v>
      </c>
      <c r="AO35" s="245">
        <v>4</v>
      </c>
      <c r="AP35" s="245">
        <v>4</v>
      </c>
      <c r="AQ35" s="245">
        <v>4</v>
      </c>
      <c r="AR35" s="245"/>
      <c r="AS35" s="245"/>
      <c r="AT35" s="245"/>
      <c r="AU35" s="273"/>
      <c r="AV35" s="245">
        <v>4</v>
      </c>
      <c r="AW35" s="281">
        <v>4</v>
      </c>
      <c r="AX35" s="245"/>
      <c r="AY35" s="245">
        <v>4</v>
      </c>
      <c r="AZ35" s="245"/>
      <c r="BA35" s="245"/>
      <c r="BB35" s="245">
        <v>4</v>
      </c>
      <c r="BC35" s="245"/>
      <c r="BD35" s="245"/>
      <c r="BE35" s="245"/>
      <c r="BF35" s="245"/>
      <c r="BG35" s="245">
        <v>4</v>
      </c>
      <c r="BH35" s="245">
        <v>4</v>
      </c>
      <c r="BI35" s="245">
        <v>4</v>
      </c>
      <c r="BJ35" s="245"/>
      <c r="BK35" s="245"/>
      <c r="BL35" s="245"/>
      <c r="BM35" s="245"/>
      <c r="BN35" s="245"/>
      <c r="BO35" s="245"/>
      <c r="BP35" s="245"/>
      <c r="BQ35" s="245"/>
      <c r="BR35" s="245"/>
      <c r="BS35" s="245"/>
      <c r="BT35" s="245"/>
      <c r="BU35" s="245"/>
      <c r="BV35" s="245"/>
      <c r="BW35" s="245"/>
      <c r="BX35" s="245"/>
      <c r="BY35" s="245"/>
      <c r="BZ35" s="245"/>
      <c r="CA35" s="245"/>
      <c r="CB35" s="245"/>
      <c r="CC35" s="245"/>
      <c r="CD35" s="245"/>
      <c r="CE35" s="245"/>
      <c r="CF35" s="245"/>
      <c r="CG35" s="245"/>
      <c r="CH35" s="245"/>
      <c r="CI35" s="245"/>
      <c r="CJ35" s="245"/>
      <c r="CK35" s="245"/>
      <c r="CL35" s="245"/>
      <c r="CM35" s="245"/>
      <c r="CN35" s="245"/>
      <c r="CO35" s="245"/>
      <c r="CP35" s="245"/>
      <c r="CQ35" s="245"/>
      <c r="CR35" s="245"/>
      <c r="CS35" s="245"/>
      <c r="CT35" s="245"/>
      <c r="CU35" s="245"/>
      <c r="CV35" s="245"/>
      <c r="CW35" s="245"/>
      <c r="CX35" s="245"/>
      <c r="CY35" s="245"/>
      <c r="CZ35" s="245"/>
      <c r="DA35" s="245"/>
      <c r="DB35" s="245"/>
      <c r="DC35" s="245"/>
      <c r="DD35" s="245"/>
      <c r="DE35" s="245"/>
      <c r="DF35" s="245"/>
      <c r="DG35" s="245"/>
      <c r="DH35" s="245"/>
      <c r="DI35" s="245"/>
      <c r="DJ35" s="245"/>
      <c r="DK35" s="245"/>
      <c r="DL35" s="245"/>
      <c r="DM35" s="245"/>
      <c r="DN35" s="245"/>
      <c r="DO35" s="245"/>
      <c r="DP35" s="245"/>
      <c r="DQ35" s="245"/>
      <c r="DR35" s="245"/>
      <c r="DS35" s="245"/>
      <c r="DT35" s="245"/>
      <c r="DU35" s="245"/>
      <c r="DV35" s="245"/>
      <c r="DW35" s="245"/>
      <c r="DX35" s="245"/>
      <c r="DY35" s="245"/>
      <c r="DZ35" s="245"/>
      <c r="EA35" s="245"/>
      <c r="EB35" s="245"/>
      <c r="EC35" s="245"/>
      <c r="ED35" s="245"/>
      <c r="EE35" s="245"/>
      <c r="EF35" s="245"/>
      <c r="EG35" s="245"/>
      <c r="EH35" s="245"/>
      <c r="EI35" s="245"/>
      <c r="EJ35" s="245"/>
      <c r="EK35" s="278"/>
      <c r="EL35" s="278"/>
      <c r="EM35" s="278"/>
      <c r="EN35" s="278"/>
      <c r="EO35" s="278"/>
      <c r="EP35" s="250"/>
    </row>
    <row r="36" spans="1:146" ht="15.6">
      <c r="A36" s="215">
        <v>3205</v>
      </c>
      <c r="B36" s="233">
        <v>236</v>
      </c>
      <c r="C36" s="245">
        <v>0.98</v>
      </c>
      <c r="D36" s="245"/>
      <c r="E36" s="245">
        <v>0.98</v>
      </c>
      <c r="F36" s="245">
        <v>0.98</v>
      </c>
      <c r="G36" s="245"/>
      <c r="H36" s="245"/>
      <c r="I36" s="245"/>
      <c r="J36" s="245"/>
      <c r="K36" s="245"/>
      <c r="L36" s="251"/>
      <c r="M36" s="251"/>
      <c r="N36" s="251"/>
      <c r="O36" s="251"/>
      <c r="P36" s="251"/>
      <c r="Q36" s="251"/>
      <c r="R36" s="251"/>
      <c r="S36" s="245">
        <v>2.52</v>
      </c>
      <c r="T36" s="245">
        <v>2.52</v>
      </c>
      <c r="U36" s="245"/>
      <c r="V36" s="245"/>
      <c r="W36" s="245"/>
      <c r="X36" s="245"/>
      <c r="Y36" s="245">
        <v>2.52</v>
      </c>
      <c r="Z36" s="245"/>
      <c r="AA36" s="245"/>
      <c r="AB36" s="245"/>
      <c r="AC36" s="245"/>
      <c r="AD36" s="245"/>
      <c r="AE36" s="245"/>
      <c r="AF36" s="245">
        <v>2.52</v>
      </c>
      <c r="AG36" s="245">
        <v>2.52</v>
      </c>
      <c r="AH36" s="245"/>
      <c r="AI36" s="245"/>
      <c r="AJ36" s="245"/>
      <c r="AK36" s="245"/>
      <c r="AL36" s="245"/>
      <c r="AM36" s="245"/>
      <c r="AN36" s="245">
        <v>1.26</v>
      </c>
      <c r="AO36" s="245">
        <v>1.26</v>
      </c>
      <c r="AP36" s="245">
        <v>1.26</v>
      </c>
      <c r="AQ36" s="245">
        <v>1.26</v>
      </c>
      <c r="AR36" s="245"/>
      <c r="AS36" s="245"/>
      <c r="AT36" s="245"/>
      <c r="AU36" s="273"/>
      <c r="AV36" s="245">
        <v>1.26</v>
      </c>
      <c r="AW36" s="281">
        <v>1.26</v>
      </c>
      <c r="AX36" s="245"/>
      <c r="AY36" s="245"/>
      <c r="AZ36" s="245">
        <v>1.26</v>
      </c>
      <c r="BA36" s="245"/>
      <c r="BB36" s="245">
        <v>1.26</v>
      </c>
      <c r="BC36" s="245">
        <v>1.26</v>
      </c>
      <c r="BD36" s="245"/>
      <c r="BE36" s="245"/>
      <c r="BF36" s="245"/>
      <c r="BG36" s="245">
        <v>1.26</v>
      </c>
      <c r="BH36" s="245"/>
      <c r="BI36" s="245">
        <v>1.26</v>
      </c>
      <c r="BJ36" s="245"/>
      <c r="BK36" s="245"/>
      <c r="BL36" s="245"/>
      <c r="BM36" s="245"/>
      <c r="BN36" s="245"/>
      <c r="BO36" s="245"/>
      <c r="BP36" s="245"/>
      <c r="BQ36" s="245"/>
      <c r="BR36" s="245"/>
      <c r="BS36" s="245"/>
      <c r="BT36" s="245"/>
      <c r="BU36" s="245"/>
      <c r="BV36" s="245"/>
      <c r="BW36" s="245"/>
      <c r="BX36" s="245"/>
      <c r="BY36" s="245"/>
      <c r="BZ36" s="245"/>
      <c r="CA36" s="245"/>
      <c r="CB36" s="245"/>
      <c r="CC36" s="245"/>
      <c r="CD36" s="245"/>
      <c r="CE36" s="245"/>
      <c r="CF36" s="245"/>
      <c r="CG36" s="245"/>
      <c r="CH36" s="245"/>
      <c r="CI36" s="245"/>
      <c r="CJ36" s="245"/>
      <c r="CK36" s="245"/>
      <c r="CL36" s="245"/>
      <c r="CM36" s="245"/>
      <c r="CN36" s="245"/>
      <c r="CO36" s="245"/>
      <c r="CP36" s="245"/>
      <c r="CQ36" s="245"/>
      <c r="CR36" s="245"/>
      <c r="CS36" s="245"/>
      <c r="CT36" s="245"/>
      <c r="CU36" s="245"/>
      <c r="CV36" s="245"/>
      <c r="CW36" s="245"/>
      <c r="CX36" s="245"/>
      <c r="CY36" s="245"/>
      <c r="CZ36" s="245"/>
      <c r="DA36" s="245"/>
      <c r="DB36" s="245"/>
      <c r="DC36" s="245"/>
      <c r="DD36" s="245"/>
      <c r="DE36" s="245"/>
      <c r="DF36" s="245"/>
      <c r="DG36" s="245"/>
      <c r="DH36" s="245"/>
      <c r="DI36" s="245"/>
      <c r="DJ36" s="245"/>
      <c r="DK36" s="245"/>
      <c r="DL36" s="245"/>
      <c r="DM36" s="245"/>
      <c r="DN36" s="245"/>
      <c r="DO36" s="245"/>
      <c r="DP36" s="245"/>
      <c r="DQ36" s="245"/>
      <c r="DR36" s="245"/>
      <c r="DS36" s="245"/>
      <c r="DT36" s="245"/>
      <c r="DU36" s="245"/>
      <c r="DV36" s="245"/>
      <c r="DW36" s="245"/>
      <c r="DX36" s="245"/>
      <c r="DY36" s="245"/>
      <c r="DZ36" s="245"/>
      <c r="EA36" s="245"/>
      <c r="EB36" s="245"/>
      <c r="EC36" s="245"/>
      <c r="ED36" s="245"/>
      <c r="EE36" s="245"/>
      <c r="EF36" s="245"/>
      <c r="EG36" s="245"/>
      <c r="EH36" s="245"/>
      <c r="EI36" s="245"/>
      <c r="EJ36" s="245"/>
      <c r="EK36" s="278"/>
      <c r="EL36" s="278"/>
      <c r="EM36" s="278"/>
      <c r="EN36" s="278"/>
      <c r="EO36" s="278"/>
      <c r="EP36" s="250"/>
    </row>
    <row r="37" spans="1:146" ht="15.6">
      <c r="A37" s="215">
        <v>3186</v>
      </c>
      <c r="B37" s="233">
        <v>144</v>
      </c>
      <c r="C37" s="245">
        <v>0.6</v>
      </c>
      <c r="D37" s="245"/>
      <c r="E37" s="245">
        <v>0.6</v>
      </c>
      <c r="F37" s="245">
        <v>0.6</v>
      </c>
      <c r="G37" s="245"/>
      <c r="H37" s="245"/>
      <c r="I37" s="245"/>
      <c r="J37" s="245"/>
      <c r="K37" s="245"/>
      <c r="L37" s="251"/>
      <c r="M37" s="251"/>
      <c r="N37" s="251"/>
      <c r="O37" s="251"/>
      <c r="P37" s="251"/>
      <c r="Q37" s="251"/>
      <c r="R37" s="251"/>
      <c r="S37" s="245">
        <v>1.8</v>
      </c>
      <c r="T37" s="245">
        <v>0.9</v>
      </c>
      <c r="U37" s="245"/>
      <c r="V37" s="245"/>
      <c r="W37" s="245">
        <v>1.8</v>
      </c>
      <c r="X37" s="245"/>
      <c r="Y37" s="245"/>
      <c r="Z37" s="245"/>
      <c r="AA37" s="245"/>
      <c r="AB37" s="245"/>
      <c r="AC37" s="245"/>
      <c r="AD37" s="245"/>
      <c r="AE37" s="245"/>
      <c r="AF37" s="245">
        <v>0.9</v>
      </c>
      <c r="AG37" s="245"/>
      <c r="AH37" s="245">
        <v>1.8</v>
      </c>
      <c r="AI37" s="266"/>
      <c r="AJ37" s="1"/>
      <c r="AK37" s="245"/>
      <c r="AL37" s="245"/>
      <c r="AM37" s="245"/>
      <c r="AN37" s="245">
        <v>0.9</v>
      </c>
      <c r="AO37" s="245">
        <v>0.9</v>
      </c>
      <c r="AP37" s="245">
        <v>0.9</v>
      </c>
      <c r="AQ37" s="245">
        <v>0.9</v>
      </c>
      <c r="AR37" s="245"/>
      <c r="AS37" s="245"/>
      <c r="AT37" s="245"/>
      <c r="AU37" s="273"/>
      <c r="AV37" s="245">
        <v>0.9</v>
      </c>
      <c r="AW37" s="281">
        <v>0.9</v>
      </c>
      <c r="AX37" s="245"/>
      <c r="AY37" s="245"/>
      <c r="AZ37" s="245">
        <v>0.9</v>
      </c>
      <c r="BA37" s="245"/>
      <c r="BB37" s="245"/>
      <c r="BC37" s="245"/>
      <c r="BD37" s="245">
        <v>0.9</v>
      </c>
      <c r="BE37" s="245"/>
      <c r="BF37" s="245">
        <v>0.9</v>
      </c>
      <c r="BG37" s="245"/>
      <c r="BH37" s="245"/>
      <c r="BI37" s="245">
        <v>0.9</v>
      </c>
      <c r="BJ37" s="245"/>
      <c r="BK37" s="245"/>
      <c r="BL37" s="245"/>
      <c r="BM37" s="245"/>
      <c r="BN37" s="245"/>
      <c r="BO37" s="245"/>
      <c r="BP37" s="245"/>
      <c r="BQ37" s="245"/>
      <c r="BR37" s="245"/>
      <c r="BS37" s="245"/>
      <c r="BT37" s="245"/>
      <c r="BU37" s="245"/>
      <c r="BV37" s="245"/>
      <c r="BW37" s="245"/>
      <c r="BX37" s="245"/>
      <c r="BY37" s="245"/>
      <c r="BZ37" s="245"/>
      <c r="CA37" s="245"/>
      <c r="CB37" s="245"/>
      <c r="CC37" s="245"/>
      <c r="CD37" s="245"/>
      <c r="CE37" s="245"/>
      <c r="CF37" s="245"/>
      <c r="CG37" s="245"/>
      <c r="CH37" s="245"/>
      <c r="CI37" s="245"/>
      <c r="CJ37" s="245"/>
      <c r="CK37" s="245"/>
      <c r="CL37" s="245"/>
      <c r="CM37" s="245"/>
      <c r="CN37" s="245"/>
      <c r="CO37" s="245"/>
      <c r="CP37" s="245"/>
      <c r="CQ37" s="245"/>
      <c r="CR37" s="245"/>
      <c r="CS37" s="245"/>
      <c r="CT37" s="245"/>
      <c r="CU37" s="245"/>
      <c r="CV37" s="245"/>
      <c r="CW37" s="245"/>
      <c r="CX37" s="245"/>
      <c r="CY37" s="245"/>
      <c r="CZ37" s="245"/>
      <c r="DA37" s="245"/>
      <c r="DB37" s="245"/>
      <c r="DC37" s="245"/>
      <c r="DD37" s="245"/>
      <c r="DE37" s="245"/>
      <c r="DF37" s="245"/>
      <c r="DG37" s="245"/>
      <c r="DH37" s="245"/>
      <c r="DI37" s="245"/>
      <c r="DJ37" s="245"/>
      <c r="DK37" s="245"/>
      <c r="DL37" s="245"/>
      <c r="DM37" s="245"/>
      <c r="DN37" s="245"/>
      <c r="DO37" s="245"/>
      <c r="DP37" s="245"/>
      <c r="DQ37" s="245"/>
      <c r="DR37" s="245"/>
      <c r="DS37" s="245"/>
      <c r="DT37" s="245"/>
      <c r="DU37" s="245"/>
      <c r="DV37" s="245"/>
      <c r="DW37" s="245"/>
      <c r="DX37" s="245"/>
      <c r="DY37" s="245"/>
      <c r="DZ37" s="245"/>
      <c r="EA37" s="245"/>
      <c r="EB37" s="245"/>
      <c r="EC37" s="245"/>
      <c r="ED37" s="245"/>
      <c r="EE37" s="245"/>
      <c r="EF37" s="245"/>
      <c r="EG37" s="245"/>
      <c r="EH37" s="245"/>
      <c r="EI37" s="245"/>
      <c r="EJ37" s="245"/>
      <c r="EK37" s="278"/>
      <c r="EL37" s="278"/>
      <c r="EM37" s="278"/>
      <c r="EN37" s="278"/>
      <c r="EO37" s="278"/>
      <c r="EP37" s="250"/>
    </row>
    <row r="38" spans="1:146" ht="15.6">
      <c r="A38" s="215">
        <v>3176</v>
      </c>
      <c r="B38" s="233">
        <v>200</v>
      </c>
      <c r="C38" s="245">
        <v>0.83</v>
      </c>
      <c r="D38" s="245"/>
      <c r="E38" s="245">
        <v>0.83</v>
      </c>
      <c r="F38" s="245">
        <v>0.83</v>
      </c>
      <c r="G38" s="245"/>
      <c r="H38" s="245"/>
      <c r="I38" s="245"/>
      <c r="J38" s="245"/>
      <c r="K38" s="245"/>
      <c r="L38" s="251"/>
      <c r="M38" s="251"/>
      <c r="N38" s="251"/>
      <c r="O38" s="251"/>
      <c r="P38" s="251"/>
      <c r="Q38" s="251"/>
      <c r="R38" s="251"/>
      <c r="S38" s="245">
        <v>2.04</v>
      </c>
      <c r="T38" s="245">
        <v>2.04</v>
      </c>
      <c r="U38" s="245">
        <v>2.04</v>
      </c>
      <c r="V38" s="245"/>
      <c r="W38" s="245"/>
      <c r="X38" s="245">
        <v>2.04</v>
      </c>
      <c r="Y38" s="245">
        <v>2.04</v>
      </c>
      <c r="Z38" s="245">
        <v>1.02</v>
      </c>
      <c r="AA38" s="245"/>
      <c r="AB38" s="245">
        <v>1.02</v>
      </c>
      <c r="AC38" s="245"/>
      <c r="AD38" s="245"/>
      <c r="AE38" s="245"/>
      <c r="AF38" s="245"/>
      <c r="AG38" s="245"/>
      <c r="AH38" s="245"/>
      <c r="AI38" s="245"/>
      <c r="AJ38" s="245"/>
      <c r="AK38" s="245">
        <v>1.02</v>
      </c>
      <c r="AL38" s="245"/>
      <c r="AM38" s="245"/>
      <c r="AN38" s="245"/>
      <c r="AO38" s="245">
        <v>1.02</v>
      </c>
      <c r="AP38" s="245">
        <v>1.02</v>
      </c>
      <c r="AQ38" s="245">
        <v>1.02</v>
      </c>
      <c r="AR38" s="245"/>
      <c r="AS38" s="245"/>
      <c r="AT38" s="245"/>
      <c r="AU38" s="273"/>
      <c r="AV38" s="245">
        <v>1.02</v>
      </c>
      <c r="AW38" s="281">
        <v>1.02</v>
      </c>
      <c r="AX38" s="245"/>
      <c r="AY38" s="245"/>
      <c r="AZ38" s="245">
        <v>1.02</v>
      </c>
      <c r="BA38" s="245"/>
      <c r="BB38" s="245">
        <v>1.02</v>
      </c>
      <c r="BC38" s="245"/>
      <c r="BD38" s="245"/>
      <c r="BE38" s="245"/>
      <c r="BF38" s="245"/>
      <c r="BG38" s="245">
        <v>1.02</v>
      </c>
      <c r="BH38" s="245"/>
      <c r="BI38" s="245">
        <v>1.02</v>
      </c>
      <c r="BJ38" s="245"/>
      <c r="BK38" s="245"/>
      <c r="BL38" s="245"/>
      <c r="BM38" s="245"/>
      <c r="BN38" s="245"/>
      <c r="BO38" s="245"/>
      <c r="BP38" s="245"/>
      <c r="BQ38" s="245"/>
      <c r="BR38" s="245"/>
      <c r="BS38" s="245"/>
      <c r="BT38" s="245"/>
      <c r="BU38" s="245"/>
      <c r="BV38" s="245"/>
      <c r="BW38" s="245"/>
      <c r="BX38" s="245"/>
      <c r="BY38" s="245"/>
      <c r="BZ38" s="245"/>
      <c r="CA38" s="245"/>
      <c r="CB38" s="245"/>
      <c r="CC38" s="245"/>
      <c r="CD38" s="245"/>
      <c r="CE38" s="245"/>
      <c r="CF38" s="245"/>
      <c r="CG38" s="245"/>
      <c r="CH38" s="245"/>
      <c r="CI38" s="245"/>
      <c r="CJ38" s="245"/>
      <c r="CK38" s="245"/>
      <c r="CL38" s="245"/>
      <c r="CM38" s="245"/>
      <c r="CN38" s="245"/>
      <c r="CO38" s="245"/>
      <c r="CP38" s="245"/>
      <c r="CQ38" s="245"/>
      <c r="CR38" s="245"/>
      <c r="CS38" s="245"/>
      <c r="CT38" s="245"/>
      <c r="CU38" s="245"/>
      <c r="CV38" s="245"/>
      <c r="CW38" s="245"/>
      <c r="CX38" s="245"/>
      <c r="CY38" s="245"/>
      <c r="CZ38" s="245"/>
      <c r="DA38" s="245"/>
      <c r="DB38" s="245"/>
      <c r="DC38" s="245"/>
      <c r="DD38" s="245"/>
      <c r="DE38" s="245"/>
      <c r="DF38" s="245"/>
      <c r="DG38" s="245"/>
      <c r="DH38" s="245"/>
      <c r="DI38" s="245"/>
      <c r="DJ38" s="245"/>
      <c r="DK38" s="245"/>
      <c r="DL38" s="245"/>
      <c r="DM38" s="245"/>
      <c r="DN38" s="245"/>
      <c r="DO38" s="245"/>
      <c r="DP38" s="245"/>
      <c r="DQ38" s="245"/>
      <c r="DR38" s="245"/>
      <c r="DS38" s="245"/>
      <c r="DT38" s="245"/>
      <c r="DU38" s="245"/>
      <c r="DV38" s="245"/>
      <c r="DW38" s="245"/>
      <c r="DX38" s="245"/>
      <c r="DY38" s="245"/>
      <c r="DZ38" s="245"/>
      <c r="EA38" s="245"/>
      <c r="EB38" s="245"/>
      <c r="EC38" s="245"/>
      <c r="ED38" s="245"/>
      <c r="EE38" s="245"/>
      <c r="EF38" s="245"/>
      <c r="EG38" s="245"/>
      <c r="EH38" s="245"/>
      <c r="EI38" s="245"/>
      <c r="EJ38" s="245"/>
      <c r="EK38" s="278"/>
      <c r="EL38" s="278"/>
      <c r="EM38" s="278"/>
      <c r="EN38" s="278"/>
      <c r="EO38" s="278"/>
      <c r="EP38" s="250"/>
    </row>
    <row r="39" spans="1:146" ht="15.6">
      <c r="A39" s="215">
        <v>3221</v>
      </c>
      <c r="B39" s="233">
        <v>240</v>
      </c>
      <c r="C39" s="245">
        <v>1</v>
      </c>
      <c r="D39" s="245"/>
      <c r="E39" s="245">
        <v>1</v>
      </c>
      <c r="F39" s="245">
        <v>1</v>
      </c>
      <c r="G39" s="245"/>
      <c r="H39" s="245"/>
      <c r="I39" s="245"/>
      <c r="J39" s="245"/>
      <c r="K39" s="245"/>
      <c r="L39" s="251"/>
      <c r="M39" s="251"/>
      <c r="N39" s="251"/>
      <c r="O39" s="251"/>
      <c r="P39" s="251"/>
      <c r="Q39" s="251"/>
      <c r="R39" s="251"/>
      <c r="S39" s="245">
        <v>2.4500000000000002</v>
      </c>
      <c r="T39" s="245">
        <v>1.22</v>
      </c>
      <c r="U39" s="245">
        <v>2.4500000000000002</v>
      </c>
      <c r="V39" s="245">
        <v>2.4500000000000002</v>
      </c>
      <c r="W39" s="245"/>
      <c r="X39" s="245"/>
      <c r="Y39" s="245"/>
      <c r="Z39" s="245">
        <v>1.22</v>
      </c>
      <c r="AA39" s="245"/>
      <c r="AB39" s="245"/>
      <c r="AC39" s="245"/>
      <c r="AD39" s="245">
        <v>2.4500000000000002</v>
      </c>
      <c r="AE39" s="245"/>
      <c r="AF39" s="245"/>
      <c r="AG39" s="245">
        <v>2.4500000000000002</v>
      </c>
      <c r="AH39" s="245"/>
      <c r="AI39" s="245"/>
      <c r="AJ39" s="245"/>
      <c r="AK39" s="245"/>
      <c r="AL39" s="245"/>
      <c r="AM39" s="245"/>
      <c r="AN39" s="245">
        <v>1.22</v>
      </c>
      <c r="AO39" s="245">
        <v>1.22</v>
      </c>
      <c r="AP39" s="245">
        <v>1.22</v>
      </c>
      <c r="AQ39" s="245">
        <v>1.22</v>
      </c>
      <c r="AR39" s="245"/>
      <c r="AS39" s="245"/>
      <c r="AT39" s="245"/>
      <c r="AU39" s="273"/>
      <c r="AV39" s="245">
        <v>1.22</v>
      </c>
      <c r="AW39" s="281">
        <v>1.22</v>
      </c>
      <c r="AX39" s="245"/>
      <c r="AY39" s="245">
        <v>1.22</v>
      </c>
      <c r="AZ39" s="245"/>
      <c r="BA39" s="245">
        <v>1.22</v>
      </c>
      <c r="BB39" s="245">
        <v>1.22</v>
      </c>
      <c r="BC39" s="245"/>
      <c r="BD39" s="245"/>
      <c r="BE39" s="245"/>
      <c r="BF39" s="245"/>
      <c r="BG39" s="245"/>
      <c r="BH39" s="245"/>
      <c r="BI39" s="245">
        <v>1.22</v>
      </c>
      <c r="BJ39" s="245"/>
      <c r="BK39" s="245"/>
      <c r="BL39" s="245"/>
      <c r="BM39" s="245"/>
      <c r="BN39" s="245"/>
      <c r="BO39" s="245"/>
      <c r="BP39" s="245"/>
      <c r="BQ39" s="245"/>
      <c r="BR39" s="245"/>
      <c r="BS39" s="245"/>
      <c r="BT39" s="245"/>
      <c r="BU39" s="245"/>
      <c r="BV39" s="245"/>
      <c r="BW39" s="245"/>
      <c r="BX39" s="245"/>
      <c r="BY39" s="245"/>
      <c r="BZ39" s="245"/>
      <c r="CA39" s="245"/>
      <c r="CB39" s="245"/>
      <c r="CC39" s="245"/>
      <c r="CD39" s="245"/>
      <c r="CE39" s="245"/>
      <c r="CF39" s="245"/>
      <c r="CG39" s="245"/>
      <c r="CH39" s="245"/>
      <c r="CI39" s="245"/>
      <c r="CJ39" s="245"/>
      <c r="CK39" s="245"/>
      <c r="CL39" s="245"/>
      <c r="CM39" s="245"/>
      <c r="CN39" s="245"/>
      <c r="CO39" s="245"/>
      <c r="CP39" s="245"/>
      <c r="CQ39" s="245"/>
      <c r="CR39" s="245"/>
      <c r="CS39" s="245"/>
      <c r="CT39" s="245"/>
      <c r="CU39" s="245"/>
      <c r="CV39" s="245"/>
      <c r="CW39" s="245"/>
      <c r="CX39" s="245"/>
      <c r="CY39" s="245"/>
      <c r="CZ39" s="245"/>
      <c r="DA39" s="245"/>
      <c r="DB39" s="245"/>
      <c r="DC39" s="245"/>
      <c r="DD39" s="245"/>
      <c r="DE39" s="245"/>
      <c r="DF39" s="245"/>
      <c r="DG39" s="245"/>
      <c r="DH39" s="245"/>
      <c r="DI39" s="245"/>
      <c r="DJ39" s="245"/>
      <c r="DK39" s="245"/>
      <c r="DL39" s="245"/>
      <c r="DM39" s="245"/>
      <c r="DN39" s="245"/>
      <c r="DO39" s="245"/>
      <c r="DP39" s="245"/>
      <c r="DQ39" s="245"/>
      <c r="DR39" s="245"/>
      <c r="DS39" s="245"/>
      <c r="DT39" s="245"/>
      <c r="DU39" s="245"/>
      <c r="DV39" s="245"/>
      <c r="DW39" s="245"/>
      <c r="DX39" s="245"/>
      <c r="DY39" s="245"/>
      <c r="DZ39" s="245"/>
      <c r="EA39" s="245"/>
      <c r="EB39" s="245"/>
      <c r="EC39" s="245"/>
      <c r="ED39" s="245"/>
      <c r="EE39" s="245"/>
      <c r="EF39" s="245"/>
      <c r="EG39" s="245"/>
      <c r="EH39" s="245"/>
      <c r="EI39" s="245"/>
      <c r="EJ39" s="245"/>
      <c r="EK39" s="278"/>
      <c r="EL39" s="278"/>
      <c r="EM39" s="278"/>
      <c r="EN39" s="278"/>
      <c r="EO39" s="278"/>
      <c r="EP39" s="250"/>
    </row>
    <row r="40" spans="1:146" ht="15.6">
      <c r="A40" s="215">
        <v>3160</v>
      </c>
      <c r="B40" s="233">
        <v>200</v>
      </c>
      <c r="C40" s="245">
        <v>0.83</v>
      </c>
      <c r="D40" s="245"/>
      <c r="E40" s="245">
        <v>0.83</v>
      </c>
      <c r="F40" s="245">
        <v>0.83</v>
      </c>
      <c r="G40" s="245"/>
      <c r="H40" s="245"/>
      <c r="I40" s="245"/>
      <c r="J40" s="245"/>
      <c r="K40" s="245"/>
      <c r="L40" s="251"/>
      <c r="M40" s="251"/>
      <c r="N40" s="251"/>
      <c r="O40" s="251"/>
      <c r="P40" s="251"/>
      <c r="Q40" s="251"/>
      <c r="R40" s="251"/>
      <c r="S40" s="245">
        <v>2.14</v>
      </c>
      <c r="T40" s="245"/>
      <c r="U40" s="245">
        <v>2.14</v>
      </c>
      <c r="V40" s="245"/>
      <c r="W40" s="245">
        <v>2.14</v>
      </c>
      <c r="X40" s="245">
        <v>2.14</v>
      </c>
      <c r="Y40" s="245"/>
      <c r="Z40" s="245">
        <v>1.07</v>
      </c>
      <c r="AA40" s="245"/>
      <c r="AB40" s="245">
        <v>1.07</v>
      </c>
      <c r="AC40" s="245"/>
      <c r="AD40" s="245"/>
      <c r="AE40" s="245"/>
      <c r="AF40" s="245"/>
      <c r="AG40" s="245">
        <v>2.14</v>
      </c>
      <c r="AH40" s="245"/>
      <c r="AI40" s="245"/>
      <c r="AJ40" s="245"/>
      <c r="AK40" s="245"/>
      <c r="AL40" s="245"/>
      <c r="AM40" s="245"/>
      <c r="AN40" s="245">
        <v>1.07</v>
      </c>
      <c r="AO40" s="245">
        <v>1.07</v>
      </c>
      <c r="AP40" s="245">
        <v>1.07</v>
      </c>
      <c r="AQ40" s="245">
        <v>1.07</v>
      </c>
      <c r="AR40" s="245"/>
      <c r="AS40" s="245"/>
      <c r="AT40" s="245"/>
      <c r="AU40" s="273"/>
      <c r="AV40" s="245">
        <v>1.07</v>
      </c>
      <c r="AW40" s="281">
        <v>1.07</v>
      </c>
      <c r="AX40" s="245"/>
      <c r="AY40" s="245"/>
      <c r="AZ40" s="245">
        <v>1.07</v>
      </c>
      <c r="BA40" s="245"/>
      <c r="BB40" s="245">
        <v>1.07</v>
      </c>
      <c r="BC40" s="245">
        <v>1.07</v>
      </c>
      <c r="BD40" s="245"/>
      <c r="BE40" s="245"/>
      <c r="BF40" s="245"/>
      <c r="BG40" s="245"/>
      <c r="BH40" s="245"/>
      <c r="BI40" s="245"/>
      <c r="BJ40" s="245"/>
      <c r="BK40" s="245"/>
      <c r="BL40" s="245"/>
      <c r="BM40" s="245"/>
      <c r="BN40" s="245"/>
      <c r="BO40" s="245"/>
      <c r="BP40" s="245"/>
      <c r="BQ40" s="245"/>
      <c r="BR40" s="245"/>
      <c r="BS40" s="245"/>
      <c r="BT40" s="245"/>
      <c r="BU40" s="245"/>
      <c r="BV40" s="245"/>
      <c r="BW40" s="245"/>
      <c r="BX40" s="245"/>
      <c r="BY40" s="245"/>
      <c r="BZ40" s="245"/>
      <c r="CA40" s="245"/>
      <c r="CB40" s="245"/>
      <c r="CC40" s="245"/>
      <c r="CD40" s="245"/>
      <c r="CE40" s="245"/>
      <c r="CF40" s="245"/>
      <c r="CG40" s="245"/>
      <c r="CH40" s="245"/>
      <c r="CI40" s="245"/>
      <c r="CJ40" s="245"/>
      <c r="CK40" s="245"/>
      <c r="CL40" s="245"/>
      <c r="CM40" s="245"/>
      <c r="CN40" s="245"/>
      <c r="CO40" s="245"/>
      <c r="CP40" s="245"/>
      <c r="CQ40" s="245"/>
      <c r="CR40" s="245"/>
      <c r="CS40" s="245"/>
      <c r="CT40" s="245"/>
      <c r="CU40" s="245"/>
      <c r="CV40" s="245"/>
      <c r="CW40" s="245"/>
      <c r="CX40" s="245"/>
      <c r="CY40" s="245"/>
      <c r="CZ40" s="245"/>
      <c r="DA40" s="245"/>
      <c r="DB40" s="245"/>
      <c r="DC40" s="245"/>
      <c r="DD40" s="245"/>
      <c r="DE40" s="245"/>
      <c r="DF40" s="245"/>
      <c r="DG40" s="245"/>
      <c r="DH40" s="245"/>
      <c r="DI40" s="245"/>
      <c r="DJ40" s="245"/>
      <c r="DK40" s="245"/>
      <c r="DL40" s="245"/>
      <c r="DM40" s="245"/>
      <c r="DN40" s="245"/>
      <c r="DO40" s="245"/>
      <c r="DP40" s="245"/>
      <c r="DQ40" s="245"/>
      <c r="DR40" s="245"/>
      <c r="DS40" s="245"/>
      <c r="DT40" s="245"/>
      <c r="DU40" s="245"/>
      <c r="DV40" s="245"/>
      <c r="DW40" s="245"/>
      <c r="DX40" s="245"/>
      <c r="DY40" s="245"/>
      <c r="DZ40" s="245"/>
      <c r="EA40" s="245"/>
      <c r="EB40" s="245"/>
      <c r="EC40" s="245"/>
      <c r="ED40" s="245"/>
      <c r="EE40" s="245"/>
      <c r="EF40" s="245"/>
      <c r="EG40" s="245"/>
      <c r="EH40" s="245"/>
      <c r="EI40" s="245"/>
      <c r="EJ40" s="245"/>
      <c r="EK40" s="278"/>
      <c r="EL40" s="278"/>
      <c r="EM40" s="278"/>
      <c r="EN40" s="278"/>
      <c r="EO40" s="278"/>
      <c r="EP40" s="250"/>
    </row>
    <row r="41" spans="1:146" ht="15.6">
      <c r="A41" s="215">
        <v>3210</v>
      </c>
      <c r="B41" s="233">
        <v>612</v>
      </c>
      <c r="C41" s="245">
        <v>2.5499999999999998</v>
      </c>
      <c r="D41" s="245"/>
      <c r="E41" s="245">
        <v>2.5499999999999998</v>
      </c>
      <c r="F41" s="245"/>
      <c r="G41" s="245">
        <v>2.5499999999999998</v>
      </c>
      <c r="H41" s="245"/>
      <c r="I41" s="245"/>
      <c r="J41" s="245"/>
      <c r="K41" s="245"/>
      <c r="L41" s="251"/>
      <c r="M41" s="251"/>
      <c r="N41" s="251"/>
      <c r="O41" s="251"/>
      <c r="P41" s="251"/>
      <c r="Q41" s="251"/>
      <c r="R41" s="251"/>
      <c r="S41" s="245">
        <v>7.24</v>
      </c>
      <c r="T41" s="245"/>
      <c r="U41" s="245">
        <v>7.24</v>
      </c>
      <c r="V41" s="245"/>
      <c r="W41" s="245">
        <v>7.24</v>
      </c>
      <c r="X41" s="245"/>
      <c r="Y41" s="245">
        <v>7.24</v>
      </c>
      <c r="Z41" s="245">
        <v>3.62</v>
      </c>
      <c r="AA41" s="245"/>
      <c r="AB41" s="245"/>
      <c r="AC41" s="245">
        <v>3.62</v>
      </c>
      <c r="AD41" s="245"/>
      <c r="AE41" s="245"/>
      <c r="AF41" s="245"/>
      <c r="AG41" s="245"/>
      <c r="AH41" s="245"/>
      <c r="AI41" s="245"/>
      <c r="AJ41" s="245"/>
      <c r="AK41" s="245"/>
      <c r="AL41" s="245"/>
      <c r="AM41" s="245"/>
      <c r="AN41" s="245">
        <v>3.62</v>
      </c>
      <c r="AO41" s="245">
        <v>3.62</v>
      </c>
      <c r="AP41" s="245">
        <v>3.62</v>
      </c>
      <c r="AQ41" s="245">
        <v>3.62</v>
      </c>
      <c r="AR41" s="245"/>
      <c r="AS41" s="245"/>
      <c r="AT41" s="245"/>
      <c r="AU41" s="273"/>
      <c r="AV41" s="245">
        <v>3.62</v>
      </c>
      <c r="AW41" s="281">
        <v>3.62</v>
      </c>
      <c r="AX41" s="245"/>
      <c r="AY41" s="245"/>
      <c r="AZ41" s="245">
        <v>3.62</v>
      </c>
      <c r="BA41" s="245"/>
      <c r="BB41" s="245">
        <v>3.62</v>
      </c>
      <c r="BC41" s="245"/>
      <c r="BD41" s="245"/>
      <c r="BE41" s="245"/>
      <c r="BF41" s="245"/>
      <c r="BG41" s="245"/>
      <c r="BH41" s="245"/>
      <c r="BI41" s="245">
        <v>3.62</v>
      </c>
      <c r="BJ41" s="245"/>
      <c r="BK41" s="245"/>
      <c r="BL41" s="245"/>
      <c r="BM41" s="245"/>
      <c r="BN41" s="245"/>
      <c r="BO41" s="245"/>
      <c r="BP41" s="245"/>
      <c r="BQ41" s="245"/>
      <c r="BR41" s="245"/>
      <c r="BS41" s="245"/>
      <c r="BT41" s="245"/>
      <c r="BU41" s="245"/>
      <c r="BV41" s="245"/>
      <c r="BW41" s="245"/>
      <c r="BX41" s="245"/>
      <c r="BY41" s="245"/>
      <c r="BZ41" s="245"/>
      <c r="CA41" s="245"/>
      <c r="CB41" s="245"/>
      <c r="CC41" s="245"/>
      <c r="CD41" s="245"/>
      <c r="CE41" s="245"/>
      <c r="CF41" s="245"/>
      <c r="CG41" s="245"/>
      <c r="CH41" s="245"/>
      <c r="CI41" s="245"/>
      <c r="CJ41" s="245"/>
      <c r="CK41" s="245"/>
      <c r="CL41" s="245"/>
      <c r="CM41" s="245"/>
      <c r="CN41" s="245"/>
      <c r="CO41" s="245"/>
      <c r="CP41" s="245"/>
      <c r="CQ41" s="245"/>
      <c r="CR41" s="245"/>
      <c r="CS41" s="245"/>
      <c r="CT41" s="245"/>
      <c r="CU41" s="245"/>
      <c r="CV41" s="245"/>
      <c r="CW41" s="245"/>
      <c r="CX41" s="245"/>
      <c r="CY41" s="245"/>
      <c r="CZ41" s="245"/>
      <c r="DA41" s="245"/>
      <c r="DB41" s="245"/>
      <c r="DC41" s="245"/>
      <c r="DD41" s="245"/>
      <c r="DE41" s="245"/>
      <c r="DF41" s="245"/>
      <c r="DG41" s="245"/>
      <c r="DH41" s="245"/>
      <c r="DI41" s="245"/>
      <c r="DJ41" s="245"/>
      <c r="DK41" s="245"/>
      <c r="DL41" s="245"/>
      <c r="DM41" s="245"/>
      <c r="DN41" s="245"/>
      <c r="DO41" s="245"/>
      <c r="DP41" s="245"/>
      <c r="DQ41" s="245"/>
      <c r="DR41" s="245"/>
      <c r="DS41" s="245"/>
      <c r="DT41" s="245"/>
      <c r="DU41" s="245"/>
      <c r="DV41" s="245"/>
      <c r="DW41" s="245"/>
      <c r="DX41" s="245"/>
      <c r="DY41" s="245"/>
      <c r="DZ41" s="245"/>
      <c r="EA41" s="245"/>
      <c r="EB41" s="245"/>
      <c r="EC41" s="245"/>
      <c r="ED41" s="245"/>
      <c r="EE41" s="245"/>
      <c r="EF41" s="245"/>
      <c r="EG41" s="245"/>
      <c r="EH41" s="245"/>
      <c r="EI41" s="245"/>
      <c r="EJ41" s="245"/>
      <c r="EK41" s="278"/>
      <c r="EL41" s="278"/>
      <c r="EM41" s="278"/>
      <c r="EN41" s="278"/>
      <c r="EO41" s="278"/>
      <c r="EP41" s="250"/>
    </row>
    <row r="42" spans="1:146" ht="15.6">
      <c r="A42" s="215">
        <v>3159</v>
      </c>
      <c r="B42" s="233">
        <v>156</v>
      </c>
      <c r="C42" s="245">
        <v>0.65</v>
      </c>
      <c r="D42" s="245"/>
      <c r="E42" s="245">
        <v>0.65</v>
      </c>
      <c r="F42" s="245"/>
      <c r="G42" s="245">
        <v>0.65</v>
      </c>
      <c r="H42" s="245"/>
      <c r="I42" s="245"/>
      <c r="J42" s="245"/>
      <c r="K42" s="245"/>
      <c r="L42" s="251"/>
      <c r="M42" s="251"/>
      <c r="N42" s="251"/>
      <c r="O42" s="251"/>
      <c r="P42" s="251"/>
      <c r="Q42" s="251"/>
      <c r="R42" s="251"/>
      <c r="S42" s="245">
        <v>1.84</v>
      </c>
      <c r="T42" s="245"/>
      <c r="U42" s="245">
        <v>1.84</v>
      </c>
      <c r="V42" s="245"/>
      <c r="W42" s="245">
        <v>1.84</v>
      </c>
      <c r="X42" s="245"/>
      <c r="Y42" s="245">
        <v>1.84</v>
      </c>
      <c r="Z42" s="245"/>
      <c r="AA42" s="245"/>
      <c r="AB42" s="245">
        <v>0.92</v>
      </c>
      <c r="AC42" s="245">
        <v>0.92</v>
      </c>
      <c r="AD42" s="245"/>
      <c r="AE42" s="245"/>
      <c r="AF42" s="245"/>
      <c r="AG42" s="245"/>
      <c r="AH42" s="245"/>
      <c r="AI42" s="245"/>
      <c r="AJ42" s="245"/>
      <c r="AK42" s="245"/>
      <c r="AL42" s="245"/>
      <c r="AM42" s="245"/>
      <c r="AN42" s="245">
        <v>0.92</v>
      </c>
      <c r="AO42" s="245">
        <v>0.92</v>
      </c>
      <c r="AP42" s="245">
        <v>0.92</v>
      </c>
      <c r="AQ42" s="245">
        <v>0.92</v>
      </c>
      <c r="AR42" s="245"/>
      <c r="AS42" s="245"/>
      <c r="AT42" s="245"/>
      <c r="AU42" s="273"/>
      <c r="AV42" s="245">
        <v>0.92</v>
      </c>
      <c r="AW42" s="281">
        <v>0.92</v>
      </c>
      <c r="AX42" s="245"/>
      <c r="AY42" s="245"/>
      <c r="AZ42" s="245">
        <v>0.92</v>
      </c>
      <c r="BA42" s="245"/>
      <c r="BB42" s="245">
        <v>0.92</v>
      </c>
      <c r="BC42" s="245"/>
      <c r="BD42" s="245"/>
      <c r="BE42" s="245"/>
      <c r="BF42" s="245"/>
      <c r="BG42" s="245"/>
      <c r="BH42" s="245"/>
      <c r="BI42" s="245">
        <v>0.92</v>
      </c>
      <c r="BJ42" s="245"/>
      <c r="BK42" s="245"/>
      <c r="BL42" s="245"/>
      <c r="BM42" s="245"/>
      <c r="BN42" s="245"/>
      <c r="BO42" s="245"/>
      <c r="BP42" s="245"/>
      <c r="BQ42" s="245"/>
      <c r="BR42" s="245"/>
      <c r="BS42" s="245"/>
      <c r="BT42" s="245"/>
      <c r="BU42" s="245"/>
      <c r="BV42" s="245"/>
      <c r="BW42" s="245"/>
      <c r="BX42" s="245"/>
      <c r="BY42" s="245"/>
      <c r="BZ42" s="245"/>
      <c r="CA42" s="245"/>
      <c r="CB42" s="245"/>
      <c r="CC42" s="245"/>
      <c r="CD42" s="245"/>
      <c r="CE42" s="245"/>
      <c r="CF42" s="245"/>
      <c r="CG42" s="245"/>
      <c r="CH42" s="245"/>
      <c r="CI42" s="245"/>
      <c r="CJ42" s="245"/>
      <c r="CK42" s="245"/>
      <c r="CL42" s="245"/>
      <c r="CM42" s="245"/>
      <c r="CN42" s="245"/>
      <c r="CO42" s="245"/>
      <c r="CP42" s="245"/>
      <c r="CQ42" s="245"/>
      <c r="CR42" s="245"/>
      <c r="CS42" s="245"/>
      <c r="CT42" s="245"/>
      <c r="CU42" s="245"/>
      <c r="CV42" s="245"/>
      <c r="CW42" s="245"/>
      <c r="CX42" s="245"/>
      <c r="CY42" s="245"/>
      <c r="CZ42" s="245"/>
      <c r="DA42" s="245"/>
      <c r="DB42" s="245"/>
      <c r="DC42" s="245"/>
      <c r="DD42" s="245"/>
      <c r="DE42" s="245"/>
      <c r="DF42" s="245"/>
      <c r="DG42" s="245"/>
      <c r="DH42" s="245"/>
      <c r="DI42" s="245"/>
      <c r="DJ42" s="245"/>
      <c r="DK42" s="245"/>
      <c r="DL42" s="245"/>
      <c r="DM42" s="245"/>
      <c r="DN42" s="245"/>
      <c r="DO42" s="245"/>
      <c r="DP42" s="245"/>
      <c r="DQ42" s="245"/>
      <c r="DR42" s="245"/>
      <c r="DS42" s="245"/>
      <c r="DT42" s="245"/>
      <c r="DU42" s="245"/>
      <c r="DV42" s="245"/>
      <c r="DW42" s="245"/>
      <c r="DX42" s="245"/>
      <c r="DY42" s="245"/>
      <c r="DZ42" s="245"/>
      <c r="EA42" s="245"/>
      <c r="EB42" s="245"/>
      <c r="EC42" s="245"/>
      <c r="ED42" s="245"/>
      <c r="EE42" s="245"/>
      <c r="EF42" s="245"/>
      <c r="EG42" s="245"/>
      <c r="EH42" s="245"/>
      <c r="EI42" s="245"/>
      <c r="EJ42" s="245"/>
      <c r="EK42" s="278"/>
      <c r="EL42" s="278"/>
      <c r="EM42" s="278"/>
      <c r="EN42" s="278"/>
      <c r="EO42" s="278"/>
      <c r="EP42" s="250"/>
    </row>
    <row r="43" spans="1:146" ht="15.6">
      <c r="A43" s="215">
        <v>3137</v>
      </c>
      <c r="B43" s="233">
        <v>116</v>
      </c>
      <c r="C43" s="245">
        <v>0.48</v>
      </c>
      <c r="D43" s="245"/>
      <c r="E43" s="245">
        <v>0.48</v>
      </c>
      <c r="F43" s="245"/>
      <c r="G43" s="245">
        <v>0.48</v>
      </c>
      <c r="H43" s="245"/>
      <c r="I43" s="245"/>
      <c r="J43" s="245"/>
      <c r="K43" s="245"/>
      <c r="L43" s="251"/>
      <c r="M43" s="251"/>
      <c r="N43" s="251"/>
      <c r="O43" s="251"/>
      <c r="P43" s="251"/>
      <c r="Q43" s="251"/>
      <c r="R43" s="251"/>
      <c r="S43" s="245">
        <v>1.3</v>
      </c>
      <c r="T43" s="245"/>
      <c r="U43" s="245">
        <v>1.3</v>
      </c>
      <c r="V43" s="245"/>
      <c r="W43" s="245"/>
      <c r="X43" s="245">
        <v>1.3</v>
      </c>
      <c r="Y43" s="245"/>
      <c r="Z43" s="245"/>
      <c r="AA43" s="245">
        <v>1.3</v>
      </c>
      <c r="AB43" s="245">
        <v>0.65</v>
      </c>
      <c r="AC43" s="245">
        <v>0.65</v>
      </c>
      <c r="AD43" s="245"/>
      <c r="AE43" s="245"/>
      <c r="AF43" s="245"/>
      <c r="AG43" s="245"/>
      <c r="AH43" s="245"/>
      <c r="AI43" s="245"/>
      <c r="AJ43" s="245"/>
      <c r="AK43" s="245"/>
      <c r="AL43" s="245"/>
      <c r="AM43" s="245">
        <v>0.65</v>
      </c>
      <c r="AN43" s="245"/>
      <c r="AO43" s="245">
        <v>0.65</v>
      </c>
      <c r="AP43" s="245">
        <v>0.65</v>
      </c>
      <c r="AQ43" s="245">
        <v>0.65</v>
      </c>
      <c r="AR43" s="245"/>
      <c r="AS43" s="245"/>
      <c r="AT43" s="245"/>
      <c r="AU43" s="273"/>
      <c r="AV43" s="245">
        <v>0.65</v>
      </c>
      <c r="AW43" s="281">
        <v>0.65</v>
      </c>
      <c r="AX43" s="245"/>
      <c r="AY43" s="245"/>
      <c r="AZ43" s="245">
        <v>0.65</v>
      </c>
      <c r="BA43" s="245"/>
      <c r="BB43" s="245">
        <v>0.65</v>
      </c>
      <c r="BC43" s="245"/>
      <c r="BD43" s="245"/>
      <c r="BE43" s="245"/>
      <c r="BF43" s="245">
        <v>0.65</v>
      </c>
      <c r="BG43" s="245"/>
      <c r="BH43" s="245"/>
      <c r="BI43" s="245">
        <v>0.65</v>
      </c>
      <c r="BJ43" s="245"/>
      <c r="BK43" s="245"/>
      <c r="BL43" s="245"/>
      <c r="BM43" s="245"/>
      <c r="BN43" s="245"/>
      <c r="BO43" s="245"/>
      <c r="BP43" s="245"/>
      <c r="BQ43" s="245"/>
      <c r="BR43" s="245"/>
      <c r="BS43" s="245"/>
      <c r="BT43" s="245"/>
      <c r="BU43" s="245"/>
      <c r="BV43" s="245"/>
      <c r="BW43" s="245"/>
      <c r="BX43" s="245"/>
      <c r="BY43" s="245"/>
      <c r="BZ43" s="245"/>
      <c r="CA43" s="245"/>
      <c r="CB43" s="245"/>
      <c r="CC43" s="245"/>
      <c r="CD43" s="245"/>
      <c r="CE43" s="245"/>
      <c r="CF43" s="245"/>
      <c r="CG43" s="245"/>
      <c r="CH43" s="245"/>
      <c r="CI43" s="245"/>
      <c r="CJ43" s="245"/>
      <c r="CK43" s="245"/>
      <c r="CL43" s="245"/>
      <c r="CM43" s="245"/>
      <c r="CN43" s="245"/>
      <c r="CO43" s="245"/>
      <c r="CP43" s="245"/>
      <c r="CQ43" s="245"/>
      <c r="CR43" s="245"/>
      <c r="CS43" s="245"/>
      <c r="CT43" s="245"/>
      <c r="CU43" s="245"/>
      <c r="CV43" s="245"/>
      <c r="CW43" s="245"/>
      <c r="CX43" s="245"/>
      <c r="CY43" s="245"/>
      <c r="CZ43" s="245"/>
      <c r="DA43" s="245"/>
      <c r="DB43" s="245"/>
      <c r="DC43" s="245"/>
      <c r="DD43" s="245"/>
      <c r="DE43" s="245"/>
      <c r="DF43" s="245"/>
      <c r="DG43" s="245"/>
      <c r="DH43" s="245"/>
      <c r="DI43" s="245"/>
      <c r="DJ43" s="245"/>
      <c r="DK43" s="245"/>
      <c r="DL43" s="245"/>
      <c r="DM43" s="245"/>
      <c r="DN43" s="245"/>
      <c r="DO43" s="245"/>
      <c r="DP43" s="245"/>
      <c r="DQ43" s="245"/>
      <c r="DR43" s="245"/>
      <c r="DS43" s="245"/>
      <c r="DT43" s="245"/>
      <c r="DU43" s="245"/>
      <c r="DV43" s="245"/>
      <c r="DW43" s="245"/>
      <c r="DX43" s="245"/>
      <c r="DY43" s="245"/>
      <c r="DZ43" s="245"/>
      <c r="EA43" s="245"/>
      <c r="EB43" s="245"/>
      <c r="EC43" s="245"/>
      <c r="ED43" s="245"/>
      <c r="EE43" s="245"/>
      <c r="EF43" s="245"/>
      <c r="EG43" s="245"/>
      <c r="EH43" s="245"/>
      <c r="EI43" s="245"/>
      <c r="EJ43" s="245"/>
      <c r="EK43" s="278"/>
      <c r="EL43" s="278"/>
      <c r="EM43" s="278"/>
      <c r="EN43" s="278"/>
      <c r="EO43" s="278"/>
      <c r="EP43" s="250"/>
    </row>
    <row r="44" spans="1:146" ht="15.6">
      <c r="A44" s="215">
        <v>3183</v>
      </c>
      <c r="B44" s="233">
        <v>160</v>
      </c>
      <c r="C44" s="245">
        <v>0.66</v>
      </c>
      <c r="D44" s="245"/>
      <c r="E44" s="245">
        <v>0.66</v>
      </c>
      <c r="F44" s="245"/>
      <c r="G44" s="245">
        <v>0.66</v>
      </c>
      <c r="H44" s="245"/>
      <c r="I44" s="245"/>
      <c r="J44" s="245"/>
      <c r="K44" s="245"/>
      <c r="L44" s="251"/>
      <c r="M44" s="251"/>
      <c r="N44" s="251"/>
      <c r="O44" s="251"/>
      <c r="P44" s="251"/>
      <c r="Q44" s="251"/>
      <c r="R44" s="251"/>
      <c r="S44" s="245">
        <v>1.8</v>
      </c>
      <c r="T44" s="245"/>
      <c r="U44" s="245"/>
      <c r="V44" s="245">
        <v>1.8</v>
      </c>
      <c r="W44" s="245">
        <v>1.8</v>
      </c>
      <c r="X44" s="245"/>
      <c r="Y44" s="245">
        <v>1.8</v>
      </c>
      <c r="Z44" s="245">
        <v>0.9</v>
      </c>
      <c r="AA44" s="245"/>
      <c r="AB44" s="245"/>
      <c r="AC44" s="245"/>
      <c r="AD44" s="245"/>
      <c r="AE44" s="245"/>
      <c r="AF44" s="245"/>
      <c r="AG44" s="245">
        <v>0.9</v>
      </c>
      <c r="AH44" s="245"/>
      <c r="AI44" s="266"/>
      <c r="AJ44" s="1"/>
      <c r="AK44" s="245"/>
      <c r="AL44" s="245"/>
      <c r="AM44" s="245"/>
      <c r="AN44" s="245">
        <v>0.9</v>
      </c>
      <c r="AO44" s="245">
        <v>0.9</v>
      </c>
      <c r="AP44" s="245">
        <v>0.9</v>
      </c>
      <c r="AQ44" s="245">
        <v>0.9</v>
      </c>
      <c r="AR44" s="245"/>
      <c r="AS44" s="245"/>
      <c r="AT44" s="245"/>
      <c r="AU44" s="273"/>
      <c r="AV44" s="245">
        <v>0.9</v>
      </c>
      <c r="AW44" s="281">
        <v>0.9</v>
      </c>
      <c r="AX44" s="245"/>
      <c r="AY44" s="245">
        <v>0.9</v>
      </c>
      <c r="AZ44" s="245">
        <v>0.9</v>
      </c>
      <c r="BA44" s="245"/>
      <c r="BB44" s="245"/>
      <c r="BC44" s="245"/>
      <c r="BD44" s="245">
        <v>0.9</v>
      </c>
      <c r="BE44" s="245"/>
      <c r="BF44" s="245"/>
      <c r="BG44" s="245"/>
      <c r="BH44" s="245"/>
      <c r="BI44" s="245">
        <v>0.9</v>
      </c>
      <c r="BJ44" s="245"/>
      <c r="BK44" s="245"/>
      <c r="BL44" s="245"/>
      <c r="BM44" s="245"/>
      <c r="BN44" s="245"/>
      <c r="BO44" s="245"/>
      <c r="BP44" s="245"/>
      <c r="BQ44" s="245"/>
      <c r="BR44" s="245"/>
      <c r="BS44" s="245"/>
      <c r="BT44" s="245"/>
      <c r="BU44" s="245"/>
      <c r="BV44" s="245"/>
      <c r="BW44" s="245"/>
      <c r="BX44" s="245"/>
      <c r="BY44" s="245"/>
      <c r="BZ44" s="245"/>
      <c r="CA44" s="245"/>
      <c r="CB44" s="245"/>
      <c r="CC44" s="245"/>
      <c r="CD44" s="245"/>
      <c r="CE44" s="245"/>
      <c r="CF44" s="245"/>
      <c r="CG44" s="245"/>
      <c r="CH44" s="245"/>
      <c r="CI44" s="245"/>
      <c r="CJ44" s="245"/>
      <c r="CK44" s="245"/>
      <c r="CL44" s="245"/>
      <c r="CM44" s="245"/>
      <c r="CN44" s="245"/>
      <c r="CO44" s="245"/>
      <c r="CP44" s="245"/>
      <c r="CQ44" s="245"/>
      <c r="CR44" s="245"/>
      <c r="CS44" s="245"/>
      <c r="CT44" s="245"/>
      <c r="CU44" s="245"/>
      <c r="CV44" s="245"/>
      <c r="CW44" s="245"/>
      <c r="CX44" s="245"/>
      <c r="CY44" s="245"/>
      <c r="CZ44" s="245"/>
      <c r="DA44" s="245"/>
      <c r="DB44" s="245"/>
      <c r="DC44" s="245"/>
      <c r="DD44" s="245"/>
      <c r="DE44" s="245"/>
      <c r="DF44" s="245"/>
      <c r="DG44" s="245"/>
      <c r="DH44" s="245"/>
      <c r="DI44" s="245"/>
      <c r="DJ44" s="245"/>
      <c r="DK44" s="245"/>
      <c r="DL44" s="245"/>
      <c r="DM44" s="245"/>
      <c r="DN44" s="245"/>
      <c r="DO44" s="245"/>
      <c r="DP44" s="245"/>
      <c r="DQ44" s="245"/>
      <c r="DR44" s="245"/>
      <c r="DS44" s="245"/>
      <c r="DT44" s="245"/>
      <c r="DU44" s="245"/>
      <c r="DV44" s="245"/>
      <c r="DW44" s="245"/>
      <c r="DX44" s="245"/>
      <c r="DY44" s="245"/>
      <c r="DZ44" s="245"/>
      <c r="EA44" s="245"/>
      <c r="EB44" s="245"/>
      <c r="EC44" s="245"/>
      <c r="ED44" s="245"/>
      <c r="EE44" s="245"/>
      <c r="EF44" s="245"/>
      <c r="EG44" s="245"/>
      <c r="EH44" s="245"/>
      <c r="EI44" s="245"/>
      <c r="EJ44" s="245"/>
      <c r="EK44" s="278"/>
      <c r="EL44" s="278"/>
      <c r="EM44" s="278"/>
      <c r="EN44" s="278"/>
      <c r="EO44" s="278"/>
      <c r="EP44" s="250"/>
    </row>
    <row r="45" spans="1:146" ht="15.6">
      <c r="A45" s="215">
        <v>2003</v>
      </c>
      <c r="B45" s="233">
        <v>80</v>
      </c>
      <c r="C45" s="245"/>
      <c r="D45" s="245">
        <v>0.33</v>
      </c>
      <c r="E45" s="245"/>
      <c r="F45" s="245"/>
      <c r="G45" s="245"/>
      <c r="H45" s="245">
        <v>0.33</v>
      </c>
      <c r="I45" s="245"/>
      <c r="J45" s="245"/>
      <c r="K45" s="245"/>
      <c r="L45" s="246">
        <v>0.33</v>
      </c>
      <c r="M45" s="251"/>
      <c r="N45" s="246">
        <v>0.33</v>
      </c>
      <c r="O45" s="246">
        <v>0.33</v>
      </c>
      <c r="P45" s="246">
        <v>0.33</v>
      </c>
      <c r="Q45" s="246">
        <v>0.33</v>
      </c>
      <c r="R45" s="246">
        <v>0.33</v>
      </c>
      <c r="S45" s="245">
        <v>0.33</v>
      </c>
      <c r="T45" s="245">
        <v>0.33</v>
      </c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  <c r="AH45" s="245"/>
      <c r="AI45" s="266"/>
      <c r="AJ45" s="1"/>
      <c r="AK45" s="245"/>
      <c r="AL45" s="245">
        <v>0.33</v>
      </c>
      <c r="AM45" s="245"/>
      <c r="AN45" s="245"/>
      <c r="AO45" s="245">
        <v>0.33</v>
      </c>
      <c r="AP45" s="245"/>
      <c r="AQ45" s="245">
        <v>0.33</v>
      </c>
      <c r="AR45" s="245">
        <v>0.33</v>
      </c>
      <c r="AS45" s="245"/>
      <c r="AT45" s="245">
        <v>0.33</v>
      </c>
      <c r="AU45" s="273"/>
      <c r="AV45" s="245">
        <v>0.33</v>
      </c>
      <c r="AW45" s="281">
        <v>0.33</v>
      </c>
      <c r="AX45" s="245"/>
      <c r="AY45" s="245"/>
      <c r="AZ45" s="245">
        <v>0.33</v>
      </c>
      <c r="BA45" s="245"/>
      <c r="BB45" s="245">
        <v>0.33</v>
      </c>
      <c r="BC45" s="245"/>
      <c r="BD45" s="245"/>
      <c r="BE45" s="245"/>
      <c r="BF45" s="245"/>
      <c r="BG45" s="245"/>
      <c r="BH45" s="245"/>
      <c r="BI45" s="245">
        <v>0.33</v>
      </c>
      <c r="BJ45" s="245"/>
      <c r="BK45" s="245"/>
      <c r="BL45" s="245"/>
      <c r="BM45" s="245"/>
      <c r="BN45" s="245"/>
      <c r="BO45" s="245"/>
      <c r="BP45" s="245"/>
      <c r="BQ45" s="245"/>
      <c r="BR45" s="245"/>
      <c r="BS45" s="245"/>
      <c r="BT45" s="245"/>
      <c r="BU45" s="245"/>
      <c r="BV45" s="245"/>
      <c r="BW45" s="245"/>
      <c r="BX45" s="245"/>
      <c r="BY45" s="245"/>
      <c r="BZ45" s="245"/>
      <c r="CA45" s="245"/>
      <c r="CB45" s="245"/>
      <c r="CC45" s="245"/>
      <c r="CD45" s="245"/>
      <c r="CE45" s="245"/>
      <c r="CF45" s="245"/>
      <c r="CG45" s="245"/>
      <c r="CH45" s="245"/>
      <c r="CI45" s="245"/>
      <c r="CJ45" s="245"/>
      <c r="CK45" s="245"/>
      <c r="CL45" s="245"/>
      <c r="CM45" s="245"/>
      <c r="CN45" s="245"/>
      <c r="CO45" s="245"/>
      <c r="CP45" s="245"/>
      <c r="CQ45" s="245"/>
      <c r="CR45" s="245"/>
      <c r="CS45" s="245"/>
      <c r="CT45" s="245"/>
      <c r="CU45" s="245"/>
      <c r="CV45" s="245"/>
      <c r="CW45" s="245"/>
      <c r="CX45" s="245"/>
      <c r="CY45" s="245"/>
      <c r="CZ45" s="245"/>
      <c r="DA45" s="245"/>
      <c r="DB45" s="245"/>
      <c r="DC45" s="245"/>
      <c r="DD45" s="245"/>
      <c r="DE45" s="245"/>
      <c r="DF45" s="245"/>
      <c r="DG45" s="245"/>
      <c r="DH45" s="245"/>
      <c r="DI45" s="245"/>
      <c r="DJ45" s="245"/>
      <c r="DK45" s="245"/>
      <c r="DL45" s="245"/>
      <c r="DM45" s="245"/>
      <c r="DN45" s="245"/>
      <c r="DO45" s="245"/>
      <c r="DP45" s="245"/>
      <c r="DQ45" s="245"/>
      <c r="DR45" s="245"/>
      <c r="DS45" s="245"/>
      <c r="DT45" s="245"/>
      <c r="DU45" s="245"/>
      <c r="DV45" s="245"/>
      <c r="DW45" s="245"/>
      <c r="DX45" s="245"/>
      <c r="DY45" s="245"/>
      <c r="DZ45" s="245"/>
      <c r="EA45" s="245"/>
      <c r="EB45" s="245"/>
      <c r="EC45" s="245"/>
      <c r="ED45" s="245"/>
      <c r="EE45" s="245"/>
      <c r="EF45" s="245"/>
      <c r="EG45" s="245"/>
      <c r="EH45" s="245"/>
      <c r="EI45" s="245"/>
      <c r="EJ45" s="245"/>
      <c r="EK45" s="278"/>
      <c r="EL45" s="278">
        <v>0.66</v>
      </c>
      <c r="EM45" s="278">
        <v>0.66</v>
      </c>
      <c r="EN45" s="278">
        <v>0.66</v>
      </c>
      <c r="EO45" s="278">
        <v>0.66</v>
      </c>
      <c r="EP45" s="278">
        <v>0.66</v>
      </c>
    </row>
    <row r="46" spans="1:146" ht="15.6">
      <c r="A46" s="215">
        <v>3387</v>
      </c>
      <c r="B46" s="233">
        <v>1144</v>
      </c>
      <c r="C46" s="246">
        <v>5.0999999999999996</v>
      </c>
      <c r="D46" s="246"/>
      <c r="E46" s="246"/>
      <c r="F46" s="246"/>
      <c r="G46" s="246"/>
      <c r="H46" s="246"/>
      <c r="I46" s="246">
        <v>5.0999999999999996</v>
      </c>
      <c r="J46" s="246"/>
      <c r="K46" s="246"/>
      <c r="L46" s="251"/>
      <c r="M46" s="251"/>
      <c r="N46" s="251"/>
      <c r="O46" s="251"/>
      <c r="P46" s="251"/>
      <c r="Q46" s="251"/>
      <c r="R46" s="251"/>
      <c r="S46" s="246"/>
      <c r="T46" s="246"/>
      <c r="U46" s="246"/>
      <c r="V46" s="246"/>
      <c r="W46" s="246"/>
      <c r="X46" s="246"/>
      <c r="Y46" s="246"/>
      <c r="Z46" s="246"/>
      <c r="AA46" s="246"/>
      <c r="AB46" s="246"/>
      <c r="AC46" s="246"/>
      <c r="AD46" s="246"/>
      <c r="AE46" s="246"/>
      <c r="AF46" s="246"/>
      <c r="AG46" s="246"/>
      <c r="AH46" s="246"/>
      <c r="AI46" s="246"/>
      <c r="AJ46" s="246"/>
      <c r="AK46" s="246"/>
      <c r="AL46" s="246"/>
      <c r="AM46" s="246"/>
      <c r="AN46" s="246">
        <v>5.0999999999999996</v>
      </c>
      <c r="AO46" s="246">
        <v>5.0999999999999996</v>
      </c>
      <c r="AP46" s="246">
        <v>5.0999999999999996</v>
      </c>
      <c r="AQ46" s="246">
        <v>5.0999999999999996</v>
      </c>
      <c r="AR46" s="246"/>
      <c r="AS46" s="246"/>
      <c r="AT46" s="246"/>
      <c r="AU46" s="273"/>
      <c r="AV46" s="246">
        <v>5.0999999999999996</v>
      </c>
      <c r="AW46" s="281">
        <v>5.0999999999999996</v>
      </c>
      <c r="AX46" s="245"/>
      <c r="AY46" s="246">
        <v>5.0999999999999996</v>
      </c>
      <c r="AZ46" s="246"/>
      <c r="BA46" s="246">
        <v>5.0999999999999996</v>
      </c>
      <c r="BB46" s="246">
        <v>5.0999999999999996</v>
      </c>
      <c r="BC46" s="246"/>
      <c r="BD46" s="246"/>
      <c r="BE46" s="246"/>
      <c r="BF46" s="246"/>
      <c r="BG46" s="246"/>
      <c r="BH46" s="246"/>
      <c r="BI46" s="246">
        <v>5.0999999999999996</v>
      </c>
      <c r="BJ46" s="246"/>
      <c r="BK46" s="246"/>
      <c r="BL46" s="246"/>
      <c r="BM46" s="246"/>
      <c r="BN46" s="246"/>
      <c r="BO46" s="246"/>
      <c r="BP46" s="246"/>
      <c r="BQ46" s="246"/>
      <c r="BR46" s="246"/>
      <c r="BS46" s="246"/>
      <c r="BT46" s="246"/>
      <c r="BU46" s="246"/>
      <c r="BV46" s="246">
        <v>5.0999999999999996</v>
      </c>
      <c r="BW46" s="246">
        <v>5.0999999999999996</v>
      </c>
      <c r="BX46" s="246"/>
      <c r="BY46" s="246"/>
      <c r="BZ46" s="246"/>
      <c r="CA46" s="246"/>
      <c r="CB46" s="246"/>
      <c r="CC46" s="246"/>
      <c r="CD46" s="246"/>
      <c r="CE46" s="246"/>
      <c r="CF46" s="246"/>
      <c r="CG46" s="246"/>
      <c r="CH46" s="246"/>
      <c r="CI46" s="246"/>
      <c r="CJ46" s="246"/>
      <c r="CK46" s="246"/>
      <c r="CL46" s="246"/>
      <c r="CM46" s="246"/>
      <c r="CN46" s="246"/>
      <c r="CO46" s="246"/>
      <c r="CP46" s="246"/>
      <c r="CQ46" s="246"/>
      <c r="CR46" s="246"/>
      <c r="CS46" s="246"/>
      <c r="CT46" s="246"/>
      <c r="CU46" s="246"/>
      <c r="CV46" s="246"/>
      <c r="CW46" s="246"/>
      <c r="CX46" s="246"/>
      <c r="CY46" s="246"/>
      <c r="CZ46" s="246"/>
      <c r="DA46" s="246"/>
      <c r="DB46" s="246">
        <v>10.210000000000001</v>
      </c>
      <c r="DC46" s="246">
        <v>10.210000000000001</v>
      </c>
      <c r="DD46" s="246">
        <v>10.210000000000001</v>
      </c>
      <c r="DE46" s="246">
        <v>10.210000000000001</v>
      </c>
      <c r="DF46" s="246">
        <v>10.210000000000001</v>
      </c>
      <c r="DG46" s="246">
        <v>10.210000000000001</v>
      </c>
      <c r="DH46" s="246">
        <v>10.210000000000001</v>
      </c>
      <c r="DI46" s="246"/>
      <c r="DJ46" s="246"/>
      <c r="DK46" s="246"/>
      <c r="DL46" s="246"/>
      <c r="DM46" s="246"/>
      <c r="DN46" s="246"/>
      <c r="DO46" s="246"/>
      <c r="DP46" s="246"/>
      <c r="DQ46" s="246"/>
      <c r="DR46" s="246"/>
      <c r="DS46" s="246"/>
      <c r="DT46" s="246"/>
      <c r="DU46" s="246"/>
      <c r="DV46" s="246"/>
      <c r="DW46" s="246"/>
      <c r="DX46" s="246"/>
      <c r="DY46" s="246"/>
      <c r="DZ46" s="246"/>
      <c r="EA46" s="246"/>
      <c r="EB46" s="246"/>
      <c r="EC46" s="246"/>
      <c r="ED46" s="246"/>
      <c r="EE46" s="246"/>
      <c r="EF46" s="246"/>
      <c r="EG46" s="246"/>
      <c r="EH46" s="246"/>
      <c r="EI46" s="246"/>
      <c r="EJ46" s="246"/>
      <c r="EK46" s="296"/>
      <c r="EL46" s="296"/>
      <c r="EM46" s="296"/>
      <c r="EN46" s="296"/>
      <c r="EO46" s="296"/>
      <c r="EP46" s="250"/>
    </row>
    <row r="47" spans="1:146" ht="15.6">
      <c r="A47" s="215">
        <v>2000</v>
      </c>
      <c r="B47" s="233">
        <v>1240</v>
      </c>
      <c r="C47" s="245"/>
      <c r="D47" s="245"/>
      <c r="E47" s="245"/>
      <c r="F47" s="245"/>
      <c r="G47" s="245">
        <v>4.07</v>
      </c>
      <c r="H47" s="245"/>
      <c r="I47" s="245"/>
      <c r="J47" s="245"/>
      <c r="K47" s="245">
        <v>4.07</v>
      </c>
      <c r="L47" s="245">
        <v>4.07</v>
      </c>
      <c r="M47" s="251"/>
      <c r="N47" s="245">
        <v>4.07</v>
      </c>
      <c r="O47" s="245"/>
      <c r="P47" s="245"/>
      <c r="Q47" s="245"/>
      <c r="R47" s="245"/>
      <c r="S47" s="245">
        <v>4.07</v>
      </c>
      <c r="T47" s="245"/>
      <c r="U47" s="245"/>
      <c r="V47" s="245">
        <v>4.07</v>
      </c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45">
        <v>4.07</v>
      </c>
      <c r="AH47" s="245"/>
      <c r="AI47" s="245">
        <v>4.07</v>
      </c>
      <c r="AJ47" s="245"/>
      <c r="AK47" s="245"/>
      <c r="AL47" s="245">
        <v>4.07</v>
      </c>
      <c r="AM47" s="245"/>
      <c r="AN47" s="245"/>
      <c r="AO47" s="245">
        <v>4.07</v>
      </c>
      <c r="AP47" s="245"/>
      <c r="AQ47" s="245">
        <v>4.07</v>
      </c>
      <c r="AR47" s="245">
        <v>4.07</v>
      </c>
      <c r="AS47" s="245"/>
      <c r="AT47" s="245">
        <v>4.07</v>
      </c>
      <c r="AU47" s="273">
        <v>4.07</v>
      </c>
      <c r="AV47" s="245">
        <v>4.07</v>
      </c>
      <c r="AW47" s="281">
        <v>4.07</v>
      </c>
      <c r="AX47" s="245">
        <v>4.07</v>
      </c>
      <c r="AY47" s="245"/>
      <c r="AZ47" s="245">
        <v>4.07</v>
      </c>
      <c r="BA47" s="245"/>
      <c r="BB47" s="245">
        <v>4.07</v>
      </c>
      <c r="BC47" s="245"/>
      <c r="BD47" s="245"/>
      <c r="BE47" s="245">
        <v>4.07</v>
      </c>
      <c r="BF47" s="245">
        <v>4.07</v>
      </c>
      <c r="BG47" s="245">
        <v>4.07</v>
      </c>
      <c r="BH47" s="245"/>
      <c r="BI47" s="245">
        <v>4.07</v>
      </c>
      <c r="BJ47" s="245">
        <v>4.07</v>
      </c>
      <c r="BK47" s="245"/>
      <c r="BL47" s="245"/>
      <c r="BM47" s="245"/>
      <c r="BN47" s="245"/>
      <c r="BO47" s="245"/>
      <c r="BP47" s="245"/>
      <c r="BQ47" s="245"/>
      <c r="BR47" s="245"/>
      <c r="BS47" s="245"/>
      <c r="BT47" s="245"/>
      <c r="BU47" s="245"/>
      <c r="BV47" s="245"/>
      <c r="BW47" s="245"/>
      <c r="BX47" s="245"/>
      <c r="BY47" s="245"/>
      <c r="BZ47" s="245"/>
      <c r="CA47" s="245"/>
      <c r="CB47" s="245"/>
      <c r="CC47" s="245"/>
      <c r="CD47" s="245"/>
      <c r="CE47" s="245"/>
      <c r="CF47" s="245"/>
      <c r="CG47" s="245"/>
      <c r="CH47" s="245"/>
      <c r="CI47" s="245"/>
      <c r="CJ47" s="245"/>
      <c r="CK47" s="245"/>
      <c r="CL47" s="245"/>
      <c r="CM47" s="245"/>
      <c r="CN47" s="245"/>
      <c r="CO47" s="245"/>
      <c r="CP47" s="245"/>
      <c r="CQ47" s="245"/>
      <c r="CR47" s="245"/>
      <c r="CS47" s="245"/>
      <c r="CT47" s="245"/>
      <c r="CU47" s="245"/>
      <c r="CV47" s="245"/>
      <c r="CW47" s="245"/>
      <c r="CX47" s="245"/>
      <c r="CY47" s="245"/>
      <c r="CZ47" s="245"/>
      <c r="DA47" s="245"/>
      <c r="DB47" s="245"/>
      <c r="DC47" s="245"/>
      <c r="DD47" s="245"/>
      <c r="DE47" s="245"/>
      <c r="DF47" s="245"/>
      <c r="DG47" s="245"/>
      <c r="DH47" s="245"/>
      <c r="DI47" s="245"/>
      <c r="DJ47" s="245"/>
      <c r="DK47" s="245"/>
      <c r="DL47" s="245"/>
      <c r="DM47" s="245"/>
      <c r="DN47" s="245"/>
      <c r="DO47" s="245"/>
      <c r="DP47" s="245"/>
      <c r="DQ47" s="251"/>
      <c r="DR47" s="251"/>
      <c r="DS47" s="251"/>
      <c r="DT47" s="251"/>
      <c r="DU47" s="251"/>
      <c r="DV47" s="251"/>
      <c r="DW47" s="251"/>
      <c r="DX47" s="245"/>
      <c r="DY47" s="245"/>
      <c r="DZ47" s="245"/>
      <c r="EA47" s="245"/>
      <c r="EB47" s="245"/>
      <c r="EC47" s="245"/>
      <c r="ED47" s="245"/>
      <c r="EE47" s="245">
        <v>8.15</v>
      </c>
      <c r="EF47" s="245">
        <v>8.15</v>
      </c>
      <c r="EG47" s="245">
        <v>8.15</v>
      </c>
      <c r="EH47" s="245">
        <v>8.15</v>
      </c>
      <c r="EI47" s="245">
        <v>8.15</v>
      </c>
      <c r="EJ47" s="245">
        <v>8.15</v>
      </c>
      <c r="EK47" s="278">
        <v>8.15</v>
      </c>
      <c r="EL47" s="278"/>
      <c r="EM47" s="278"/>
      <c r="EN47" s="278"/>
      <c r="EO47" s="278"/>
      <c r="EP47" s="250"/>
    </row>
    <row r="48" spans="1:146" ht="15.6">
      <c r="A48" s="215">
        <v>2057</v>
      </c>
      <c r="B48" s="233">
        <v>2083.2000000000003</v>
      </c>
      <c r="C48" s="245"/>
      <c r="D48" s="245"/>
      <c r="E48" s="245"/>
      <c r="F48" s="245"/>
      <c r="G48" s="245"/>
      <c r="H48" s="245"/>
      <c r="I48" s="245"/>
      <c r="J48" s="245"/>
      <c r="K48" s="245"/>
      <c r="L48" s="251"/>
      <c r="M48" s="251"/>
      <c r="N48" s="251"/>
      <c r="O48" s="251"/>
      <c r="P48" s="251"/>
      <c r="Q48" s="251"/>
      <c r="R48" s="251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45"/>
      <c r="AH48" s="245"/>
      <c r="AI48" s="245"/>
      <c r="AJ48" s="245"/>
      <c r="AK48" s="245"/>
      <c r="AL48" s="245"/>
      <c r="AM48" s="245">
        <v>10.01</v>
      </c>
      <c r="AN48" s="245"/>
      <c r="AO48" s="245">
        <v>10.01</v>
      </c>
      <c r="AP48" s="245">
        <v>10.01</v>
      </c>
      <c r="AQ48" s="245">
        <v>10.01</v>
      </c>
      <c r="AR48" s="245"/>
      <c r="AS48" s="245"/>
      <c r="AT48" s="245">
        <v>10.01</v>
      </c>
      <c r="AU48" s="273"/>
      <c r="AV48" s="245">
        <v>10.01</v>
      </c>
      <c r="AW48" s="281">
        <v>10.01</v>
      </c>
      <c r="AX48" s="245">
        <v>10.01</v>
      </c>
      <c r="AY48" s="245">
        <v>10.01</v>
      </c>
      <c r="AZ48" s="245">
        <v>10.01</v>
      </c>
      <c r="BA48" s="245"/>
      <c r="BB48" s="245">
        <v>10.01</v>
      </c>
      <c r="BC48" s="245"/>
      <c r="BD48" s="245"/>
      <c r="BE48" s="245"/>
      <c r="BF48" s="245">
        <v>10.01</v>
      </c>
      <c r="BG48" s="245">
        <v>10.01</v>
      </c>
      <c r="BH48" s="245">
        <v>10.01</v>
      </c>
      <c r="BI48" s="245">
        <v>10.01</v>
      </c>
      <c r="BJ48" s="245">
        <v>10.01</v>
      </c>
      <c r="BK48" s="245"/>
      <c r="BL48" s="245"/>
      <c r="BM48" s="245"/>
      <c r="BN48" s="245"/>
      <c r="BO48" s="245"/>
      <c r="BP48" s="245"/>
      <c r="BQ48" s="245"/>
      <c r="BR48" s="245"/>
      <c r="BS48" s="245"/>
      <c r="BT48" s="245"/>
      <c r="BU48" s="245"/>
      <c r="BV48" s="245"/>
      <c r="BW48" s="245"/>
      <c r="BX48" s="245"/>
      <c r="BY48" s="245"/>
      <c r="BZ48" s="245"/>
      <c r="CA48" s="245"/>
      <c r="CB48" s="245"/>
      <c r="CC48" s="245"/>
      <c r="CD48" s="245"/>
      <c r="CE48" s="245"/>
      <c r="CF48" s="245"/>
      <c r="CG48" s="245"/>
      <c r="CH48" s="245"/>
      <c r="CI48" s="245"/>
      <c r="CJ48" s="245"/>
      <c r="CK48" s="245"/>
      <c r="CL48" s="245"/>
      <c r="CM48" s="245"/>
      <c r="CN48" s="245"/>
      <c r="CO48" s="245"/>
      <c r="CP48" s="245"/>
      <c r="CQ48" s="245"/>
      <c r="CR48" s="245"/>
      <c r="CS48" s="245"/>
      <c r="CT48" s="245"/>
      <c r="CU48" s="245"/>
      <c r="CV48" s="245"/>
      <c r="CW48" s="245"/>
      <c r="CX48" s="245"/>
      <c r="CY48" s="245"/>
      <c r="CZ48" s="245"/>
      <c r="DA48" s="245"/>
      <c r="DB48" s="245"/>
      <c r="DC48" s="245"/>
      <c r="DD48" s="245"/>
      <c r="DE48" s="245"/>
      <c r="DF48" s="245"/>
      <c r="DG48" s="245"/>
      <c r="DH48" s="245"/>
      <c r="DI48" s="245">
        <v>20.03</v>
      </c>
      <c r="DJ48" s="245">
        <v>20.03</v>
      </c>
      <c r="DK48" s="245"/>
      <c r="DL48" s="245"/>
      <c r="DM48" s="245"/>
      <c r="DN48" s="245"/>
      <c r="DO48" s="245"/>
      <c r="DP48" s="245"/>
      <c r="DQ48" s="245">
        <v>20.03</v>
      </c>
      <c r="DR48" s="245"/>
      <c r="DS48" s="245"/>
      <c r="DT48" s="245">
        <v>20.03</v>
      </c>
      <c r="DU48" s="245"/>
      <c r="DV48" s="245"/>
      <c r="DW48" s="245">
        <v>20.03</v>
      </c>
      <c r="DX48" s="245"/>
      <c r="DY48" s="245"/>
      <c r="DZ48" s="245"/>
      <c r="EA48" s="245"/>
      <c r="EB48" s="245"/>
      <c r="EC48" s="245"/>
      <c r="ED48" s="245"/>
      <c r="EE48" s="245"/>
      <c r="EF48" s="245"/>
      <c r="EG48" s="245"/>
      <c r="EH48" s="245"/>
      <c r="EI48" s="245"/>
      <c r="EJ48" s="245"/>
      <c r="EK48" s="278"/>
      <c r="EL48" s="278"/>
      <c r="EM48" s="278"/>
      <c r="EN48" s="278"/>
      <c r="EO48" s="278"/>
      <c r="EP48" s="250"/>
    </row>
    <row r="49" spans="1:146" ht="15.6">
      <c r="A49" s="215">
        <v>2012</v>
      </c>
      <c r="B49" s="233">
        <v>357.20000000000005</v>
      </c>
      <c r="C49" s="245"/>
      <c r="D49" s="245"/>
      <c r="E49" s="245"/>
      <c r="F49" s="245"/>
      <c r="G49" s="245"/>
      <c r="H49" s="245"/>
      <c r="I49" s="245"/>
      <c r="J49" s="245"/>
      <c r="K49" s="245"/>
      <c r="L49" s="251"/>
      <c r="M49" s="251"/>
      <c r="N49" s="251"/>
      <c r="O49" s="251"/>
      <c r="P49" s="251"/>
      <c r="Q49" s="251"/>
      <c r="R49" s="251"/>
      <c r="S49" s="245"/>
      <c r="T49" s="245"/>
      <c r="U49" s="245"/>
      <c r="V49" s="245"/>
      <c r="W49" s="245"/>
      <c r="X49" s="245"/>
      <c r="Y49" s="245"/>
      <c r="Z49" s="245"/>
      <c r="AA49" s="245"/>
      <c r="AB49" s="245"/>
      <c r="AC49" s="245"/>
      <c r="AD49" s="245"/>
      <c r="AE49" s="245"/>
      <c r="AF49" s="245"/>
      <c r="AG49" s="245"/>
      <c r="AH49" s="245"/>
      <c r="AI49" s="245"/>
      <c r="AJ49" s="245"/>
      <c r="AK49" s="245"/>
      <c r="AL49" s="245"/>
      <c r="AM49" s="245">
        <v>1.94</v>
      </c>
      <c r="AN49" s="245"/>
      <c r="AO49" s="245">
        <v>1.94</v>
      </c>
      <c r="AP49" s="245">
        <v>1.94</v>
      </c>
      <c r="AQ49" s="245">
        <v>1.94</v>
      </c>
      <c r="AR49" s="245"/>
      <c r="AS49" s="245"/>
      <c r="AT49" s="245">
        <v>1.94</v>
      </c>
      <c r="AU49" s="273"/>
      <c r="AV49" s="245">
        <v>1.94</v>
      </c>
      <c r="AW49" s="281">
        <v>1.94</v>
      </c>
      <c r="AX49" s="245">
        <v>1.94</v>
      </c>
      <c r="AY49" s="245">
        <v>1.94</v>
      </c>
      <c r="AZ49" s="245">
        <v>1.94</v>
      </c>
      <c r="BA49" s="245"/>
      <c r="BB49" s="245">
        <v>1.94</v>
      </c>
      <c r="BC49" s="245"/>
      <c r="BD49" s="245"/>
      <c r="BE49" s="245"/>
      <c r="BF49" s="245">
        <v>1.94</v>
      </c>
      <c r="BG49" s="245">
        <v>1.94</v>
      </c>
      <c r="BH49" s="245">
        <v>1.94</v>
      </c>
      <c r="BI49" s="245">
        <v>1.94</v>
      </c>
      <c r="BJ49" s="245"/>
      <c r="BK49" s="245"/>
      <c r="BL49" s="245"/>
      <c r="BM49" s="245"/>
      <c r="BN49" s="245"/>
      <c r="BO49" s="245"/>
      <c r="BP49" s="245"/>
      <c r="BQ49" s="245"/>
      <c r="BR49" s="245"/>
      <c r="BS49" s="245"/>
      <c r="BT49" s="245"/>
      <c r="BU49" s="245"/>
      <c r="BV49" s="245"/>
      <c r="BW49" s="245"/>
      <c r="BX49" s="245"/>
      <c r="BY49" s="245"/>
      <c r="BZ49" s="245"/>
      <c r="CA49" s="245"/>
      <c r="CB49" s="245"/>
      <c r="CC49" s="245"/>
      <c r="CD49" s="245"/>
      <c r="CE49" s="245"/>
      <c r="CF49" s="245"/>
      <c r="CG49" s="245"/>
      <c r="CH49" s="245"/>
      <c r="CI49" s="245"/>
      <c r="CJ49" s="245"/>
      <c r="CK49" s="245"/>
      <c r="CL49" s="245"/>
      <c r="CM49" s="245"/>
      <c r="CN49" s="245"/>
      <c r="CO49" s="245"/>
      <c r="CP49" s="245"/>
      <c r="CQ49" s="245"/>
      <c r="CR49" s="245"/>
      <c r="CS49" s="245"/>
      <c r="CT49" s="245"/>
      <c r="CU49" s="245"/>
      <c r="CV49" s="245"/>
      <c r="CW49" s="245"/>
      <c r="CX49" s="245"/>
      <c r="CY49" s="245"/>
      <c r="CZ49" s="245"/>
      <c r="DA49" s="245"/>
      <c r="DB49" s="245"/>
      <c r="DC49" s="245"/>
      <c r="DD49" s="245"/>
      <c r="DE49" s="245"/>
      <c r="DF49" s="245"/>
      <c r="DG49" s="245"/>
      <c r="DH49" s="245"/>
      <c r="DI49" s="245">
        <v>3.88</v>
      </c>
      <c r="DJ49" s="245">
        <v>3.88</v>
      </c>
      <c r="DK49" s="245"/>
      <c r="DL49" s="245"/>
      <c r="DM49" s="245"/>
      <c r="DN49" s="245"/>
      <c r="DO49" s="245"/>
      <c r="DP49" s="245"/>
      <c r="DQ49" s="245"/>
      <c r="DR49" s="245"/>
      <c r="DS49" s="245"/>
      <c r="DT49" s="245"/>
      <c r="DU49" s="245"/>
      <c r="DV49" s="245">
        <v>3.88</v>
      </c>
      <c r="DW49" s="245">
        <v>3.88</v>
      </c>
      <c r="DX49" s="245"/>
      <c r="DY49" s="245"/>
      <c r="DZ49" s="245"/>
      <c r="EA49" s="245"/>
      <c r="EB49" s="245"/>
      <c r="EC49" s="245"/>
      <c r="ED49" s="245"/>
      <c r="EE49" s="245"/>
      <c r="EF49" s="245"/>
      <c r="EG49" s="245"/>
      <c r="EH49" s="245"/>
      <c r="EI49" s="245"/>
      <c r="EJ49" s="245"/>
      <c r="EK49" s="278"/>
      <c r="EL49" s="278"/>
      <c r="EM49" s="278"/>
      <c r="EN49" s="278"/>
      <c r="EO49" s="278"/>
      <c r="EP49" s="250"/>
    </row>
    <row r="50" spans="1:146" ht="15.6">
      <c r="A50" s="215">
        <v>2076</v>
      </c>
      <c r="B50" s="233">
        <v>391.20000000000005</v>
      </c>
      <c r="C50" s="245"/>
      <c r="D50" s="245"/>
      <c r="E50" s="245"/>
      <c r="F50" s="245"/>
      <c r="G50" s="245">
        <v>1.81</v>
      </c>
      <c r="H50" s="245"/>
      <c r="I50" s="245"/>
      <c r="J50" s="245"/>
      <c r="K50" s="245"/>
      <c r="L50" s="245">
        <v>1.81</v>
      </c>
      <c r="M50" s="245">
        <v>1.81</v>
      </c>
      <c r="N50" s="245"/>
      <c r="O50" s="245"/>
      <c r="P50" s="245"/>
      <c r="Q50" s="245"/>
      <c r="R50" s="245"/>
      <c r="S50" s="245">
        <v>1.81</v>
      </c>
      <c r="T50" s="245">
        <v>1.81</v>
      </c>
      <c r="U50" s="245"/>
      <c r="V50" s="245">
        <v>1.81</v>
      </c>
      <c r="W50" s="245"/>
      <c r="X50" s="245"/>
      <c r="Y50" s="245"/>
      <c r="Z50" s="245"/>
      <c r="AA50" s="245"/>
      <c r="AB50" s="245"/>
      <c r="AC50" s="245">
        <v>1.81</v>
      </c>
      <c r="AD50" s="245"/>
      <c r="AE50" s="245"/>
      <c r="AF50" s="245"/>
      <c r="AG50" s="245"/>
      <c r="AH50" s="245"/>
      <c r="AI50" s="245"/>
      <c r="AJ50" s="245"/>
      <c r="AK50" s="245"/>
      <c r="AL50" s="245"/>
      <c r="AM50" s="245">
        <v>1.81</v>
      </c>
      <c r="AN50" s="245"/>
      <c r="AO50" s="245">
        <v>1.81</v>
      </c>
      <c r="AP50" s="245">
        <v>1.81</v>
      </c>
      <c r="AQ50" s="245">
        <v>1.81</v>
      </c>
      <c r="AR50" s="245"/>
      <c r="AS50" s="245"/>
      <c r="AT50" s="245"/>
      <c r="AU50" s="273"/>
      <c r="AV50" s="245">
        <v>1.81</v>
      </c>
      <c r="AW50" s="281">
        <v>1.81</v>
      </c>
      <c r="AX50" s="245"/>
      <c r="AY50" s="245"/>
      <c r="AZ50" s="245">
        <v>1.81</v>
      </c>
      <c r="BA50" s="245"/>
      <c r="BB50" s="245">
        <v>1.81</v>
      </c>
      <c r="BC50" s="245">
        <v>1.81</v>
      </c>
      <c r="BD50" s="245"/>
      <c r="BE50" s="245"/>
      <c r="BF50" s="245"/>
      <c r="BG50" s="245"/>
      <c r="BH50" s="245"/>
      <c r="BI50" s="245">
        <v>1.81</v>
      </c>
      <c r="BJ50" s="245"/>
      <c r="BK50" s="245"/>
      <c r="BL50" s="245"/>
      <c r="BM50" s="245"/>
      <c r="BN50" s="245"/>
      <c r="BO50" s="245"/>
      <c r="BP50" s="245"/>
      <c r="BQ50" s="245"/>
      <c r="BR50" s="245"/>
      <c r="BS50" s="245"/>
      <c r="BT50" s="245"/>
      <c r="BU50" s="245"/>
      <c r="BV50" s="245"/>
      <c r="BW50" s="245"/>
      <c r="BX50" s="245"/>
      <c r="BY50" s="245"/>
      <c r="BZ50" s="245"/>
      <c r="CA50" s="245"/>
      <c r="CB50" s="245"/>
      <c r="CC50" s="245"/>
      <c r="CD50" s="245"/>
      <c r="CE50" s="245"/>
      <c r="CF50" s="245"/>
      <c r="CG50" s="245"/>
      <c r="CH50" s="245"/>
      <c r="CI50" s="245"/>
      <c r="CJ50" s="245"/>
      <c r="CK50" s="245"/>
      <c r="CL50" s="245"/>
      <c r="CM50" s="245"/>
      <c r="CN50" s="245"/>
      <c r="CO50" s="245"/>
      <c r="CP50" s="245"/>
      <c r="CQ50" s="245"/>
      <c r="CR50" s="245"/>
      <c r="CS50" s="245"/>
      <c r="CT50" s="245"/>
      <c r="CU50" s="245"/>
      <c r="CV50" s="245"/>
      <c r="CW50" s="245"/>
      <c r="CX50" s="245"/>
      <c r="CY50" s="245"/>
      <c r="CZ50" s="245"/>
      <c r="DA50" s="245"/>
      <c r="DB50" s="245"/>
      <c r="DC50" s="245"/>
      <c r="DD50" s="245"/>
      <c r="DE50" s="245"/>
      <c r="DF50" s="245"/>
      <c r="DG50" s="245"/>
      <c r="DH50" s="245"/>
      <c r="DI50" s="245">
        <v>3.62</v>
      </c>
      <c r="DJ50" s="245">
        <v>3.62</v>
      </c>
      <c r="DK50" s="245"/>
      <c r="DL50" s="245"/>
      <c r="DM50" s="245"/>
      <c r="DN50" s="245"/>
      <c r="DO50" s="245"/>
      <c r="DP50" s="245"/>
      <c r="DQ50" s="245"/>
      <c r="DR50" s="245">
        <v>3.62</v>
      </c>
      <c r="DS50" s="245"/>
      <c r="DT50" s="245"/>
      <c r="DU50" s="245">
        <v>3.62</v>
      </c>
      <c r="DV50" s="245">
        <v>3.62</v>
      </c>
      <c r="DW50" s="245"/>
      <c r="DX50" s="245"/>
      <c r="DY50" s="245"/>
      <c r="DZ50" s="245"/>
      <c r="EA50" s="245"/>
      <c r="EB50" s="245"/>
      <c r="EC50" s="245"/>
      <c r="ED50" s="245"/>
      <c r="EE50" s="245"/>
      <c r="EF50" s="245"/>
      <c r="EG50" s="245"/>
      <c r="EH50" s="245"/>
      <c r="EI50" s="245"/>
      <c r="EJ50" s="245"/>
      <c r="EK50" s="278"/>
      <c r="EL50" s="278"/>
      <c r="EM50" s="278"/>
      <c r="EN50" s="278"/>
      <c r="EO50" s="278"/>
      <c r="EP50" s="250"/>
    </row>
    <row r="51" spans="1:146" ht="15.6">
      <c r="A51" s="215">
        <v>2103</v>
      </c>
      <c r="B51" s="233">
        <v>762.80000000000007</v>
      </c>
      <c r="C51" s="245"/>
      <c r="D51" s="245"/>
      <c r="E51" s="245"/>
      <c r="F51" s="245"/>
      <c r="G51" s="245">
        <v>3.07</v>
      </c>
      <c r="H51" s="245"/>
      <c r="I51" s="245"/>
      <c r="J51" s="245"/>
      <c r="K51" s="245"/>
      <c r="L51" s="245">
        <v>3.07</v>
      </c>
      <c r="M51" s="245">
        <v>3.07</v>
      </c>
      <c r="N51" s="245"/>
      <c r="O51" s="245"/>
      <c r="P51" s="245"/>
      <c r="Q51" s="245"/>
      <c r="R51" s="245"/>
      <c r="S51" s="245"/>
      <c r="T51" s="245">
        <v>3.07</v>
      </c>
      <c r="U51" s="245">
        <v>3.07</v>
      </c>
      <c r="V51" s="245"/>
      <c r="W51" s="245"/>
      <c r="X51" s="245"/>
      <c r="Y51" s="245"/>
      <c r="Z51" s="245"/>
      <c r="AA51" s="245"/>
      <c r="AB51" s="245"/>
      <c r="AC51" s="245">
        <v>3.07</v>
      </c>
      <c r="AD51" s="245"/>
      <c r="AE51" s="245"/>
      <c r="AF51" s="245"/>
      <c r="AG51" s="245">
        <v>3.07</v>
      </c>
      <c r="AH51" s="245"/>
      <c r="AI51" s="245"/>
      <c r="AJ51" s="245">
        <v>3.07</v>
      </c>
      <c r="AK51" s="245"/>
      <c r="AL51" s="245"/>
      <c r="AM51" s="245"/>
      <c r="AN51" s="245">
        <v>3.07</v>
      </c>
      <c r="AO51" s="245">
        <v>3.07</v>
      </c>
      <c r="AP51" s="245">
        <v>3.07</v>
      </c>
      <c r="AQ51" s="245">
        <v>3.07</v>
      </c>
      <c r="AR51" s="245"/>
      <c r="AS51" s="245"/>
      <c r="AT51" s="245"/>
      <c r="AU51" s="274"/>
      <c r="AV51" s="245">
        <v>3.07</v>
      </c>
      <c r="AW51" s="245">
        <v>3.07</v>
      </c>
      <c r="AX51" s="245">
        <v>3.07</v>
      </c>
      <c r="AY51" s="245">
        <v>3.07</v>
      </c>
      <c r="AZ51" s="245">
        <v>3.07</v>
      </c>
      <c r="BA51" s="245"/>
      <c r="BB51" s="245">
        <v>3.07</v>
      </c>
      <c r="BC51" s="245"/>
      <c r="BD51" s="245"/>
      <c r="BE51" s="245"/>
      <c r="BF51" s="245"/>
      <c r="BG51" s="245"/>
      <c r="BH51" s="245"/>
      <c r="BI51" s="245">
        <v>3.07</v>
      </c>
      <c r="BJ51" s="245"/>
      <c r="BK51" s="245"/>
      <c r="BL51" s="245"/>
      <c r="BM51" s="245"/>
      <c r="BN51" s="245"/>
      <c r="BO51" s="245"/>
      <c r="BP51" s="245"/>
      <c r="BQ51" s="245"/>
      <c r="BR51" s="245"/>
      <c r="BS51" s="245"/>
      <c r="BT51" s="245"/>
      <c r="BU51" s="245"/>
      <c r="BV51" s="245"/>
      <c r="BW51" s="245"/>
      <c r="BX51" s="245"/>
      <c r="BY51" s="245"/>
      <c r="BZ51" s="245"/>
      <c r="CA51" s="245"/>
      <c r="CB51" s="245"/>
      <c r="CC51" s="245"/>
      <c r="CD51" s="245"/>
      <c r="CE51" s="245"/>
      <c r="CF51" s="245"/>
      <c r="CG51" s="245"/>
      <c r="CH51" s="245"/>
      <c r="CI51" s="245"/>
      <c r="CJ51" s="245"/>
      <c r="CK51" s="245"/>
      <c r="CL51" s="245"/>
      <c r="CM51" s="245"/>
      <c r="CN51" s="245"/>
      <c r="CO51" s="245"/>
      <c r="CP51" s="245"/>
      <c r="CQ51" s="245"/>
      <c r="CR51" s="245"/>
      <c r="CS51" s="245"/>
      <c r="CT51" s="245"/>
      <c r="CU51" s="245"/>
      <c r="CV51" s="245"/>
      <c r="CW51" s="245"/>
      <c r="CX51" s="245"/>
      <c r="CY51" s="245"/>
      <c r="CZ51" s="245"/>
      <c r="DA51" s="245"/>
      <c r="DB51" s="245"/>
      <c r="DC51" s="245"/>
      <c r="DD51" s="245"/>
      <c r="DE51" s="245"/>
      <c r="DF51" s="245"/>
      <c r="DG51" s="245"/>
      <c r="DH51" s="245"/>
      <c r="DI51" s="245">
        <v>6.15</v>
      </c>
      <c r="DJ51" s="245">
        <v>6.15</v>
      </c>
      <c r="DK51" s="245"/>
      <c r="DL51" s="245"/>
      <c r="DM51" s="245"/>
      <c r="DN51" s="245"/>
      <c r="DO51" s="245"/>
      <c r="DP51" s="245"/>
      <c r="DQ51" s="245">
        <v>6.15</v>
      </c>
      <c r="DR51" s="245">
        <v>6.15</v>
      </c>
      <c r="DS51" s="245">
        <v>6.15</v>
      </c>
      <c r="DT51" s="245">
        <v>6.15</v>
      </c>
      <c r="DU51" s="245"/>
      <c r="DV51" s="245"/>
      <c r="DW51" s="245"/>
      <c r="DX51" s="245"/>
      <c r="DY51" s="245"/>
      <c r="DZ51" s="245"/>
      <c r="EA51" s="245"/>
      <c r="EB51" s="245"/>
      <c r="EC51" s="245"/>
      <c r="ED51" s="245"/>
      <c r="EE51" s="245"/>
      <c r="EF51" s="245"/>
      <c r="EG51" s="245"/>
      <c r="EH51" s="245"/>
      <c r="EI51" s="245"/>
      <c r="EJ51" s="245"/>
      <c r="EK51" s="278"/>
      <c r="EL51" s="278"/>
      <c r="EM51" s="278"/>
      <c r="EN51" s="278"/>
      <c r="EO51" s="278"/>
      <c r="EP51" s="250"/>
    </row>
    <row r="52" spans="1:146" ht="15.6">
      <c r="A52" s="215">
        <v>3377</v>
      </c>
      <c r="B52" s="233">
        <v>1280</v>
      </c>
      <c r="C52" s="245">
        <v>5.33</v>
      </c>
      <c r="D52" s="245"/>
      <c r="E52" s="245">
        <v>5.33</v>
      </c>
      <c r="F52" s="245">
        <v>5.33</v>
      </c>
      <c r="G52" s="245"/>
      <c r="H52" s="245"/>
      <c r="I52" s="245"/>
      <c r="J52" s="245"/>
      <c r="K52" s="245"/>
      <c r="L52" s="251"/>
      <c r="M52" s="251"/>
      <c r="N52" s="251"/>
      <c r="O52" s="251"/>
      <c r="P52" s="251"/>
      <c r="Q52" s="251"/>
      <c r="R52" s="251"/>
      <c r="S52" s="245">
        <v>5.33</v>
      </c>
      <c r="T52" s="245"/>
      <c r="U52" s="245">
        <v>5.33</v>
      </c>
      <c r="V52" s="245">
        <v>5.33</v>
      </c>
      <c r="W52" s="245"/>
      <c r="X52" s="245"/>
      <c r="Y52" s="245"/>
      <c r="Z52" s="245"/>
      <c r="AA52" s="245"/>
      <c r="AB52" s="245">
        <v>5.33</v>
      </c>
      <c r="AC52" s="245"/>
      <c r="AD52" s="245"/>
      <c r="AE52" s="245">
        <v>5.33</v>
      </c>
      <c r="AF52" s="245"/>
      <c r="AG52" s="245"/>
      <c r="AH52" s="245"/>
      <c r="AI52" s="245"/>
      <c r="AJ52" s="245"/>
      <c r="AK52" s="245"/>
      <c r="AL52" s="245"/>
      <c r="AM52" s="245"/>
      <c r="AN52" s="245">
        <v>5.33</v>
      </c>
      <c r="AO52" s="245">
        <v>5.33</v>
      </c>
      <c r="AP52" s="245">
        <v>5.33</v>
      </c>
      <c r="AQ52" s="245">
        <v>5.33</v>
      </c>
      <c r="AR52" s="245"/>
      <c r="AS52" s="245"/>
      <c r="AT52" s="245"/>
      <c r="AU52" s="273"/>
      <c r="AV52" s="245">
        <v>5.33</v>
      </c>
      <c r="AW52" s="281">
        <v>5.33</v>
      </c>
      <c r="AX52" s="245"/>
      <c r="AY52" s="245">
        <v>5.33</v>
      </c>
      <c r="AZ52" s="245">
        <v>5.33</v>
      </c>
      <c r="BA52" s="245"/>
      <c r="BB52" s="245">
        <v>5.33</v>
      </c>
      <c r="BC52" s="245"/>
      <c r="BD52" s="245"/>
      <c r="BE52" s="245"/>
      <c r="BF52" s="245"/>
      <c r="BG52" s="245"/>
      <c r="BH52" s="245"/>
      <c r="BI52" s="245">
        <v>5.33</v>
      </c>
      <c r="BJ52" s="245"/>
      <c r="BK52" s="245"/>
      <c r="BL52" s="245"/>
      <c r="BM52" s="245"/>
      <c r="BN52" s="245"/>
      <c r="BO52" s="245"/>
      <c r="BP52" s="245"/>
      <c r="BQ52" s="245"/>
      <c r="BR52" s="245"/>
      <c r="BS52" s="245"/>
      <c r="BT52" s="245"/>
      <c r="BU52" s="245"/>
      <c r="BV52" s="245"/>
      <c r="BW52" s="245"/>
      <c r="BX52" s="245"/>
      <c r="BY52" s="245"/>
      <c r="BZ52" s="245"/>
      <c r="CA52" s="245"/>
      <c r="CB52" s="245"/>
      <c r="CC52" s="245"/>
      <c r="CD52" s="245"/>
      <c r="CE52" s="245"/>
      <c r="CF52" s="245"/>
      <c r="CG52" s="245"/>
      <c r="CH52" s="245"/>
      <c r="CI52" s="245"/>
      <c r="CJ52" s="245"/>
      <c r="CK52" s="245"/>
      <c r="CL52" s="245"/>
      <c r="CM52" s="245"/>
      <c r="CN52" s="245"/>
      <c r="CO52" s="245"/>
      <c r="CP52" s="245"/>
      <c r="CQ52" s="245"/>
      <c r="CR52" s="245"/>
      <c r="CS52" s="245"/>
      <c r="CT52" s="245"/>
      <c r="CU52" s="245"/>
      <c r="CV52" s="245"/>
      <c r="CW52" s="245"/>
      <c r="CX52" s="245"/>
      <c r="CY52" s="245"/>
      <c r="CZ52" s="245"/>
      <c r="DA52" s="245"/>
      <c r="DB52" s="245"/>
      <c r="DC52" s="245"/>
      <c r="DD52" s="245"/>
      <c r="DE52" s="245"/>
      <c r="DF52" s="245"/>
      <c r="DG52" s="245"/>
      <c r="DH52" s="245"/>
      <c r="DI52" s="245">
        <v>10.66</v>
      </c>
      <c r="DJ52" s="245">
        <v>10.66</v>
      </c>
      <c r="DK52" s="245">
        <v>10.66</v>
      </c>
      <c r="DL52" s="245">
        <v>10.66</v>
      </c>
      <c r="DM52" s="245">
        <v>10.66</v>
      </c>
      <c r="DN52" s="245">
        <v>10.66</v>
      </c>
      <c r="DO52" s="245"/>
      <c r="DP52" s="245"/>
      <c r="DQ52" s="245"/>
      <c r="DR52" s="245"/>
      <c r="DS52" s="245"/>
      <c r="DT52" s="245"/>
      <c r="DU52" s="245"/>
      <c r="DV52" s="245"/>
      <c r="DW52" s="245"/>
      <c r="DX52" s="245"/>
      <c r="DY52" s="245"/>
      <c r="DZ52" s="245"/>
      <c r="EA52" s="245"/>
      <c r="EB52" s="245"/>
      <c r="EC52" s="245"/>
      <c r="ED52" s="245"/>
      <c r="EE52" s="245"/>
      <c r="EF52" s="245"/>
      <c r="EG52" s="245"/>
      <c r="EH52" s="245"/>
      <c r="EI52" s="245"/>
      <c r="EJ52" s="245"/>
      <c r="EK52" s="278"/>
      <c r="EL52" s="278"/>
      <c r="EM52" s="278"/>
      <c r="EN52" s="278"/>
      <c r="EO52" s="278"/>
      <c r="EP52" s="250"/>
    </row>
    <row r="53" spans="1:146" ht="15.6">
      <c r="A53" s="215">
        <v>3319</v>
      </c>
      <c r="B53" s="233">
        <v>234</v>
      </c>
      <c r="C53" s="245">
        <v>0.97</v>
      </c>
      <c r="D53" s="245"/>
      <c r="E53" s="245">
        <v>0.97</v>
      </c>
      <c r="F53" s="245">
        <v>0.97</v>
      </c>
      <c r="G53" s="245"/>
      <c r="H53" s="245"/>
      <c r="I53" s="245"/>
      <c r="J53" s="245"/>
      <c r="K53" s="245"/>
      <c r="L53" s="251"/>
      <c r="M53" s="251"/>
      <c r="N53" s="251"/>
      <c r="O53" s="251"/>
      <c r="P53" s="251"/>
      <c r="Q53" s="251"/>
      <c r="R53" s="251"/>
      <c r="S53" s="245">
        <v>1.25</v>
      </c>
      <c r="T53" s="245">
        <v>1.25</v>
      </c>
      <c r="U53" s="245">
        <v>1.25</v>
      </c>
      <c r="V53" s="245">
        <v>1.25</v>
      </c>
      <c r="W53" s="245"/>
      <c r="X53" s="245"/>
      <c r="Y53" s="245"/>
      <c r="Z53" s="245"/>
      <c r="AA53" s="245"/>
      <c r="AB53" s="245">
        <v>1.25</v>
      </c>
      <c r="AC53" s="245"/>
      <c r="AD53" s="245"/>
      <c r="AE53" s="245"/>
      <c r="AF53" s="245"/>
      <c r="AG53" s="245"/>
      <c r="AH53" s="245"/>
      <c r="AI53" s="245"/>
      <c r="AJ53" s="245"/>
      <c r="AK53" s="245"/>
      <c r="AL53" s="245"/>
      <c r="AM53" s="245"/>
      <c r="AN53" s="245">
        <v>1.25</v>
      </c>
      <c r="AO53" s="245">
        <v>1.25</v>
      </c>
      <c r="AP53" s="245">
        <v>1.25</v>
      </c>
      <c r="AQ53" s="245">
        <v>1.25</v>
      </c>
      <c r="AR53" s="245"/>
      <c r="AS53" s="245"/>
      <c r="AT53" s="245"/>
      <c r="AU53" s="273"/>
      <c r="AV53" s="245">
        <v>1.25</v>
      </c>
      <c r="AW53" s="281">
        <v>1.25</v>
      </c>
      <c r="AX53" s="245"/>
      <c r="AY53" s="245"/>
      <c r="AZ53" s="245">
        <v>1.25</v>
      </c>
      <c r="BA53" s="245"/>
      <c r="BB53" s="245">
        <v>1.25</v>
      </c>
      <c r="BC53" s="245">
        <v>1.25</v>
      </c>
      <c r="BD53" s="245"/>
      <c r="BE53" s="245"/>
      <c r="BF53" s="245"/>
      <c r="BG53" s="245"/>
      <c r="BH53" s="245"/>
      <c r="BI53" s="245">
        <v>1.25</v>
      </c>
      <c r="BJ53" s="245"/>
      <c r="BK53" s="245"/>
      <c r="BL53" s="245"/>
      <c r="BM53" s="245"/>
      <c r="BN53" s="245"/>
      <c r="BO53" s="245"/>
      <c r="BP53" s="245"/>
      <c r="BQ53" s="245"/>
      <c r="BR53" s="245"/>
      <c r="BS53" s="245"/>
      <c r="BT53" s="245"/>
      <c r="BU53" s="245"/>
      <c r="BV53" s="245"/>
      <c r="BW53" s="245"/>
      <c r="BX53" s="245"/>
      <c r="BY53" s="245"/>
      <c r="BZ53" s="245"/>
      <c r="CA53" s="245"/>
      <c r="CB53" s="245"/>
      <c r="CC53" s="245"/>
      <c r="CD53" s="245"/>
      <c r="CE53" s="245"/>
      <c r="CF53" s="245"/>
      <c r="CG53" s="245"/>
      <c r="CH53" s="245"/>
      <c r="CI53" s="245"/>
      <c r="CJ53" s="245"/>
      <c r="CK53" s="245"/>
      <c r="CL53" s="245"/>
      <c r="CM53" s="245"/>
      <c r="CN53" s="245"/>
      <c r="CO53" s="245"/>
      <c r="CP53" s="245"/>
      <c r="CQ53" s="245"/>
      <c r="CR53" s="245"/>
      <c r="CS53" s="245"/>
      <c r="CT53" s="245">
        <v>2.5</v>
      </c>
      <c r="CU53" s="245">
        <v>2.5</v>
      </c>
      <c r="CV53" s="245">
        <v>2.5</v>
      </c>
      <c r="CW53" s="245"/>
      <c r="CX53" s="245"/>
      <c r="CY53" s="245"/>
      <c r="CZ53" s="245"/>
      <c r="DA53" s="245"/>
      <c r="DB53" s="245"/>
      <c r="DC53" s="245"/>
      <c r="DD53" s="245"/>
      <c r="DE53" s="245"/>
      <c r="DF53" s="245"/>
      <c r="DG53" s="245"/>
      <c r="DH53" s="245"/>
      <c r="DI53" s="245"/>
      <c r="DJ53" s="245"/>
      <c r="DK53" s="245"/>
      <c r="DL53" s="245"/>
      <c r="DM53" s="245"/>
      <c r="DN53" s="245"/>
      <c r="DO53" s="245"/>
      <c r="DP53" s="245"/>
      <c r="DQ53" s="245"/>
      <c r="DR53" s="245"/>
      <c r="DS53" s="245"/>
      <c r="DT53" s="245"/>
      <c r="DU53" s="245"/>
      <c r="DV53" s="245"/>
      <c r="DW53" s="245"/>
      <c r="DX53" s="245"/>
      <c r="DY53" s="245"/>
      <c r="DZ53" s="245"/>
      <c r="EA53" s="245"/>
      <c r="EB53" s="245"/>
      <c r="EC53" s="245"/>
      <c r="ED53" s="245"/>
      <c r="EE53" s="245"/>
      <c r="EF53" s="245"/>
      <c r="EG53" s="245"/>
      <c r="EH53" s="245"/>
      <c r="EI53" s="245"/>
      <c r="EJ53" s="245"/>
      <c r="EK53" s="278"/>
      <c r="EL53" s="278"/>
      <c r="EM53" s="278"/>
      <c r="EN53" s="278"/>
      <c r="EO53" s="278"/>
      <c r="EP53" s="250"/>
    </row>
    <row r="54" spans="1:146" ht="15.6">
      <c r="A54" s="215">
        <v>3235</v>
      </c>
      <c r="B54" s="233">
        <v>354</v>
      </c>
      <c r="C54" s="245">
        <v>1.47</v>
      </c>
      <c r="D54" s="245"/>
      <c r="E54" s="245">
        <v>1.47</v>
      </c>
      <c r="F54" s="245">
        <v>1.47</v>
      </c>
      <c r="G54" s="245"/>
      <c r="H54" s="245"/>
      <c r="I54" s="245"/>
      <c r="J54" s="245"/>
      <c r="K54" s="245"/>
      <c r="L54" s="251"/>
      <c r="M54" s="251"/>
      <c r="N54" s="251"/>
      <c r="O54" s="251"/>
      <c r="P54" s="251"/>
      <c r="Q54" s="251"/>
      <c r="R54" s="251"/>
      <c r="S54" s="245">
        <v>1.99</v>
      </c>
      <c r="T54" s="245"/>
      <c r="U54" s="245">
        <v>1.99</v>
      </c>
      <c r="V54" s="245">
        <v>1.99</v>
      </c>
      <c r="W54" s="245"/>
      <c r="X54" s="245"/>
      <c r="Y54" s="245"/>
      <c r="Z54" s="245"/>
      <c r="AA54" s="245"/>
      <c r="AB54" s="245"/>
      <c r="AC54" s="245"/>
      <c r="AD54" s="245">
        <v>1.99</v>
      </c>
      <c r="AE54" s="245"/>
      <c r="AF54" s="245"/>
      <c r="AG54" s="245"/>
      <c r="AH54" s="245"/>
      <c r="AI54" s="245"/>
      <c r="AJ54" s="245"/>
      <c r="AK54" s="245"/>
      <c r="AL54" s="245"/>
      <c r="AM54" s="245"/>
      <c r="AN54" s="245">
        <v>1.99</v>
      </c>
      <c r="AO54" s="245">
        <v>1.99</v>
      </c>
      <c r="AP54" s="245">
        <v>1.99</v>
      </c>
      <c r="AQ54" s="245">
        <v>1.99</v>
      </c>
      <c r="AR54" s="245"/>
      <c r="AS54" s="245"/>
      <c r="AT54" s="245"/>
      <c r="AU54" s="273"/>
      <c r="AV54" s="245">
        <v>1.99</v>
      </c>
      <c r="AW54" s="281">
        <v>1.99</v>
      </c>
      <c r="AX54" s="245"/>
      <c r="AY54" s="245"/>
      <c r="AZ54" s="245">
        <v>1.99</v>
      </c>
      <c r="BA54" s="245"/>
      <c r="BB54" s="245">
        <v>1.99</v>
      </c>
      <c r="BC54" s="245">
        <v>1.99</v>
      </c>
      <c r="BD54" s="245"/>
      <c r="BE54" s="245"/>
      <c r="BF54" s="245"/>
      <c r="BG54" s="245"/>
      <c r="BH54" s="245"/>
      <c r="BI54" s="245">
        <v>1.99</v>
      </c>
      <c r="BJ54" s="245"/>
      <c r="BK54" s="245"/>
      <c r="BL54" s="245"/>
      <c r="BM54" s="245"/>
      <c r="BN54" s="245"/>
      <c r="BO54" s="245"/>
      <c r="BP54" s="245"/>
      <c r="BQ54" s="245"/>
      <c r="BR54" s="245"/>
      <c r="BS54" s="245"/>
      <c r="BT54" s="245"/>
      <c r="BU54" s="245"/>
      <c r="BV54" s="245"/>
      <c r="BW54" s="245"/>
      <c r="BX54" s="245"/>
      <c r="BY54" s="245"/>
      <c r="BZ54" s="245"/>
      <c r="CA54" s="245"/>
      <c r="CB54" s="245"/>
      <c r="CC54" s="245"/>
      <c r="CD54" s="245"/>
      <c r="CE54" s="245"/>
      <c r="CF54" s="245"/>
      <c r="CG54" s="245"/>
      <c r="CH54" s="245"/>
      <c r="CI54" s="245"/>
      <c r="CJ54" s="245"/>
      <c r="CK54" s="245"/>
      <c r="CL54" s="245"/>
      <c r="CM54" s="245"/>
      <c r="CN54" s="245"/>
      <c r="CO54" s="245"/>
      <c r="CP54" s="245"/>
      <c r="CQ54" s="245"/>
      <c r="CR54" s="245"/>
      <c r="CS54" s="245"/>
      <c r="CT54" s="245"/>
      <c r="CU54" s="245"/>
      <c r="CV54" s="245"/>
      <c r="CW54" s="245"/>
      <c r="CX54" s="245"/>
      <c r="CY54" s="245">
        <v>3.98</v>
      </c>
      <c r="CZ54" s="245">
        <v>3.98</v>
      </c>
      <c r="DA54" s="245">
        <v>3.98</v>
      </c>
      <c r="DB54" s="245"/>
      <c r="DC54" s="245"/>
      <c r="DD54" s="245"/>
      <c r="DE54" s="245"/>
      <c r="DF54" s="245"/>
      <c r="DG54" s="245"/>
      <c r="DH54" s="245"/>
      <c r="DI54" s="245"/>
      <c r="DJ54" s="245"/>
      <c r="DK54" s="245"/>
      <c r="DL54" s="245"/>
      <c r="DM54" s="245"/>
      <c r="DN54" s="245"/>
      <c r="DO54" s="245"/>
      <c r="DP54" s="245"/>
      <c r="DQ54" s="245"/>
      <c r="DR54" s="245"/>
      <c r="DS54" s="245"/>
      <c r="DT54" s="245"/>
      <c r="DU54" s="245"/>
      <c r="DV54" s="245"/>
      <c r="DW54" s="245"/>
      <c r="DX54" s="245"/>
      <c r="DY54" s="245"/>
      <c r="DZ54" s="245"/>
      <c r="EA54" s="245"/>
      <c r="EB54" s="245"/>
      <c r="EC54" s="245"/>
      <c r="ED54" s="245"/>
      <c r="EE54" s="245"/>
      <c r="EF54" s="245"/>
      <c r="EG54" s="245"/>
      <c r="EH54" s="245"/>
      <c r="EI54" s="245"/>
      <c r="EJ54" s="245"/>
      <c r="EK54" s="278"/>
      <c r="EL54" s="278"/>
      <c r="EM54" s="278"/>
      <c r="EN54" s="278"/>
      <c r="EO54" s="278"/>
      <c r="EP54" s="250"/>
    </row>
    <row r="55" spans="1:146" ht="15.6">
      <c r="A55" s="215">
        <v>3254</v>
      </c>
      <c r="B55" s="233">
        <v>392</v>
      </c>
      <c r="C55" s="245">
        <v>1.63</v>
      </c>
      <c r="D55" s="245"/>
      <c r="E55" s="245">
        <v>1.63</v>
      </c>
      <c r="F55" s="245">
        <v>1.63</v>
      </c>
      <c r="G55" s="245"/>
      <c r="H55" s="245"/>
      <c r="I55" s="245"/>
      <c r="J55" s="245"/>
      <c r="K55" s="245"/>
      <c r="L55" s="251"/>
      <c r="M55" s="251"/>
      <c r="N55" s="251"/>
      <c r="O55" s="251"/>
      <c r="P55" s="251"/>
      <c r="Q55" s="251"/>
      <c r="R55" s="251"/>
      <c r="S55" s="245">
        <v>1.76</v>
      </c>
      <c r="T55" s="245"/>
      <c r="U55" s="245"/>
      <c r="V55" s="245">
        <v>1.76</v>
      </c>
      <c r="W55" s="245"/>
      <c r="X55" s="245"/>
      <c r="Y55" s="245"/>
      <c r="Z55" s="245">
        <v>1.76</v>
      </c>
      <c r="AA55" s="245"/>
      <c r="AB55" s="245"/>
      <c r="AC55" s="245"/>
      <c r="AD55" s="245">
        <v>1.76</v>
      </c>
      <c r="AE55" s="245"/>
      <c r="AF55" s="245"/>
      <c r="AG55" s="245">
        <v>1.76</v>
      </c>
      <c r="AH55" s="245"/>
      <c r="AI55" s="245"/>
      <c r="AJ55" s="245"/>
      <c r="AK55" s="245"/>
      <c r="AL55" s="245"/>
      <c r="AM55" s="245"/>
      <c r="AN55" s="245">
        <v>1.76</v>
      </c>
      <c r="AO55" s="245">
        <v>1.76</v>
      </c>
      <c r="AP55" s="245">
        <v>1.76</v>
      </c>
      <c r="AQ55" s="245">
        <v>1.76</v>
      </c>
      <c r="AR55" s="245"/>
      <c r="AS55" s="245"/>
      <c r="AT55" s="245"/>
      <c r="AU55" s="273"/>
      <c r="AV55" s="245">
        <v>1.76</v>
      </c>
      <c r="AW55" s="281">
        <v>1.76</v>
      </c>
      <c r="AX55" s="245"/>
      <c r="AY55" s="245">
        <v>1.76</v>
      </c>
      <c r="AZ55" s="245">
        <v>1.76</v>
      </c>
      <c r="BA55" s="245"/>
      <c r="BB55" s="245">
        <v>1.76</v>
      </c>
      <c r="BC55" s="245">
        <v>1.76</v>
      </c>
      <c r="BD55" s="245"/>
      <c r="BE55" s="245"/>
      <c r="BF55" s="245">
        <v>1.76</v>
      </c>
      <c r="BG55" s="245"/>
      <c r="BH55" s="245"/>
      <c r="BI55" s="245">
        <v>1.76</v>
      </c>
      <c r="BJ55" s="245"/>
      <c r="BK55" s="245"/>
      <c r="BL55" s="245"/>
      <c r="BM55" s="245"/>
      <c r="BN55" s="245"/>
      <c r="BO55" s="245"/>
      <c r="BP55" s="245"/>
      <c r="BQ55" s="245"/>
      <c r="BR55" s="245"/>
      <c r="BS55" s="245"/>
      <c r="BT55" s="245"/>
      <c r="BU55" s="245"/>
      <c r="BV55" s="245"/>
      <c r="BW55" s="245"/>
      <c r="BX55" s="245"/>
      <c r="BY55" s="245"/>
      <c r="BZ55" s="245"/>
      <c r="CA55" s="245"/>
      <c r="CB55" s="245"/>
      <c r="CC55" s="245"/>
      <c r="CD55" s="245"/>
      <c r="CE55" s="245"/>
      <c r="CF55" s="245"/>
      <c r="CG55" s="245"/>
      <c r="CH55" s="245"/>
      <c r="CI55" s="245"/>
      <c r="CJ55" s="245"/>
      <c r="CK55" s="245"/>
      <c r="CL55" s="245"/>
      <c r="CM55" s="245"/>
      <c r="CN55" s="245"/>
      <c r="CO55" s="245"/>
      <c r="CP55" s="245"/>
      <c r="CQ55" s="245"/>
      <c r="CR55" s="245"/>
      <c r="CS55" s="245"/>
      <c r="CT55" s="245"/>
      <c r="CU55" s="245"/>
      <c r="CV55" s="245"/>
      <c r="CW55" s="245"/>
      <c r="CX55" s="245"/>
      <c r="CY55" s="245"/>
      <c r="CZ55" s="245"/>
      <c r="DA55" s="245"/>
      <c r="DB55" s="245"/>
      <c r="DC55" s="245"/>
      <c r="DD55" s="245"/>
      <c r="DE55" s="245"/>
      <c r="DF55" s="245"/>
      <c r="DG55" s="245"/>
      <c r="DH55" s="245"/>
      <c r="DI55" s="245">
        <v>3.52</v>
      </c>
      <c r="DJ55" s="245">
        <v>3.52</v>
      </c>
      <c r="DK55" s="245"/>
      <c r="DL55" s="245">
        <v>3.52</v>
      </c>
      <c r="DM55" s="245"/>
      <c r="DN55" s="245"/>
      <c r="DO55" s="245">
        <v>3.52</v>
      </c>
      <c r="DP55" s="245"/>
      <c r="DQ55" s="245"/>
      <c r="DR55" s="245"/>
      <c r="DS55" s="245"/>
      <c r="DT55" s="245"/>
      <c r="DU55" s="245"/>
      <c r="DV55" s="245"/>
      <c r="DW55" s="245"/>
      <c r="DX55" s="245"/>
      <c r="DY55" s="245"/>
      <c r="DZ55" s="245"/>
      <c r="EA55" s="245"/>
      <c r="EB55" s="245"/>
      <c r="EC55" s="245"/>
      <c r="ED55" s="245"/>
      <c r="EE55" s="245"/>
      <c r="EF55" s="245"/>
      <c r="EG55" s="245"/>
      <c r="EH55" s="245"/>
      <c r="EI55" s="245"/>
      <c r="EJ55" s="245"/>
      <c r="EK55" s="278"/>
      <c r="EL55" s="278"/>
      <c r="EM55" s="278"/>
      <c r="EN55" s="278"/>
      <c r="EO55" s="278"/>
      <c r="EP55" s="250"/>
    </row>
    <row r="56" spans="1:146" ht="15.6">
      <c r="A56" s="215">
        <v>3237</v>
      </c>
      <c r="B56" s="233">
        <v>304</v>
      </c>
      <c r="C56" s="245">
        <v>1.26</v>
      </c>
      <c r="D56" s="245"/>
      <c r="E56" s="245">
        <v>1.26</v>
      </c>
      <c r="F56" s="245">
        <v>1.26</v>
      </c>
      <c r="G56" s="245"/>
      <c r="H56" s="245"/>
      <c r="I56" s="245"/>
      <c r="J56" s="245"/>
      <c r="K56" s="245"/>
      <c r="L56" s="251"/>
      <c r="M56" s="251"/>
      <c r="N56" s="251"/>
      <c r="O56" s="251"/>
      <c r="P56" s="251"/>
      <c r="Q56" s="251"/>
      <c r="R56" s="251"/>
      <c r="S56" s="245">
        <v>1.9</v>
      </c>
      <c r="T56" s="245">
        <v>1.9</v>
      </c>
      <c r="U56" s="245">
        <v>1.9</v>
      </c>
      <c r="V56" s="245"/>
      <c r="W56" s="245"/>
      <c r="X56" s="245"/>
      <c r="Y56" s="245"/>
      <c r="Z56" s="245"/>
      <c r="AA56" s="245"/>
      <c r="AB56" s="245"/>
      <c r="AC56" s="245"/>
      <c r="AD56" s="245"/>
      <c r="AE56" s="245"/>
      <c r="AF56" s="245"/>
      <c r="AG56" s="245"/>
      <c r="AH56" s="245"/>
      <c r="AI56" s="245"/>
      <c r="AJ56" s="245"/>
      <c r="AK56" s="245"/>
      <c r="AL56" s="245"/>
      <c r="AM56" s="245"/>
      <c r="AN56" s="245">
        <v>1.9</v>
      </c>
      <c r="AO56" s="245">
        <v>1.9</v>
      </c>
      <c r="AP56" s="245">
        <v>1.9</v>
      </c>
      <c r="AQ56" s="245">
        <v>1.9</v>
      </c>
      <c r="AR56" s="245"/>
      <c r="AS56" s="245"/>
      <c r="AT56" s="245"/>
      <c r="AU56" s="273"/>
      <c r="AV56" s="245">
        <v>1.9</v>
      </c>
      <c r="AW56" s="281">
        <v>1.9</v>
      </c>
      <c r="AX56" s="245"/>
      <c r="AY56" s="245">
        <v>1.9</v>
      </c>
      <c r="AZ56" s="245">
        <v>1.9</v>
      </c>
      <c r="BA56" s="245"/>
      <c r="BB56" s="245">
        <v>1.9</v>
      </c>
      <c r="BC56" s="245"/>
      <c r="BD56" s="245"/>
      <c r="BE56" s="245"/>
      <c r="BF56" s="245"/>
      <c r="BG56" s="245"/>
      <c r="BH56" s="245"/>
      <c r="BI56" s="245">
        <v>1.9</v>
      </c>
      <c r="BJ56" s="245">
        <v>1.9</v>
      </c>
      <c r="BK56" s="245"/>
      <c r="BL56" s="245"/>
      <c r="BM56" s="245"/>
      <c r="BN56" s="245"/>
      <c r="BO56" s="245"/>
      <c r="BP56" s="245"/>
      <c r="BQ56" s="245"/>
      <c r="BR56" s="245"/>
      <c r="BS56" s="245"/>
      <c r="BT56" s="245"/>
      <c r="BU56" s="245"/>
      <c r="BV56" s="245"/>
      <c r="BW56" s="245"/>
      <c r="BX56" s="245"/>
      <c r="BY56" s="245"/>
      <c r="BZ56" s="245"/>
      <c r="CA56" s="245"/>
      <c r="CB56" s="245"/>
      <c r="CC56" s="245"/>
      <c r="CD56" s="245"/>
      <c r="CE56" s="245">
        <v>3.8</v>
      </c>
      <c r="CF56" s="245">
        <v>3.8</v>
      </c>
      <c r="CG56" s="245"/>
      <c r="CH56" s="245"/>
      <c r="CI56" s="245"/>
      <c r="CJ56" s="245"/>
      <c r="CK56" s="245"/>
      <c r="CL56" s="245"/>
      <c r="CM56" s="245"/>
      <c r="CN56" s="245"/>
      <c r="CO56" s="245"/>
      <c r="CP56" s="245"/>
      <c r="CQ56" s="245"/>
      <c r="CR56" s="245"/>
      <c r="CS56" s="245"/>
      <c r="CT56" s="245"/>
      <c r="CU56" s="245"/>
      <c r="CV56" s="245"/>
      <c r="CW56" s="245"/>
      <c r="CX56" s="245"/>
      <c r="CY56" s="245"/>
      <c r="CZ56" s="245"/>
      <c r="DA56" s="245"/>
      <c r="DB56" s="245"/>
      <c r="DC56" s="245"/>
      <c r="DD56" s="245"/>
      <c r="DE56" s="245"/>
      <c r="DF56" s="245"/>
      <c r="DG56" s="245"/>
      <c r="DH56" s="245"/>
      <c r="DI56" s="245"/>
      <c r="DJ56" s="245"/>
      <c r="DK56" s="245"/>
      <c r="DL56" s="245"/>
      <c r="DM56" s="245"/>
      <c r="DN56" s="245"/>
      <c r="DO56" s="245"/>
      <c r="DP56" s="245"/>
      <c r="DQ56" s="245"/>
      <c r="DR56" s="245"/>
      <c r="DS56" s="245"/>
      <c r="DT56" s="245"/>
      <c r="DU56" s="245"/>
      <c r="DV56" s="245"/>
      <c r="DW56" s="245"/>
      <c r="DX56" s="245"/>
      <c r="DY56" s="245"/>
      <c r="DZ56" s="245"/>
      <c r="EA56" s="245"/>
      <c r="EB56" s="245"/>
      <c r="EC56" s="245"/>
      <c r="ED56" s="245"/>
      <c r="EE56" s="245"/>
      <c r="EF56" s="245"/>
      <c r="EG56" s="245"/>
      <c r="EH56" s="245"/>
      <c r="EI56" s="245"/>
      <c r="EJ56" s="245"/>
      <c r="EK56" s="278"/>
      <c r="EL56" s="278"/>
      <c r="EM56" s="278"/>
      <c r="EN56" s="278"/>
      <c r="EO56" s="278"/>
      <c r="EP56" s="250"/>
    </row>
    <row r="57" spans="1:146" ht="15.6">
      <c r="A57" s="215">
        <v>3094</v>
      </c>
      <c r="B57" s="233">
        <v>144</v>
      </c>
      <c r="C57" s="245">
        <v>0.6</v>
      </c>
      <c r="D57" s="245"/>
      <c r="E57" s="245">
        <v>0.6</v>
      </c>
      <c r="F57" s="245"/>
      <c r="G57" s="245">
        <v>0.6</v>
      </c>
      <c r="H57" s="245"/>
      <c r="I57" s="245"/>
      <c r="J57" s="245"/>
      <c r="K57" s="245"/>
      <c r="L57" s="251"/>
      <c r="M57" s="251"/>
      <c r="N57" s="251"/>
      <c r="O57" s="251"/>
      <c r="P57" s="251"/>
      <c r="Q57" s="251"/>
      <c r="R57" s="251"/>
      <c r="S57" s="245">
        <v>0.81</v>
      </c>
      <c r="T57" s="245"/>
      <c r="U57" s="245"/>
      <c r="V57" s="245">
        <v>0.81</v>
      </c>
      <c r="W57" s="245"/>
      <c r="X57" s="245"/>
      <c r="Y57" s="245"/>
      <c r="Z57" s="245"/>
      <c r="AA57" s="245">
        <v>0.81</v>
      </c>
      <c r="AB57" s="245"/>
      <c r="AC57" s="245"/>
      <c r="AD57" s="245"/>
      <c r="AE57" s="245"/>
      <c r="AF57" s="245"/>
      <c r="AG57" s="245"/>
      <c r="AH57" s="245"/>
      <c r="AI57" s="245"/>
      <c r="AJ57" s="245"/>
      <c r="AK57" s="245"/>
      <c r="AL57" s="245"/>
      <c r="AM57" s="245">
        <v>0.81</v>
      </c>
      <c r="AN57" s="245"/>
      <c r="AO57" s="245">
        <v>0.81</v>
      </c>
      <c r="AP57" s="245">
        <v>0.81</v>
      </c>
      <c r="AQ57" s="245">
        <v>0.81</v>
      </c>
      <c r="AR57" s="245"/>
      <c r="AS57" s="245"/>
      <c r="AT57" s="245"/>
      <c r="AU57" s="273"/>
      <c r="AV57" s="245">
        <v>0.81</v>
      </c>
      <c r="AW57" s="281">
        <v>0.81</v>
      </c>
      <c r="AX57" s="245"/>
      <c r="AY57" s="245"/>
      <c r="AZ57" s="245"/>
      <c r="BA57" s="245">
        <v>0.81</v>
      </c>
      <c r="BB57" s="245">
        <v>0.81</v>
      </c>
      <c r="BC57" s="245"/>
      <c r="BD57" s="245"/>
      <c r="BE57" s="245"/>
      <c r="BF57" s="245"/>
      <c r="BG57" s="245"/>
      <c r="BH57" s="245"/>
      <c r="BI57" s="245">
        <v>0.81</v>
      </c>
      <c r="BJ57" s="245"/>
      <c r="BK57" s="245"/>
      <c r="BL57" s="245"/>
      <c r="BM57" s="245"/>
      <c r="BN57" s="245"/>
      <c r="BO57" s="245"/>
      <c r="BP57" s="245"/>
      <c r="BQ57" s="245"/>
      <c r="BR57" s="245"/>
      <c r="BS57" s="245"/>
      <c r="BT57" s="245"/>
      <c r="BU57" s="245"/>
      <c r="BV57" s="245"/>
      <c r="BW57" s="245"/>
      <c r="BX57" s="245"/>
      <c r="BY57" s="245"/>
      <c r="BZ57" s="245"/>
      <c r="CA57" s="245"/>
      <c r="CB57" s="245"/>
      <c r="CC57" s="245"/>
      <c r="CD57" s="245"/>
      <c r="CE57" s="245"/>
      <c r="CF57" s="245"/>
      <c r="CG57" s="245"/>
      <c r="CH57" s="245"/>
      <c r="CI57" s="245"/>
      <c r="CJ57" s="245"/>
      <c r="CK57" s="245"/>
      <c r="CL57" s="245"/>
      <c r="CM57" s="245"/>
      <c r="CN57" s="245"/>
      <c r="CO57" s="245"/>
      <c r="CP57" s="245"/>
      <c r="CQ57" s="245"/>
      <c r="CR57" s="245"/>
      <c r="CS57" s="245"/>
      <c r="CT57" s="245"/>
      <c r="CU57" s="245"/>
      <c r="CV57" s="245"/>
      <c r="CW57" s="245"/>
      <c r="CX57" s="245"/>
      <c r="CY57" s="245"/>
      <c r="CZ57" s="245"/>
      <c r="DA57" s="245"/>
      <c r="DB57" s="245"/>
      <c r="DC57" s="245"/>
      <c r="DD57" s="245"/>
      <c r="DE57" s="245"/>
      <c r="DF57" s="245"/>
      <c r="DG57" s="245"/>
      <c r="DH57" s="245"/>
      <c r="DI57" s="245"/>
      <c r="DJ57" s="245"/>
      <c r="DK57" s="245"/>
      <c r="DL57" s="245"/>
      <c r="DM57" s="245"/>
      <c r="DN57" s="245"/>
      <c r="DO57" s="245"/>
      <c r="DP57" s="245"/>
      <c r="DQ57" s="245"/>
      <c r="DR57" s="245"/>
      <c r="DS57" s="245"/>
      <c r="DT57" s="245"/>
      <c r="DU57" s="245"/>
      <c r="DV57" s="245"/>
      <c r="DW57" s="245"/>
      <c r="DX57" s="245"/>
      <c r="DY57" s="245"/>
      <c r="DZ57" s="245">
        <v>1.62</v>
      </c>
      <c r="EA57" s="245">
        <v>1.62</v>
      </c>
      <c r="EB57" s="245">
        <v>1.62</v>
      </c>
      <c r="EC57" s="245">
        <v>0.81</v>
      </c>
      <c r="ED57" s="245">
        <v>0.81</v>
      </c>
      <c r="EE57" s="245"/>
      <c r="EF57" s="245"/>
      <c r="EG57" s="245"/>
      <c r="EH57" s="245"/>
      <c r="EI57" s="245"/>
      <c r="EJ57" s="245"/>
      <c r="EK57" s="278"/>
      <c r="EL57" s="278"/>
      <c r="EM57" s="278"/>
      <c r="EN57" s="278"/>
      <c r="EO57" s="278"/>
      <c r="EP57" s="250"/>
    </row>
    <row r="58" spans="1:146" ht="15.6">
      <c r="A58" s="215">
        <v>1997</v>
      </c>
      <c r="B58" s="233">
        <v>602.40000000000009</v>
      </c>
      <c r="C58" s="245"/>
      <c r="D58" s="245"/>
      <c r="E58" s="245"/>
      <c r="F58" s="245"/>
      <c r="G58" s="245"/>
      <c r="H58" s="245"/>
      <c r="I58" s="245"/>
      <c r="J58" s="245"/>
      <c r="K58" s="245"/>
      <c r="L58" s="246">
        <v>3.01</v>
      </c>
      <c r="M58" s="246">
        <v>3.01</v>
      </c>
      <c r="N58" s="251"/>
      <c r="O58" s="251"/>
      <c r="P58" s="251"/>
      <c r="Q58" s="251"/>
      <c r="R58" s="251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45"/>
      <c r="AH58" s="245"/>
      <c r="AI58" s="245"/>
      <c r="AJ58" s="245"/>
      <c r="AK58" s="245"/>
      <c r="AL58" s="245">
        <v>3.01</v>
      </c>
      <c r="AM58" s="245"/>
      <c r="AN58" s="245"/>
      <c r="AO58" s="245">
        <v>3.01</v>
      </c>
      <c r="AP58" s="245">
        <v>3.01</v>
      </c>
      <c r="AQ58" s="245">
        <v>3.01</v>
      </c>
      <c r="AR58" s="245"/>
      <c r="AS58" s="245"/>
      <c r="AT58" s="245">
        <v>3.01</v>
      </c>
      <c r="AU58" s="273"/>
      <c r="AV58" s="245">
        <v>3.01</v>
      </c>
      <c r="AW58" s="281">
        <v>3.01</v>
      </c>
      <c r="AX58" s="245">
        <v>3.01</v>
      </c>
      <c r="AY58" s="245"/>
      <c r="AZ58" s="245">
        <v>3.01</v>
      </c>
      <c r="BA58" s="245"/>
      <c r="BB58" s="245"/>
      <c r="BC58" s="245"/>
      <c r="BD58" s="245"/>
      <c r="BE58" s="245"/>
      <c r="BF58" s="245"/>
      <c r="BG58" s="245"/>
      <c r="BH58" s="245"/>
      <c r="BI58" s="245">
        <v>3.01</v>
      </c>
      <c r="BJ58" s="245"/>
      <c r="BK58" s="245"/>
      <c r="BL58" s="245"/>
      <c r="BM58" s="245"/>
      <c r="BN58" s="245"/>
      <c r="BO58" s="245"/>
      <c r="BP58" s="245"/>
      <c r="BQ58" s="245"/>
      <c r="BR58" s="245"/>
      <c r="BS58" s="245"/>
      <c r="BT58" s="245"/>
      <c r="BU58" s="245"/>
      <c r="BV58" s="245"/>
      <c r="BW58" s="245"/>
      <c r="BX58" s="245"/>
      <c r="BY58" s="245">
        <v>6.02</v>
      </c>
      <c r="BZ58" s="267">
        <v>6.02</v>
      </c>
      <c r="CA58" s="245"/>
      <c r="CB58" s="245">
        <v>3.01</v>
      </c>
      <c r="CC58" s="245">
        <v>3.01</v>
      </c>
      <c r="CD58" s="245">
        <v>3.01</v>
      </c>
      <c r="CE58" s="245"/>
      <c r="CF58" s="245"/>
      <c r="CG58" s="245"/>
      <c r="CH58" s="245"/>
      <c r="CI58" s="245">
        <v>6.02</v>
      </c>
      <c r="CJ58" s="245">
        <v>6.02</v>
      </c>
      <c r="CK58" s="245">
        <v>6.02</v>
      </c>
      <c r="CL58" s="245"/>
      <c r="CM58" s="245"/>
      <c r="CN58" s="245"/>
      <c r="CO58" s="245"/>
      <c r="CP58" s="245"/>
      <c r="CQ58" s="245"/>
      <c r="CR58" s="245"/>
      <c r="CS58" s="245"/>
      <c r="CT58" s="245"/>
      <c r="CU58" s="245"/>
      <c r="CV58" s="245"/>
      <c r="CW58" s="245"/>
      <c r="CX58" s="245"/>
      <c r="CY58" s="245"/>
      <c r="CZ58" s="245"/>
      <c r="DA58" s="245"/>
      <c r="DB58" s="245"/>
      <c r="DC58" s="245"/>
      <c r="DD58" s="245"/>
      <c r="DE58" s="245"/>
      <c r="DF58" s="245"/>
      <c r="DG58" s="245"/>
      <c r="DH58" s="245"/>
      <c r="DI58" s="245"/>
      <c r="DJ58" s="245"/>
      <c r="DK58" s="245"/>
      <c r="DL58" s="245"/>
      <c r="DM58" s="245"/>
      <c r="DN58" s="245"/>
      <c r="DO58" s="245"/>
      <c r="DP58" s="245"/>
      <c r="DQ58" s="245"/>
      <c r="DR58" s="245"/>
      <c r="DS58" s="245"/>
      <c r="DT58" s="245"/>
      <c r="DU58" s="245"/>
      <c r="DV58" s="245"/>
      <c r="DW58" s="245"/>
      <c r="DX58" s="245"/>
      <c r="DY58" s="245"/>
      <c r="DZ58" s="245"/>
      <c r="EA58" s="245"/>
      <c r="EB58" s="245"/>
      <c r="EC58" s="245"/>
      <c r="ED58" s="245"/>
      <c r="EE58" s="245"/>
      <c r="EF58" s="245"/>
      <c r="EG58" s="245"/>
      <c r="EH58" s="245"/>
      <c r="EI58" s="245"/>
      <c r="EJ58" s="245"/>
      <c r="EK58" s="278"/>
      <c r="EL58" s="278"/>
      <c r="EM58" s="278"/>
      <c r="EN58" s="278"/>
      <c r="EO58" s="278"/>
      <c r="EP58" s="250"/>
    </row>
    <row r="59" spans="1:146" ht="15.6">
      <c r="A59" s="215">
        <v>1971</v>
      </c>
      <c r="B59" s="233">
        <v>307.60000000000002</v>
      </c>
      <c r="C59" s="245"/>
      <c r="D59" s="245"/>
      <c r="E59" s="245"/>
      <c r="F59" s="245"/>
      <c r="G59" s="245"/>
      <c r="H59" s="245"/>
      <c r="I59" s="245"/>
      <c r="J59" s="245"/>
      <c r="K59" s="245"/>
      <c r="L59" s="246">
        <v>1.67</v>
      </c>
      <c r="M59" s="246">
        <v>1.67</v>
      </c>
      <c r="N59" s="251"/>
      <c r="O59" s="251"/>
      <c r="P59" s="251"/>
      <c r="Q59" s="251"/>
      <c r="R59" s="251"/>
      <c r="S59" s="245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5"/>
      <c r="AH59" s="245"/>
      <c r="AI59" s="245"/>
      <c r="AJ59" s="245"/>
      <c r="AK59" s="245"/>
      <c r="AL59" s="245"/>
      <c r="AM59" s="245">
        <v>1.67</v>
      </c>
      <c r="AN59" s="245"/>
      <c r="AO59" s="245">
        <v>1.67</v>
      </c>
      <c r="AP59" s="245">
        <v>1.67</v>
      </c>
      <c r="AQ59" s="245">
        <v>1.67</v>
      </c>
      <c r="AR59" s="245"/>
      <c r="AS59" s="245"/>
      <c r="AT59" s="245"/>
      <c r="AU59" s="273"/>
      <c r="AV59" s="245">
        <v>1.67</v>
      </c>
      <c r="AW59" s="281">
        <v>1.67</v>
      </c>
      <c r="AX59" s="245"/>
      <c r="AY59" s="245">
        <v>1.67</v>
      </c>
      <c r="AZ59" s="245">
        <v>1.67</v>
      </c>
      <c r="BA59" s="245"/>
      <c r="BB59" s="245">
        <v>1.67</v>
      </c>
      <c r="BC59" s="245">
        <v>1.67</v>
      </c>
      <c r="BD59" s="245"/>
      <c r="BE59" s="245"/>
      <c r="BF59" s="245">
        <v>1.67</v>
      </c>
      <c r="BG59" s="245">
        <v>1.67</v>
      </c>
      <c r="BH59" s="245"/>
      <c r="BI59" s="245">
        <v>1.67</v>
      </c>
      <c r="BJ59" s="245"/>
      <c r="BK59" s="245"/>
      <c r="BL59" s="245"/>
      <c r="BM59" s="245"/>
      <c r="BN59" s="245"/>
      <c r="BO59" s="245"/>
      <c r="BP59" s="245"/>
      <c r="BQ59" s="245"/>
      <c r="BR59" s="245"/>
      <c r="BS59" s="245"/>
      <c r="BT59" s="245"/>
      <c r="BU59" s="245"/>
      <c r="BV59" s="245"/>
      <c r="BW59" s="245"/>
      <c r="BX59" s="245"/>
      <c r="BY59" s="245">
        <v>3.34</v>
      </c>
      <c r="BZ59" s="245">
        <v>3.34</v>
      </c>
      <c r="CA59" s="245"/>
      <c r="CB59" s="245"/>
      <c r="CC59" s="245"/>
      <c r="CD59" s="245"/>
      <c r="CE59" s="245"/>
      <c r="CF59" s="245"/>
      <c r="CG59" s="245">
        <v>3.34</v>
      </c>
      <c r="CH59" s="245">
        <v>3.34</v>
      </c>
      <c r="CI59" s="245"/>
      <c r="CJ59" s="245"/>
      <c r="CK59" s="245"/>
      <c r="CL59" s="245"/>
      <c r="CM59" s="245"/>
      <c r="CN59" s="245"/>
      <c r="CO59" s="245"/>
      <c r="CP59" s="245"/>
      <c r="CQ59" s="245"/>
      <c r="CR59" s="245"/>
      <c r="CS59" s="245"/>
      <c r="CT59" s="245"/>
      <c r="CU59" s="245"/>
      <c r="CV59" s="245"/>
      <c r="CW59" s="245"/>
      <c r="CX59" s="245"/>
      <c r="CY59" s="245"/>
      <c r="CZ59" s="245"/>
      <c r="DA59" s="245"/>
      <c r="DB59" s="245"/>
      <c r="DC59" s="245"/>
      <c r="DD59" s="245"/>
      <c r="DE59" s="245"/>
      <c r="DF59" s="245"/>
      <c r="DG59" s="245"/>
      <c r="DH59" s="245"/>
      <c r="DI59" s="245"/>
      <c r="DJ59" s="245"/>
      <c r="DK59" s="245"/>
      <c r="DL59" s="245"/>
      <c r="DM59" s="245"/>
      <c r="DN59" s="245"/>
      <c r="DO59" s="245"/>
      <c r="DP59" s="245"/>
      <c r="DQ59" s="245"/>
      <c r="DR59" s="245"/>
      <c r="DS59" s="245"/>
      <c r="DT59" s="245"/>
      <c r="DU59" s="245"/>
      <c r="DV59" s="245"/>
      <c r="DW59" s="245"/>
      <c r="DX59" s="245"/>
      <c r="DY59" s="245"/>
      <c r="DZ59" s="245"/>
      <c r="EA59" s="245"/>
      <c r="EB59" s="245"/>
      <c r="EC59" s="245"/>
      <c r="ED59" s="245"/>
      <c r="EE59" s="245"/>
      <c r="EF59" s="245"/>
      <c r="EG59" s="245"/>
      <c r="EH59" s="245"/>
      <c r="EI59" s="245"/>
      <c r="EJ59" s="245"/>
      <c r="EK59" s="278"/>
      <c r="EL59" s="278"/>
      <c r="EM59" s="278"/>
      <c r="EN59" s="278"/>
      <c r="EO59" s="278"/>
      <c r="EP59" s="250"/>
    </row>
    <row r="60" spans="1:146" ht="15.6">
      <c r="A60" s="215">
        <v>3050</v>
      </c>
      <c r="B60" s="233">
        <v>358</v>
      </c>
      <c r="C60" s="245">
        <v>2.23</v>
      </c>
      <c r="D60" s="245"/>
      <c r="E60" s="245">
        <v>2.23</v>
      </c>
      <c r="F60" s="245"/>
      <c r="G60" s="245"/>
      <c r="H60" s="245"/>
      <c r="I60" s="245"/>
      <c r="J60" s="245"/>
      <c r="K60" s="245"/>
      <c r="L60" s="251"/>
      <c r="M60" s="251"/>
      <c r="N60" s="251"/>
      <c r="O60" s="251"/>
      <c r="P60" s="251"/>
      <c r="Q60" s="251"/>
      <c r="R60" s="251"/>
      <c r="S60" s="245"/>
      <c r="T60" s="245"/>
      <c r="U60" s="245"/>
      <c r="V60" s="245"/>
      <c r="W60" s="245"/>
      <c r="X60" s="245"/>
      <c r="Y60" s="245"/>
      <c r="Z60" s="245"/>
      <c r="AA60" s="245"/>
      <c r="AB60" s="245"/>
      <c r="AC60" s="245"/>
      <c r="AD60" s="245"/>
      <c r="AE60" s="245"/>
      <c r="AF60" s="245"/>
      <c r="AG60" s="245"/>
      <c r="AH60" s="245"/>
      <c r="AI60" s="245"/>
      <c r="AJ60" s="245"/>
      <c r="AK60" s="245"/>
      <c r="AL60" s="245"/>
      <c r="AM60" s="245">
        <v>2.37</v>
      </c>
      <c r="AN60" s="245"/>
      <c r="AO60" s="245">
        <v>2.37</v>
      </c>
      <c r="AP60" s="245">
        <v>2.37</v>
      </c>
      <c r="AQ60" s="245">
        <v>2.37</v>
      </c>
      <c r="AR60" s="245"/>
      <c r="AS60" s="245"/>
      <c r="AT60" s="245"/>
      <c r="AU60" s="273"/>
      <c r="AV60" s="245">
        <v>2.37</v>
      </c>
      <c r="AW60" s="281">
        <v>2.37</v>
      </c>
      <c r="AX60" s="245"/>
      <c r="AY60" s="245"/>
      <c r="AZ60" s="245"/>
      <c r="BA60" s="245">
        <v>2.37</v>
      </c>
      <c r="BB60" s="245">
        <v>2.37</v>
      </c>
      <c r="BC60" s="245"/>
      <c r="BD60" s="245"/>
      <c r="BE60" s="245"/>
      <c r="BF60" s="245">
        <v>2.37</v>
      </c>
      <c r="BG60" s="245"/>
      <c r="BH60" s="245"/>
      <c r="BI60" s="245">
        <v>2.37</v>
      </c>
      <c r="BJ60" s="245"/>
      <c r="BK60" s="245"/>
      <c r="BL60" s="245"/>
      <c r="BM60" s="245"/>
      <c r="BN60" s="245"/>
      <c r="BO60" s="245"/>
      <c r="BP60" s="245"/>
      <c r="BQ60" s="245"/>
      <c r="BR60" s="245"/>
      <c r="BS60" s="245"/>
      <c r="BT60" s="245"/>
      <c r="BU60" s="245"/>
      <c r="BV60" s="245"/>
      <c r="BW60" s="245"/>
      <c r="BX60" s="245"/>
      <c r="BY60" s="245">
        <v>2.37</v>
      </c>
      <c r="BZ60" s="245">
        <v>2.37</v>
      </c>
      <c r="CA60" s="245">
        <v>2.37</v>
      </c>
      <c r="CB60" s="245"/>
      <c r="CC60" s="245"/>
      <c r="CD60" s="245"/>
      <c r="CE60" s="245"/>
      <c r="CF60" s="245"/>
      <c r="CG60" s="245"/>
      <c r="CH60" s="245"/>
      <c r="CI60" s="245"/>
      <c r="CJ60" s="245"/>
      <c r="CK60" s="245"/>
      <c r="CL60" s="245"/>
      <c r="CM60" s="245"/>
      <c r="CN60" s="245"/>
      <c r="CO60" s="245"/>
      <c r="CP60" s="245"/>
      <c r="CQ60" s="245"/>
      <c r="CR60" s="245"/>
      <c r="CS60" s="245"/>
      <c r="CT60" s="245"/>
      <c r="CU60" s="245"/>
      <c r="CV60" s="245"/>
      <c r="CW60" s="245"/>
      <c r="CX60" s="245"/>
      <c r="CY60" s="245"/>
      <c r="CZ60" s="245"/>
      <c r="DA60" s="245"/>
      <c r="DB60" s="245"/>
      <c r="DC60" s="245"/>
      <c r="DD60" s="245"/>
      <c r="DE60" s="245"/>
      <c r="DF60" s="245"/>
      <c r="DG60" s="245"/>
      <c r="DH60" s="245"/>
      <c r="DI60" s="245"/>
      <c r="DJ60" s="245"/>
      <c r="DK60" s="245"/>
      <c r="DL60" s="245"/>
      <c r="DM60" s="245"/>
      <c r="DN60" s="245"/>
      <c r="DO60" s="245"/>
      <c r="DP60" s="245"/>
      <c r="DQ60" s="245"/>
      <c r="DR60" s="245"/>
      <c r="DS60" s="245"/>
      <c r="DT60" s="245"/>
      <c r="DU60" s="245"/>
      <c r="DV60" s="245"/>
      <c r="DW60" s="245"/>
      <c r="DX60" s="245">
        <v>4.74</v>
      </c>
      <c r="DY60" s="245">
        <v>4.74</v>
      </c>
      <c r="DZ60" s="245"/>
      <c r="EA60" s="245"/>
      <c r="EB60" s="245"/>
      <c r="EC60" s="245"/>
      <c r="ED60" s="245"/>
      <c r="EE60" s="245"/>
      <c r="EF60" s="245"/>
      <c r="EG60" s="245"/>
      <c r="EH60" s="245"/>
      <c r="EI60" s="245"/>
      <c r="EJ60" s="245"/>
      <c r="EK60" s="278"/>
      <c r="EL60" s="278"/>
      <c r="EM60" s="278"/>
      <c r="EN60" s="278"/>
      <c r="EO60" s="278"/>
      <c r="EP60" s="250"/>
    </row>
    <row r="61" spans="1:146" ht="15.6">
      <c r="A61" s="215">
        <v>2804</v>
      </c>
      <c r="B61" s="233">
        <v>286</v>
      </c>
      <c r="C61" s="246"/>
      <c r="D61" s="246"/>
      <c r="E61" s="246"/>
      <c r="F61" s="246"/>
      <c r="G61" s="246"/>
      <c r="H61" s="246"/>
      <c r="I61" s="246">
        <v>1.43</v>
      </c>
      <c r="J61" s="246">
        <v>1.43</v>
      </c>
      <c r="K61" s="246"/>
      <c r="L61" s="251"/>
      <c r="M61" s="251"/>
      <c r="N61" s="251"/>
      <c r="O61" s="251"/>
      <c r="P61" s="251"/>
      <c r="Q61" s="251"/>
      <c r="R61" s="251"/>
      <c r="S61" s="246"/>
      <c r="T61" s="246"/>
      <c r="U61" s="246"/>
      <c r="V61" s="246"/>
      <c r="W61" s="246"/>
      <c r="X61" s="246"/>
      <c r="Y61" s="246"/>
      <c r="Z61" s="265"/>
      <c r="AA61" s="265"/>
      <c r="AB61" s="265"/>
      <c r="AC61" s="265"/>
      <c r="AD61" s="265"/>
      <c r="AE61" s="246"/>
      <c r="AF61" s="265"/>
      <c r="AG61" s="265"/>
      <c r="AH61" s="265"/>
      <c r="AI61" s="265"/>
      <c r="AJ61" s="265"/>
      <c r="AK61" s="265"/>
      <c r="AL61" s="265"/>
      <c r="AM61" s="246">
        <v>1.43</v>
      </c>
      <c r="AN61" s="246"/>
      <c r="AO61" s="246">
        <v>1.43</v>
      </c>
      <c r="AP61" s="246"/>
      <c r="AQ61" s="246">
        <v>1.43</v>
      </c>
      <c r="AR61" s="246"/>
      <c r="AS61" s="246">
        <v>1.43</v>
      </c>
      <c r="AT61" s="246"/>
      <c r="AU61" s="273"/>
      <c r="AV61" s="246">
        <v>1.43</v>
      </c>
      <c r="AW61" s="281">
        <v>1.43</v>
      </c>
      <c r="AX61" s="245"/>
      <c r="AY61" s="246"/>
      <c r="AZ61" s="246"/>
      <c r="BA61" s="246">
        <v>1.43</v>
      </c>
      <c r="BB61" s="246">
        <v>1.43</v>
      </c>
      <c r="BC61" s="246"/>
      <c r="BD61" s="246"/>
      <c r="BE61" s="246"/>
      <c r="BF61" s="246"/>
      <c r="BG61" s="246"/>
      <c r="BH61" s="246"/>
      <c r="BI61" s="246">
        <v>1.43</v>
      </c>
      <c r="BJ61" s="246"/>
      <c r="BK61" s="246"/>
      <c r="BL61" s="246"/>
      <c r="BM61" s="246"/>
      <c r="BN61" s="246"/>
      <c r="BO61" s="246"/>
      <c r="BP61" s="246"/>
      <c r="BQ61" s="246"/>
      <c r="BR61" s="246"/>
      <c r="BS61" s="246"/>
      <c r="BT61" s="246">
        <v>1.43</v>
      </c>
      <c r="BU61" s="246"/>
      <c r="BV61" s="246">
        <v>1.43</v>
      </c>
      <c r="BW61" s="246">
        <v>1.43</v>
      </c>
      <c r="BX61" s="246">
        <v>1.43</v>
      </c>
      <c r="BY61" s="246"/>
      <c r="BZ61" s="246"/>
      <c r="CA61" s="246"/>
      <c r="CB61" s="246"/>
      <c r="CC61" s="246"/>
      <c r="CD61" s="246"/>
      <c r="CE61" s="246"/>
      <c r="CF61" s="246"/>
      <c r="CG61" s="246"/>
      <c r="CH61" s="246"/>
      <c r="CI61" s="246"/>
      <c r="CJ61" s="246"/>
      <c r="CK61" s="246"/>
      <c r="CL61" s="246"/>
      <c r="CM61" s="246"/>
      <c r="CN61" s="246"/>
      <c r="CO61" s="246">
        <v>2.86</v>
      </c>
      <c r="CP61" s="246">
        <v>2.86</v>
      </c>
      <c r="CQ61" s="246">
        <v>2.86</v>
      </c>
      <c r="CR61" s="246">
        <v>2.86</v>
      </c>
      <c r="CS61" s="246">
        <v>2.86</v>
      </c>
      <c r="CT61" s="246"/>
      <c r="CU61" s="246"/>
      <c r="CV61" s="246"/>
      <c r="CW61" s="246"/>
      <c r="CX61" s="246"/>
      <c r="CY61" s="246"/>
      <c r="CZ61" s="246"/>
      <c r="DA61" s="246"/>
      <c r="DB61" s="246"/>
      <c r="DC61" s="246"/>
      <c r="DD61" s="246"/>
      <c r="DE61" s="246"/>
      <c r="DF61" s="246"/>
      <c r="DG61" s="246"/>
      <c r="DH61" s="246"/>
      <c r="DI61" s="246"/>
      <c r="DJ61" s="246"/>
      <c r="DK61" s="246"/>
      <c r="DL61" s="246"/>
      <c r="DM61" s="246"/>
      <c r="DN61" s="246"/>
      <c r="DO61" s="246"/>
      <c r="DP61" s="246"/>
      <c r="DQ61" s="246"/>
      <c r="DR61" s="246"/>
      <c r="DS61" s="246"/>
      <c r="DT61" s="246"/>
      <c r="DU61" s="246"/>
      <c r="DV61" s="246"/>
      <c r="DW61" s="246"/>
      <c r="DX61" s="246"/>
      <c r="DY61" s="246"/>
      <c r="DZ61" s="246"/>
      <c r="EA61" s="246"/>
      <c r="EB61" s="246"/>
      <c r="EC61" s="246"/>
      <c r="ED61" s="246"/>
      <c r="EE61" s="246"/>
      <c r="EF61" s="246"/>
      <c r="EG61" s="246"/>
      <c r="EH61" s="246"/>
      <c r="EI61" s="246"/>
      <c r="EJ61" s="246"/>
      <c r="EK61" s="296"/>
      <c r="EL61" s="296"/>
      <c r="EM61" s="296"/>
      <c r="EN61" s="296"/>
      <c r="EO61" s="296"/>
      <c r="EP61" s="250"/>
    </row>
    <row r="62" spans="1:146" ht="15.6">
      <c r="A62" s="215">
        <v>2772</v>
      </c>
      <c r="B62" s="233">
        <v>410</v>
      </c>
      <c r="C62" s="246"/>
      <c r="D62" s="246"/>
      <c r="E62" s="246"/>
      <c r="F62" s="246"/>
      <c r="G62" s="246"/>
      <c r="H62" s="246"/>
      <c r="I62" s="246"/>
      <c r="J62" s="246">
        <v>2.56</v>
      </c>
      <c r="K62" s="246">
        <v>2.56</v>
      </c>
      <c r="L62" s="251"/>
      <c r="M62" s="251"/>
      <c r="N62" s="251"/>
      <c r="O62" s="251"/>
      <c r="P62" s="251"/>
      <c r="Q62" s="251"/>
      <c r="R62" s="251"/>
      <c r="S62" s="246"/>
      <c r="T62" s="246"/>
      <c r="U62" s="246"/>
      <c r="V62" s="246"/>
      <c r="W62" s="246"/>
      <c r="X62" s="246"/>
      <c r="Y62" s="246"/>
      <c r="Z62" s="265"/>
      <c r="AA62" s="265"/>
      <c r="AB62" s="265"/>
      <c r="AC62" s="265"/>
      <c r="AD62" s="265"/>
      <c r="AE62" s="246"/>
      <c r="AF62" s="265"/>
      <c r="AG62" s="265"/>
      <c r="AH62" s="265"/>
      <c r="AI62" s="265"/>
      <c r="AJ62" s="265"/>
      <c r="AK62" s="265"/>
      <c r="AL62" s="265"/>
      <c r="AM62" s="246"/>
      <c r="AN62" s="246">
        <v>2.88</v>
      </c>
      <c r="AO62" s="246">
        <v>2.88</v>
      </c>
      <c r="AP62" s="246"/>
      <c r="AQ62" s="246">
        <v>2.88</v>
      </c>
      <c r="AR62" s="246"/>
      <c r="AS62" s="246">
        <v>2.88</v>
      </c>
      <c r="AT62" s="246"/>
      <c r="AU62" s="273"/>
      <c r="AV62" s="246">
        <v>2.88</v>
      </c>
      <c r="AW62" s="281">
        <v>2.88</v>
      </c>
      <c r="AX62" s="245"/>
      <c r="AY62" s="246"/>
      <c r="AZ62" s="246">
        <v>2.88</v>
      </c>
      <c r="BA62" s="246"/>
      <c r="BB62" s="246">
        <v>2.88</v>
      </c>
      <c r="BC62" s="246"/>
      <c r="BD62" s="246"/>
      <c r="BE62" s="246"/>
      <c r="BF62" s="246"/>
      <c r="BG62" s="246"/>
      <c r="BH62" s="246"/>
      <c r="BI62" s="246">
        <v>2.88</v>
      </c>
      <c r="BJ62" s="246"/>
      <c r="BK62" s="246"/>
      <c r="BL62" s="246"/>
      <c r="BM62" s="246"/>
      <c r="BN62" s="246"/>
      <c r="BO62" s="246"/>
      <c r="BP62" s="246"/>
      <c r="BQ62" s="246"/>
      <c r="BR62" s="246"/>
      <c r="BS62" s="246"/>
      <c r="BT62" s="246"/>
      <c r="BU62" s="246"/>
      <c r="BV62" s="246"/>
      <c r="BW62" s="246"/>
      <c r="BX62" s="246"/>
      <c r="BY62" s="246">
        <v>2.88</v>
      </c>
      <c r="BZ62" s="246">
        <v>2.88</v>
      </c>
      <c r="CA62" s="246">
        <v>2.88</v>
      </c>
      <c r="CB62" s="246"/>
      <c r="CC62" s="246"/>
      <c r="CD62" s="246"/>
      <c r="CE62" s="246"/>
      <c r="CF62" s="246"/>
      <c r="CG62" s="246"/>
      <c r="CH62" s="246"/>
      <c r="CI62" s="246"/>
      <c r="CJ62" s="246"/>
      <c r="CK62" s="246"/>
      <c r="CL62" s="246"/>
      <c r="CM62" s="246"/>
      <c r="CN62" s="246"/>
      <c r="CO62" s="246"/>
      <c r="CP62" s="246"/>
      <c r="CQ62" s="246"/>
      <c r="CR62" s="246"/>
      <c r="CS62" s="246"/>
      <c r="CT62" s="246"/>
      <c r="CU62" s="246"/>
      <c r="CV62" s="246"/>
      <c r="CW62" s="246">
        <v>5.76</v>
      </c>
      <c r="CX62" s="246">
        <v>5.76</v>
      </c>
      <c r="CY62" s="246"/>
      <c r="CZ62" s="246"/>
      <c r="DA62" s="246"/>
      <c r="DB62" s="246"/>
      <c r="DC62" s="246"/>
      <c r="DD62" s="246"/>
      <c r="DE62" s="246"/>
      <c r="DF62" s="246"/>
      <c r="DG62" s="246"/>
      <c r="DH62" s="246"/>
      <c r="DI62" s="246"/>
      <c r="DJ62" s="246"/>
      <c r="DK62" s="246"/>
      <c r="DL62" s="246"/>
      <c r="DM62" s="246"/>
      <c r="DN62" s="246"/>
      <c r="DO62" s="246"/>
      <c r="DP62" s="246"/>
      <c r="DQ62" s="246"/>
      <c r="DR62" s="246"/>
      <c r="DS62" s="246"/>
      <c r="DT62" s="246"/>
      <c r="DU62" s="246"/>
      <c r="DV62" s="246"/>
      <c r="DW62" s="246"/>
      <c r="DX62" s="246"/>
      <c r="DY62" s="246"/>
      <c r="DZ62" s="246"/>
      <c r="EA62" s="246"/>
      <c r="EB62" s="246"/>
      <c r="EC62" s="246"/>
      <c r="ED62" s="246"/>
      <c r="EE62" s="246"/>
      <c r="EF62" s="246"/>
      <c r="EG62" s="246"/>
      <c r="EH62" s="246"/>
      <c r="EI62" s="246"/>
      <c r="EJ62" s="246"/>
      <c r="EK62" s="296"/>
      <c r="EL62" s="296"/>
      <c r="EM62" s="296"/>
      <c r="EN62" s="296"/>
      <c r="EO62" s="296"/>
      <c r="EP62" s="250"/>
    </row>
    <row r="63" spans="1:146" ht="15.6">
      <c r="A63" s="215">
        <v>2643</v>
      </c>
      <c r="B63" s="233">
        <v>346</v>
      </c>
      <c r="C63" s="245"/>
      <c r="D63" s="245"/>
      <c r="E63" s="245"/>
      <c r="F63" s="245"/>
      <c r="G63" s="245"/>
      <c r="H63" s="245"/>
      <c r="I63" s="245">
        <v>1.8</v>
      </c>
      <c r="J63" s="245">
        <v>1.8</v>
      </c>
      <c r="K63" s="245"/>
      <c r="L63" s="251"/>
      <c r="M63" s="251"/>
      <c r="N63" s="251"/>
      <c r="O63" s="251"/>
      <c r="P63" s="251"/>
      <c r="Q63" s="251"/>
      <c r="R63" s="251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5"/>
      <c r="AI63" s="245"/>
      <c r="AJ63" s="245"/>
      <c r="AK63" s="245"/>
      <c r="AL63" s="245"/>
      <c r="AM63" s="245"/>
      <c r="AN63" s="245">
        <v>1.8</v>
      </c>
      <c r="AO63" s="245">
        <v>1.8</v>
      </c>
      <c r="AP63" s="245"/>
      <c r="AQ63" s="245">
        <v>1.8</v>
      </c>
      <c r="AR63" s="245"/>
      <c r="AS63" s="245">
        <v>1.8</v>
      </c>
      <c r="AT63" s="245"/>
      <c r="AU63" s="273"/>
      <c r="AV63" s="245">
        <v>1.8</v>
      </c>
      <c r="AW63" s="281">
        <v>1.8</v>
      </c>
      <c r="AX63" s="245"/>
      <c r="AY63" s="245">
        <v>1.8</v>
      </c>
      <c r="AZ63" s="245"/>
      <c r="BA63" s="245">
        <v>1.8</v>
      </c>
      <c r="BB63" s="245">
        <v>1.8</v>
      </c>
      <c r="BC63" s="245"/>
      <c r="BD63" s="245"/>
      <c r="BE63" s="245"/>
      <c r="BF63" s="245">
        <v>1.8</v>
      </c>
      <c r="BG63" s="245"/>
      <c r="BH63" s="245"/>
      <c r="BI63" s="245">
        <v>1.8</v>
      </c>
      <c r="BJ63" s="245"/>
      <c r="BK63" s="245"/>
      <c r="BL63" s="245"/>
      <c r="BM63" s="245"/>
      <c r="BN63" s="245"/>
      <c r="BO63" s="245"/>
      <c r="BP63" s="245"/>
      <c r="BQ63" s="245"/>
      <c r="BR63" s="245">
        <v>3.6</v>
      </c>
      <c r="BS63" s="245">
        <v>3.6</v>
      </c>
      <c r="BT63" s="245">
        <v>1.8</v>
      </c>
      <c r="BU63" s="245"/>
      <c r="BV63" s="245"/>
      <c r="BW63" s="245"/>
      <c r="BX63" s="245"/>
      <c r="BY63" s="245"/>
      <c r="BZ63" s="245"/>
      <c r="CA63" s="245"/>
      <c r="CB63" s="245"/>
      <c r="CC63" s="245"/>
      <c r="CD63" s="245"/>
      <c r="CE63" s="245"/>
      <c r="CF63" s="245"/>
      <c r="CG63" s="245"/>
      <c r="CH63" s="245"/>
      <c r="CI63" s="245"/>
      <c r="CJ63" s="245"/>
      <c r="CK63" s="245"/>
      <c r="CL63" s="245">
        <v>3.6</v>
      </c>
      <c r="CM63" s="245">
        <v>3.6</v>
      </c>
      <c r="CN63" s="245">
        <v>3.6</v>
      </c>
      <c r="CO63" s="245"/>
      <c r="CP63" s="245"/>
      <c r="CQ63" s="245"/>
      <c r="CR63" s="245"/>
      <c r="CS63" s="245"/>
      <c r="CT63" s="245"/>
      <c r="CU63" s="245"/>
      <c r="CV63" s="245"/>
      <c r="CW63" s="245"/>
      <c r="CX63" s="245"/>
      <c r="CY63" s="245"/>
      <c r="CZ63" s="245"/>
      <c r="DA63" s="245"/>
      <c r="DB63" s="245"/>
      <c r="DC63" s="245"/>
      <c r="DD63" s="245"/>
      <c r="DE63" s="245"/>
      <c r="DF63" s="245"/>
      <c r="DG63" s="245"/>
      <c r="DH63" s="245"/>
      <c r="DI63" s="245"/>
      <c r="DJ63" s="245"/>
      <c r="DK63" s="245"/>
      <c r="DL63" s="245"/>
      <c r="DM63" s="245"/>
      <c r="DN63" s="245"/>
      <c r="DO63" s="245"/>
      <c r="DP63" s="245"/>
      <c r="DQ63" s="245"/>
      <c r="DR63" s="245"/>
      <c r="DS63" s="245"/>
      <c r="DT63" s="245"/>
      <c r="DU63" s="245"/>
      <c r="DV63" s="245"/>
      <c r="DW63" s="245"/>
      <c r="DX63" s="245"/>
      <c r="DY63" s="245"/>
      <c r="DZ63" s="245"/>
      <c r="EA63" s="245"/>
      <c r="EB63" s="245"/>
      <c r="EC63" s="245"/>
      <c r="ED63" s="245"/>
      <c r="EE63" s="245"/>
      <c r="EF63" s="245"/>
      <c r="EG63" s="245"/>
      <c r="EH63" s="245"/>
      <c r="EI63" s="245"/>
      <c r="EJ63" s="245"/>
      <c r="EK63" s="278"/>
      <c r="EL63" s="278"/>
      <c r="EM63" s="278"/>
      <c r="EN63" s="278"/>
      <c r="EO63" s="278"/>
      <c r="EP63" s="250"/>
    </row>
    <row r="64" spans="1:146" ht="15.6">
      <c r="A64" s="215">
        <v>2639</v>
      </c>
      <c r="B64" s="233">
        <v>302</v>
      </c>
      <c r="C64" s="245"/>
      <c r="D64" s="245"/>
      <c r="E64" s="245"/>
      <c r="F64" s="245"/>
      <c r="G64" s="245"/>
      <c r="H64" s="245"/>
      <c r="I64" s="245">
        <v>1.64</v>
      </c>
      <c r="J64" s="245">
        <v>1.64</v>
      </c>
      <c r="K64" s="245"/>
      <c r="L64" s="251"/>
      <c r="M64" s="251"/>
      <c r="N64" s="251"/>
      <c r="O64" s="251"/>
      <c r="P64" s="251"/>
      <c r="Q64" s="251"/>
      <c r="R64" s="251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  <c r="AI64" s="245"/>
      <c r="AJ64" s="245"/>
      <c r="AK64" s="245"/>
      <c r="AL64" s="245"/>
      <c r="AM64" s="245"/>
      <c r="AN64" s="245">
        <v>1.64</v>
      </c>
      <c r="AO64" s="245">
        <v>1.64</v>
      </c>
      <c r="AP64" s="245">
        <v>1.64</v>
      </c>
      <c r="AQ64" s="245">
        <v>1.64</v>
      </c>
      <c r="AR64" s="245"/>
      <c r="AS64" s="245"/>
      <c r="AT64" s="245"/>
      <c r="AU64" s="273"/>
      <c r="AV64" s="245">
        <v>1.64</v>
      </c>
      <c r="AW64" s="281">
        <v>1.64</v>
      </c>
      <c r="AX64" s="245"/>
      <c r="AY64" s="245"/>
      <c r="AZ64" s="245">
        <v>1.64</v>
      </c>
      <c r="BA64" s="245"/>
      <c r="BB64" s="245">
        <v>1.64</v>
      </c>
      <c r="BC64" s="245"/>
      <c r="BD64" s="245"/>
      <c r="BE64" s="245"/>
      <c r="BF64" s="245"/>
      <c r="BG64" s="245"/>
      <c r="BH64" s="245"/>
      <c r="BI64" s="245">
        <v>1.64</v>
      </c>
      <c r="BJ64" s="245"/>
      <c r="BK64" s="245"/>
      <c r="BL64" s="245"/>
      <c r="BM64" s="245"/>
      <c r="BN64" s="245"/>
      <c r="BO64" s="245"/>
      <c r="BP64" s="245"/>
      <c r="BQ64" s="245"/>
      <c r="BR64" s="245">
        <v>3.28</v>
      </c>
      <c r="BS64" s="245">
        <v>3.28</v>
      </c>
      <c r="BT64" s="245">
        <v>1.64</v>
      </c>
      <c r="BU64" s="245">
        <v>1.64</v>
      </c>
      <c r="BV64" s="245"/>
      <c r="BW64" s="245"/>
      <c r="BX64" s="245"/>
      <c r="BY64" s="245"/>
      <c r="BZ64" s="245"/>
      <c r="CA64" s="245"/>
      <c r="CB64" s="245"/>
      <c r="CC64" s="245"/>
      <c r="CD64" s="245"/>
      <c r="CE64" s="245"/>
      <c r="CF64" s="245"/>
      <c r="CG64" s="245"/>
      <c r="CH64" s="245"/>
      <c r="CI64" s="245"/>
      <c r="CJ64" s="245"/>
      <c r="CK64" s="245"/>
      <c r="CL64" s="245">
        <v>3.28</v>
      </c>
      <c r="CM64" s="245">
        <v>3.28</v>
      </c>
      <c r="CN64" s="245">
        <v>3.28</v>
      </c>
      <c r="CO64" s="245"/>
      <c r="CP64" s="245"/>
      <c r="CQ64" s="245"/>
      <c r="CR64" s="245"/>
      <c r="CS64" s="245"/>
      <c r="CT64" s="245"/>
      <c r="CU64" s="245"/>
      <c r="CV64" s="245"/>
      <c r="CW64" s="245"/>
      <c r="CX64" s="245"/>
      <c r="CY64" s="245"/>
      <c r="CZ64" s="245"/>
      <c r="DA64" s="245"/>
      <c r="DB64" s="245"/>
      <c r="DC64" s="245"/>
      <c r="DD64" s="245"/>
      <c r="DE64" s="245"/>
      <c r="DF64" s="245"/>
      <c r="DG64" s="245"/>
      <c r="DH64" s="245"/>
      <c r="DI64" s="245"/>
      <c r="DJ64" s="245"/>
      <c r="DK64" s="245"/>
      <c r="DL64" s="245"/>
      <c r="DM64" s="245"/>
      <c r="DN64" s="245"/>
      <c r="DO64" s="245"/>
      <c r="DP64" s="245"/>
      <c r="DQ64" s="245"/>
      <c r="DR64" s="245"/>
      <c r="DS64" s="245"/>
      <c r="DT64" s="245"/>
      <c r="DU64" s="245"/>
      <c r="DV64" s="245"/>
      <c r="DW64" s="245"/>
      <c r="DX64" s="245"/>
      <c r="DY64" s="245"/>
      <c r="DZ64" s="245"/>
      <c r="EA64" s="245"/>
      <c r="EB64" s="245"/>
      <c r="EC64" s="245"/>
      <c r="ED64" s="245"/>
      <c r="EE64" s="245"/>
      <c r="EF64" s="245"/>
      <c r="EG64" s="245"/>
      <c r="EH64" s="245"/>
      <c r="EI64" s="245"/>
      <c r="EJ64" s="245"/>
      <c r="EK64" s="278"/>
      <c r="EL64" s="278"/>
      <c r="EM64" s="278"/>
      <c r="EN64" s="278"/>
      <c r="EO64" s="278"/>
      <c r="EP64" s="250"/>
    </row>
    <row r="65" spans="1:146" ht="15.6">
      <c r="A65" s="324">
        <v>2646</v>
      </c>
      <c r="B65" s="325">
        <v>204</v>
      </c>
      <c r="C65" s="278"/>
      <c r="D65" s="278"/>
      <c r="E65" s="278"/>
      <c r="F65" s="278"/>
      <c r="G65" s="278"/>
      <c r="H65" s="278"/>
      <c r="I65" s="278">
        <v>1.06</v>
      </c>
      <c r="J65" s="278">
        <v>1.06</v>
      </c>
      <c r="K65" s="278"/>
      <c r="L65" s="326"/>
      <c r="M65" s="326"/>
      <c r="N65" s="326"/>
      <c r="O65" s="326"/>
      <c r="P65" s="326"/>
      <c r="Q65" s="326"/>
      <c r="R65" s="326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  <c r="AC65" s="278"/>
      <c r="AD65" s="278"/>
      <c r="AE65" s="278"/>
      <c r="AF65" s="278"/>
      <c r="AG65" s="278"/>
      <c r="AH65" s="278"/>
      <c r="AI65" s="278"/>
      <c r="AJ65" s="278"/>
      <c r="AK65" s="278"/>
      <c r="AL65" s="278"/>
      <c r="AM65" s="278"/>
      <c r="AN65" s="278">
        <v>1.06</v>
      </c>
      <c r="AO65" s="278">
        <v>1.06</v>
      </c>
      <c r="AP65" s="278">
        <v>1.06</v>
      </c>
      <c r="AQ65" s="278">
        <v>1.06</v>
      </c>
      <c r="AR65" s="278"/>
      <c r="AS65" s="278"/>
      <c r="AT65" s="278"/>
      <c r="AU65" s="298"/>
      <c r="AV65" s="278">
        <v>1.06</v>
      </c>
      <c r="AW65" s="281">
        <v>1.06</v>
      </c>
      <c r="AX65" s="278"/>
      <c r="AY65" s="298">
        <v>1.06</v>
      </c>
      <c r="AZ65" s="278"/>
      <c r="BA65" s="278">
        <v>1.06</v>
      </c>
      <c r="BB65" s="278">
        <v>1.06</v>
      </c>
      <c r="BC65" s="278"/>
      <c r="BD65" s="278"/>
      <c r="BE65" s="278"/>
      <c r="BF65" s="278">
        <v>1.06</v>
      </c>
      <c r="BG65" s="278"/>
      <c r="BH65" s="278"/>
      <c r="BI65" s="278">
        <v>1.06</v>
      </c>
      <c r="BJ65" s="278"/>
      <c r="BK65" s="278"/>
      <c r="BL65" s="278"/>
      <c r="BM65" s="278"/>
      <c r="BN65" s="278"/>
      <c r="BO65" s="278"/>
      <c r="BP65" s="278"/>
      <c r="BQ65" s="278"/>
      <c r="BR65" s="278">
        <v>2.12</v>
      </c>
      <c r="BS65" s="278">
        <v>2.12</v>
      </c>
      <c r="BT65" s="278">
        <v>1.06</v>
      </c>
      <c r="BU65" s="278"/>
      <c r="BV65" s="278"/>
      <c r="BW65" s="278"/>
      <c r="BX65" s="278"/>
      <c r="BY65" s="278"/>
      <c r="BZ65" s="278"/>
      <c r="CA65" s="278"/>
      <c r="CB65" s="278"/>
      <c r="CC65" s="278"/>
      <c r="CD65" s="278"/>
      <c r="CE65" s="278"/>
      <c r="CF65" s="278"/>
      <c r="CG65" s="278"/>
      <c r="CH65" s="278"/>
      <c r="CI65" s="278"/>
      <c r="CJ65" s="278"/>
      <c r="CK65" s="278"/>
      <c r="CL65" s="278">
        <v>2.12</v>
      </c>
      <c r="CM65" s="278">
        <v>2.12</v>
      </c>
      <c r="CN65" s="278">
        <v>2.12</v>
      </c>
      <c r="CO65" s="278"/>
      <c r="CP65" s="278"/>
      <c r="CQ65" s="278"/>
      <c r="CR65" s="278"/>
      <c r="CS65" s="278"/>
      <c r="CT65" s="278"/>
      <c r="CU65" s="278"/>
      <c r="CV65" s="278"/>
      <c r="CW65" s="278"/>
      <c r="CX65" s="278"/>
      <c r="CY65" s="278"/>
      <c r="CZ65" s="278"/>
      <c r="DA65" s="278"/>
      <c r="DB65" s="278"/>
      <c r="DC65" s="278"/>
      <c r="DD65" s="278"/>
      <c r="DE65" s="278"/>
      <c r="DF65" s="278"/>
      <c r="DG65" s="278"/>
      <c r="DH65" s="278"/>
      <c r="DI65" s="278"/>
      <c r="DJ65" s="278"/>
      <c r="DK65" s="278"/>
      <c r="DL65" s="278"/>
      <c r="DM65" s="278"/>
      <c r="DN65" s="278"/>
      <c r="DO65" s="278"/>
      <c r="DP65" s="278"/>
      <c r="DQ65" s="278"/>
      <c r="DR65" s="278"/>
      <c r="DS65" s="278"/>
      <c r="DT65" s="278"/>
      <c r="DU65" s="278"/>
      <c r="DV65" s="278"/>
      <c r="DW65" s="278"/>
      <c r="DX65" s="278"/>
      <c r="DY65" s="278"/>
      <c r="DZ65" s="278"/>
      <c r="EA65" s="278"/>
      <c r="EB65" s="278"/>
      <c r="EC65" s="278"/>
      <c r="ED65" s="278"/>
      <c r="EE65" s="278"/>
      <c r="EF65" s="278"/>
      <c r="EG65" s="278"/>
      <c r="EH65" s="278"/>
      <c r="EI65" s="278"/>
      <c r="EJ65" s="278"/>
      <c r="EK65" s="278"/>
      <c r="EL65" s="278"/>
      <c r="EM65" s="278"/>
      <c r="EN65" s="278"/>
      <c r="EO65" s="278"/>
      <c r="EP65" s="327"/>
    </row>
    <row r="66" spans="1:146">
      <c r="A66" s="328" t="s">
        <v>261</v>
      </c>
      <c r="B66" s="329"/>
      <c r="C66" s="330">
        <f>SUM(C2:C65)</f>
        <v>65.699999999999989</v>
      </c>
      <c r="D66" s="330">
        <f t="shared" ref="D66:BO66" si="0">SUM(D2:D65)</f>
        <v>14.66</v>
      </c>
      <c r="E66" s="330">
        <f t="shared" si="0"/>
        <v>74.929999999999964</v>
      </c>
      <c r="F66" s="330">
        <f t="shared" si="0"/>
        <v>67.759999999999977</v>
      </c>
      <c r="G66" s="330">
        <f t="shared" si="0"/>
        <v>13.89</v>
      </c>
      <c r="H66" s="330">
        <f t="shared" si="0"/>
        <v>0.33</v>
      </c>
      <c r="I66" s="330">
        <f t="shared" si="0"/>
        <v>11.030000000000001</v>
      </c>
      <c r="J66" s="330">
        <f t="shared" si="0"/>
        <v>8.49</v>
      </c>
      <c r="K66" s="330">
        <f t="shared" si="0"/>
        <v>6.6300000000000008</v>
      </c>
      <c r="L66" s="330">
        <f t="shared" si="0"/>
        <v>13.96</v>
      </c>
      <c r="M66" s="330">
        <f t="shared" si="0"/>
        <v>9.5599999999999987</v>
      </c>
      <c r="N66" s="330">
        <f t="shared" si="0"/>
        <v>4.4000000000000004</v>
      </c>
      <c r="O66" s="330">
        <f t="shared" si="0"/>
        <v>0.33</v>
      </c>
      <c r="P66" s="330">
        <f t="shared" si="0"/>
        <v>0.33</v>
      </c>
      <c r="Q66" s="330">
        <f t="shared" si="0"/>
        <v>0.33</v>
      </c>
      <c r="R66" s="330">
        <f t="shared" si="0"/>
        <v>0.33</v>
      </c>
      <c r="S66" s="330">
        <f t="shared" si="0"/>
        <v>170.91000000000005</v>
      </c>
      <c r="T66" s="330">
        <f t="shared" si="0"/>
        <v>76.110000000000014</v>
      </c>
      <c r="U66" s="330">
        <f t="shared" si="0"/>
        <v>123.12999999999998</v>
      </c>
      <c r="V66" s="330">
        <f t="shared" si="0"/>
        <v>115.30999999999999</v>
      </c>
      <c r="W66" s="330">
        <f t="shared" si="0"/>
        <v>70.36</v>
      </c>
      <c r="X66" s="330">
        <f t="shared" si="0"/>
        <v>38.639999999999993</v>
      </c>
      <c r="Y66" s="330">
        <f t="shared" si="0"/>
        <v>80.510000000000005</v>
      </c>
      <c r="Z66" s="330">
        <f t="shared" si="0"/>
        <v>25.599999999999998</v>
      </c>
      <c r="AA66" s="330">
        <f t="shared" si="0"/>
        <v>14.190000000000001</v>
      </c>
      <c r="AB66" s="330">
        <f t="shared" si="0"/>
        <v>21.189999999999998</v>
      </c>
      <c r="AC66" s="330">
        <f t="shared" si="0"/>
        <v>10.07</v>
      </c>
      <c r="AD66" s="330">
        <f t="shared" si="0"/>
        <v>53.090000000000011</v>
      </c>
      <c r="AE66" s="330">
        <f t="shared" si="0"/>
        <v>35.56</v>
      </c>
      <c r="AF66" s="330">
        <f t="shared" si="0"/>
        <v>21.37</v>
      </c>
      <c r="AG66" s="330">
        <f t="shared" si="0"/>
        <v>57.500000000000007</v>
      </c>
      <c r="AH66" s="330">
        <f t="shared" si="0"/>
        <v>34.879999999999995</v>
      </c>
      <c r="AI66" s="330">
        <f t="shared" si="0"/>
        <v>4.07</v>
      </c>
      <c r="AJ66" s="330">
        <f t="shared" si="0"/>
        <v>3.07</v>
      </c>
      <c r="AK66" s="330">
        <f t="shared" si="0"/>
        <v>30.189999999999998</v>
      </c>
      <c r="AL66" s="330">
        <f t="shared" si="0"/>
        <v>7.41</v>
      </c>
      <c r="AM66" s="330">
        <f t="shared" si="0"/>
        <v>20.69</v>
      </c>
      <c r="AN66" s="330">
        <f t="shared" si="0"/>
        <v>76.349999999999994</v>
      </c>
      <c r="AO66" s="330">
        <f t="shared" si="0"/>
        <v>134.64000000000001</v>
      </c>
      <c r="AP66" s="330">
        <f t="shared" si="0"/>
        <v>118.26000000000002</v>
      </c>
      <c r="AQ66" s="330">
        <f t="shared" si="0"/>
        <v>134.64000000000001</v>
      </c>
      <c r="AR66" s="330">
        <f t="shared" si="0"/>
        <v>4.4000000000000004</v>
      </c>
      <c r="AS66" s="330">
        <f t="shared" si="0"/>
        <v>6.1099999999999994</v>
      </c>
      <c r="AT66" s="330">
        <f t="shared" si="0"/>
        <v>19.36</v>
      </c>
      <c r="AU66" s="330">
        <f t="shared" si="0"/>
        <v>4.07</v>
      </c>
      <c r="AV66" s="330">
        <f t="shared" si="0"/>
        <v>133.46000000000004</v>
      </c>
      <c r="AW66" s="330">
        <f t="shared" si="0"/>
        <v>134.64000000000001</v>
      </c>
      <c r="AX66" s="330">
        <f t="shared" si="0"/>
        <v>22.1</v>
      </c>
      <c r="AY66" s="330">
        <f t="shared" si="0"/>
        <v>51.309999999999988</v>
      </c>
      <c r="AZ66" s="330">
        <f t="shared" si="0"/>
        <v>98.29</v>
      </c>
      <c r="BA66" s="330">
        <f t="shared" si="0"/>
        <v>32.349999999999994</v>
      </c>
      <c r="BB66" s="330">
        <f t="shared" si="0"/>
        <v>113.51</v>
      </c>
      <c r="BC66" s="330">
        <f t="shared" si="0"/>
        <v>14.43</v>
      </c>
      <c r="BD66" s="330">
        <f t="shared" si="0"/>
        <v>1.8</v>
      </c>
      <c r="BE66" s="330">
        <f t="shared" si="0"/>
        <v>14.22</v>
      </c>
      <c r="BF66" s="330">
        <f t="shared" si="0"/>
        <v>44.169999999999987</v>
      </c>
      <c r="BG66" s="330">
        <f t="shared" si="0"/>
        <v>46.769999999999996</v>
      </c>
      <c r="BH66" s="330">
        <f t="shared" si="0"/>
        <v>47.029999999999994</v>
      </c>
      <c r="BI66" s="330">
        <f t="shared" si="0"/>
        <v>131.85000000000005</v>
      </c>
      <c r="BJ66" s="330">
        <f t="shared" si="0"/>
        <v>15.98</v>
      </c>
      <c r="BK66" s="330">
        <f t="shared" si="0"/>
        <v>0</v>
      </c>
      <c r="BL66" s="330">
        <f t="shared" si="0"/>
        <v>0</v>
      </c>
      <c r="BM66" s="330">
        <f t="shared" si="0"/>
        <v>0</v>
      </c>
      <c r="BN66" s="330">
        <f t="shared" si="0"/>
        <v>0</v>
      </c>
      <c r="BO66" s="330">
        <f t="shared" si="0"/>
        <v>0</v>
      </c>
      <c r="BP66" s="330">
        <f t="shared" ref="BP66:EA66" si="1">SUM(BP2:BP65)</f>
        <v>0</v>
      </c>
      <c r="BQ66" s="330">
        <f t="shared" si="1"/>
        <v>0</v>
      </c>
      <c r="BR66" s="330">
        <f t="shared" si="1"/>
        <v>9</v>
      </c>
      <c r="BS66" s="330">
        <f t="shared" si="1"/>
        <v>9</v>
      </c>
      <c r="BT66" s="330">
        <f t="shared" si="1"/>
        <v>5.93</v>
      </c>
      <c r="BU66" s="330">
        <f t="shared" si="1"/>
        <v>1.64</v>
      </c>
      <c r="BV66" s="330">
        <f t="shared" si="1"/>
        <v>6.5299999999999994</v>
      </c>
      <c r="BW66" s="330">
        <f t="shared" si="1"/>
        <v>6.5299999999999994</v>
      </c>
      <c r="BX66" s="330">
        <f t="shared" si="1"/>
        <v>1.43</v>
      </c>
      <c r="BY66" s="330">
        <f t="shared" si="1"/>
        <v>14.61</v>
      </c>
      <c r="BZ66" s="330">
        <f t="shared" si="1"/>
        <v>14.61</v>
      </c>
      <c r="CA66" s="330">
        <f t="shared" si="1"/>
        <v>5.25</v>
      </c>
      <c r="CB66" s="330">
        <f t="shared" si="1"/>
        <v>3.01</v>
      </c>
      <c r="CC66" s="330">
        <f t="shared" si="1"/>
        <v>3.01</v>
      </c>
      <c r="CD66" s="330">
        <f t="shared" si="1"/>
        <v>3.01</v>
      </c>
      <c r="CE66" s="330">
        <f t="shared" si="1"/>
        <v>3.8</v>
      </c>
      <c r="CF66" s="330">
        <f t="shared" si="1"/>
        <v>3.8</v>
      </c>
      <c r="CG66" s="330">
        <f t="shared" si="1"/>
        <v>3.34</v>
      </c>
      <c r="CH66" s="330">
        <f t="shared" si="1"/>
        <v>3.34</v>
      </c>
      <c r="CI66" s="330">
        <f t="shared" si="1"/>
        <v>6.02</v>
      </c>
      <c r="CJ66" s="330">
        <f t="shared" si="1"/>
        <v>6.02</v>
      </c>
      <c r="CK66" s="330">
        <f t="shared" si="1"/>
        <v>6.02</v>
      </c>
      <c r="CL66" s="330">
        <f t="shared" si="1"/>
        <v>9</v>
      </c>
      <c r="CM66" s="330">
        <f t="shared" si="1"/>
        <v>9</v>
      </c>
      <c r="CN66" s="330">
        <f t="shared" si="1"/>
        <v>9</v>
      </c>
      <c r="CO66" s="330">
        <f t="shared" si="1"/>
        <v>2.86</v>
      </c>
      <c r="CP66" s="330">
        <f t="shared" si="1"/>
        <v>2.86</v>
      </c>
      <c r="CQ66" s="330">
        <f t="shared" si="1"/>
        <v>2.86</v>
      </c>
      <c r="CR66" s="330">
        <f t="shared" si="1"/>
        <v>2.86</v>
      </c>
      <c r="CS66" s="330">
        <f t="shared" si="1"/>
        <v>2.86</v>
      </c>
      <c r="CT66" s="330">
        <f t="shared" si="1"/>
        <v>2.5</v>
      </c>
      <c r="CU66" s="330">
        <f t="shared" si="1"/>
        <v>2.5</v>
      </c>
      <c r="CV66" s="330">
        <f t="shared" si="1"/>
        <v>2.5</v>
      </c>
      <c r="CW66" s="330">
        <f t="shared" si="1"/>
        <v>5.76</v>
      </c>
      <c r="CX66" s="330">
        <f t="shared" si="1"/>
        <v>5.76</v>
      </c>
      <c r="CY66" s="330">
        <f t="shared" si="1"/>
        <v>3.98</v>
      </c>
      <c r="CZ66" s="330">
        <f t="shared" si="1"/>
        <v>3.98</v>
      </c>
      <c r="DA66" s="330">
        <f t="shared" si="1"/>
        <v>3.98</v>
      </c>
      <c r="DB66" s="330">
        <f t="shared" si="1"/>
        <v>10.210000000000001</v>
      </c>
      <c r="DC66" s="330">
        <f t="shared" si="1"/>
        <v>10.210000000000001</v>
      </c>
      <c r="DD66" s="330">
        <f t="shared" si="1"/>
        <v>10.210000000000001</v>
      </c>
      <c r="DE66" s="330">
        <f t="shared" si="1"/>
        <v>10.210000000000001</v>
      </c>
      <c r="DF66" s="330">
        <f t="shared" si="1"/>
        <v>10.210000000000001</v>
      </c>
      <c r="DG66" s="330">
        <f t="shared" si="1"/>
        <v>10.210000000000001</v>
      </c>
      <c r="DH66" s="330">
        <f t="shared" si="1"/>
        <v>10.210000000000001</v>
      </c>
      <c r="DI66" s="330">
        <f t="shared" si="1"/>
        <v>47.860000000000007</v>
      </c>
      <c r="DJ66" s="330">
        <f t="shared" si="1"/>
        <v>47.860000000000007</v>
      </c>
      <c r="DK66" s="330">
        <f t="shared" si="1"/>
        <v>10.66</v>
      </c>
      <c r="DL66" s="330">
        <f t="shared" si="1"/>
        <v>14.18</v>
      </c>
      <c r="DM66" s="330">
        <f t="shared" si="1"/>
        <v>10.66</v>
      </c>
      <c r="DN66" s="330">
        <f t="shared" si="1"/>
        <v>10.66</v>
      </c>
      <c r="DO66" s="330">
        <f t="shared" si="1"/>
        <v>3.52</v>
      </c>
      <c r="DP66" s="330">
        <f t="shared" si="1"/>
        <v>0</v>
      </c>
      <c r="DQ66" s="330">
        <f t="shared" si="1"/>
        <v>26.18</v>
      </c>
      <c r="DR66" s="330">
        <f t="shared" si="1"/>
        <v>9.77</v>
      </c>
      <c r="DS66" s="330">
        <f t="shared" si="1"/>
        <v>6.15</v>
      </c>
      <c r="DT66" s="330">
        <f t="shared" si="1"/>
        <v>26.18</v>
      </c>
      <c r="DU66" s="330">
        <f t="shared" si="1"/>
        <v>3.62</v>
      </c>
      <c r="DV66" s="330">
        <f t="shared" si="1"/>
        <v>7.5</v>
      </c>
      <c r="DW66" s="330">
        <f t="shared" si="1"/>
        <v>23.91</v>
      </c>
      <c r="DX66" s="330">
        <f t="shared" si="1"/>
        <v>4.74</v>
      </c>
      <c r="DY66" s="330">
        <f t="shared" si="1"/>
        <v>4.74</v>
      </c>
      <c r="DZ66" s="330">
        <f t="shared" si="1"/>
        <v>1.62</v>
      </c>
      <c r="EA66" s="330">
        <f t="shared" si="1"/>
        <v>1.62</v>
      </c>
      <c r="EB66" s="330">
        <f t="shared" ref="EB66:EP66" si="2">SUM(EB2:EB65)</f>
        <v>1.62</v>
      </c>
      <c r="EC66" s="330">
        <f t="shared" si="2"/>
        <v>0.81</v>
      </c>
      <c r="ED66" s="330">
        <f t="shared" si="2"/>
        <v>0.81</v>
      </c>
      <c r="EE66" s="330">
        <f t="shared" si="2"/>
        <v>8.15</v>
      </c>
      <c r="EF66" s="330">
        <f t="shared" si="2"/>
        <v>8.15</v>
      </c>
      <c r="EG66" s="330">
        <f t="shared" si="2"/>
        <v>8.15</v>
      </c>
      <c r="EH66" s="330">
        <f t="shared" si="2"/>
        <v>8.15</v>
      </c>
      <c r="EI66" s="330">
        <f t="shared" si="2"/>
        <v>8.15</v>
      </c>
      <c r="EJ66" s="330">
        <f t="shared" si="2"/>
        <v>8.15</v>
      </c>
      <c r="EK66" s="330">
        <f t="shared" si="2"/>
        <v>8.15</v>
      </c>
      <c r="EL66" s="330">
        <f t="shared" si="2"/>
        <v>0.66</v>
      </c>
      <c r="EM66" s="330">
        <f t="shared" si="2"/>
        <v>0.66</v>
      </c>
      <c r="EN66" s="330">
        <f t="shared" si="2"/>
        <v>0.66</v>
      </c>
      <c r="EO66" s="330">
        <f t="shared" si="2"/>
        <v>0.66</v>
      </c>
      <c r="EP66" s="330">
        <f t="shared" si="2"/>
        <v>0.66</v>
      </c>
    </row>
    <row r="67" spans="1:146">
      <c r="A67" s="1"/>
      <c r="B67">
        <v>26358.800000000003</v>
      </c>
    </row>
    <row r="68" spans="1:146">
      <c r="A68" s="1"/>
      <c r="B68" t="s">
        <v>265</v>
      </c>
    </row>
    <row r="69" spans="1:146">
      <c r="A69" s="1"/>
    </row>
    <row r="70" spans="1:146">
      <c r="A70" s="1"/>
    </row>
    <row r="71" spans="1:146">
      <c r="A71" s="1"/>
    </row>
    <row r="72" spans="1:146">
      <c r="A72" s="1"/>
    </row>
    <row r="73" spans="1:146">
      <c r="A73" s="1"/>
    </row>
    <row r="74" spans="1:146">
      <c r="A74" s="1"/>
    </row>
    <row r="75" spans="1:146">
      <c r="A75" s="1"/>
    </row>
    <row r="76" spans="1:146">
      <c r="A76" s="1"/>
    </row>
    <row r="77" spans="1:146">
      <c r="A77" s="1"/>
    </row>
    <row r="78" spans="1:146">
      <c r="A78" s="1"/>
    </row>
    <row r="79" spans="1:146">
      <c r="A79" s="1"/>
    </row>
    <row r="80" spans="1:146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  <row r="9889" spans="1:1">
      <c r="A9889" s="1"/>
    </row>
    <row r="9890" spans="1:1">
      <c r="A9890" s="1"/>
    </row>
    <row r="9891" spans="1:1">
      <c r="A9891" s="1"/>
    </row>
    <row r="9892" spans="1:1">
      <c r="A9892" s="1"/>
    </row>
    <row r="9893" spans="1:1">
      <c r="A9893" s="1"/>
    </row>
    <row r="9894" spans="1:1">
      <c r="A9894" s="1"/>
    </row>
    <row r="9895" spans="1:1">
      <c r="A9895" s="1"/>
    </row>
    <row r="9896" spans="1:1">
      <c r="A9896" s="1"/>
    </row>
    <row r="9897" spans="1:1">
      <c r="A9897" s="1"/>
    </row>
    <row r="9898" spans="1:1">
      <c r="A9898" s="1"/>
    </row>
    <row r="9899" spans="1:1">
      <c r="A9899" s="1"/>
    </row>
    <row r="9900" spans="1:1">
      <c r="A9900" s="1"/>
    </row>
    <row r="9901" spans="1:1">
      <c r="A9901" s="1"/>
    </row>
    <row r="9902" spans="1:1">
      <c r="A9902" s="1"/>
    </row>
    <row r="9903" spans="1:1">
      <c r="A9903" s="1"/>
    </row>
    <row r="9904" spans="1:1">
      <c r="A9904" s="1"/>
    </row>
    <row r="9905" spans="1:1">
      <c r="A9905" s="1"/>
    </row>
    <row r="9906" spans="1:1">
      <c r="A9906" s="1"/>
    </row>
    <row r="9907" spans="1:1">
      <c r="A9907" s="1"/>
    </row>
    <row r="9908" spans="1:1">
      <c r="A9908" s="1"/>
    </row>
    <row r="9909" spans="1:1">
      <c r="A9909" s="1"/>
    </row>
    <row r="9910" spans="1:1">
      <c r="A9910" s="1"/>
    </row>
    <row r="9911" spans="1:1">
      <c r="A9911" s="1"/>
    </row>
    <row r="9912" spans="1:1">
      <c r="A9912" s="1"/>
    </row>
    <row r="9913" spans="1:1">
      <c r="A9913" s="1"/>
    </row>
    <row r="9914" spans="1:1">
      <c r="A9914" s="1"/>
    </row>
    <row r="9915" spans="1:1">
      <c r="A9915" s="1"/>
    </row>
    <row r="9916" spans="1:1">
      <c r="A9916" s="1"/>
    </row>
    <row r="9917" spans="1:1">
      <c r="A9917" s="1"/>
    </row>
    <row r="9918" spans="1:1">
      <c r="A9918" s="1"/>
    </row>
    <row r="9919" spans="1:1">
      <c r="A9919" s="1"/>
    </row>
    <row r="9920" spans="1:1">
      <c r="A9920" s="1"/>
    </row>
    <row r="9921" spans="1:1">
      <c r="A9921" s="1"/>
    </row>
    <row r="9922" spans="1:1">
      <c r="A9922" s="1"/>
    </row>
    <row r="9923" spans="1:1">
      <c r="A9923" s="1"/>
    </row>
    <row r="9924" spans="1:1">
      <c r="A9924" s="1"/>
    </row>
    <row r="9925" spans="1:1">
      <c r="A9925" s="1"/>
    </row>
    <row r="9926" spans="1:1">
      <c r="A9926" s="1"/>
    </row>
    <row r="9927" spans="1:1">
      <c r="A9927" s="1"/>
    </row>
    <row r="9928" spans="1:1">
      <c r="A9928" s="1"/>
    </row>
    <row r="9929" spans="1:1">
      <c r="A9929" s="1"/>
    </row>
    <row r="9930" spans="1:1">
      <c r="A9930" s="1"/>
    </row>
    <row r="9931" spans="1:1">
      <c r="A9931" s="1"/>
    </row>
    <row r="9932" spans="1:1">
      <c r="A9932" s="1"/>
    </row>
    <row r="9933" spans="1:1">
      <c r="A9933" s="1"/>
    </row>
    <row r="9934" spans="1:1">
      <c r="A9934" s="1"/>
    </row>
    <row r="9935" spans="1:1">
      <c r="A9935" s="1"/>
    </row>
    <row r="9936" spans="1:1">
      <c r="A9936" s="1"/>
    </row>
    <row r="9937" spans="1:1">
      <c r="A9937" s="1"/>
    </row>
    <row r="9938" spans="1:1">
      <c r="A9938" s="1"/>
    </row>
    <row r="9939" spans="1:1">
      <c r="A9939" s="1"/>
    </row>
    <row r="9940" spans="1:1">
      <c r="A9940" s="1"/>
    </row>
    <row r="9941" spans="1:1">
      <c r="A9941" s="1"/>
    </row>
    <row r="9942" spans="1:1">
      <c r="A9942" s="1"/>
    </row>
    <row r="9943" spans="1:1">
      <c r="A9943" s="1"/>
    </row>
    <row r="9944" spans="1:1">
      <c r="A9944" s="1"/>
    </row>
    <row r="9945" spans="1:1">
      <c r="A9945" s="1"/>
    </row>
    <row r="9946" spans="1:1">
      <c r="A9946" s="1"/>
    </row>
    <row r="9947" spans="1:1">
      <c r="A9947" s="1"/>
    </row>
    <row r="9948" spans="1:1">
      <c r="A9948" s="1"/>
    </row>
    <row r="9949" spans="1:1">
      <c r="A9949" s="1"/>
    </row>
    <row r="9950" spans="1:1">
      <c r="A9950" s="1"/>
    </row>
    <row r="9951" spans="1:1">
      <c r="A9951" s="1"/>
    </row>
    <row r="9952" spans="1:1">
      <c r="A9952" s="1"/>
    </row>
    <row r="9953" spans="1:1">
      <c r="A9953" s="1"/>
    </row>
    <row r="9954" spans="1:1">
      <c r="A9954" s="1"/>
    </row>
    <row r="9955" spans="1:1">
      <c r="A9955" s="1"/>
    </row>
    <row r="9956" spans="1:1">
      <c r="A9956" s="1"/>
    </row>
    <row r="9957" spans="1:1">
      <c r="A9957" s="1"/>
    </row>
    <row r="9958" spans="1:1">
      <c r="A9958" s="1"/>
    </row>
    <row r="9959" spans="1:1">
      <c r="A9959" s="1"/>
    </row>
    <row r="9960" spans="1:1">
      <c r="A9960" s="1"/>
    </row>
    <row r="9961" spans="1:1">
      <c r="A9961" s="1"/>
    </row>
    <row r="9962" spans="1:1">
      <c r="A9962" s="1"/>
    </row>
    <row r="9963" spans="1:1">
      <c r="A9963" s="1"/>
    </row>
    <row r="9964" spans="1:1">
      <c r="A9964" s="1"/>
    </row>
    <row r="9965" spans="1:1">
      <c r="A9965" s="1"/>
    </row>
    <row r="9966" spans="1:1">
      <c r="A9966" s="1"/>
    </row>
    <row r="9967" spans="1:1">
      <c r="A9967" s="1"/>
    </row>
    <row r="9968" spans="1:1">
      <c r="A9968" s="1"/>
    </row>
    <row r="9969" spans="1:1">
      <c r="A9969" s="1"/>
    </row>
    <row r="9970" spans="1:1">
      <c r="A9970" s="1"/>
    </row>
    <row r="9971" spans="1:1">
      <c r="A9971" s="1"/>
    </row>
    <row r="9972" spans="1:1">
      <c r="A9972" s="1"/>
    </row>
    <row r="9973" spans="1:1">
      <c r="A9973" s="1"/>
    </row>
    <row r="9974" spans="1:1">
      <c r="A9974" s="1"/>
    </row>
    <row r="9975" spans="1:1">
      <c r="A9975" s="1"/>
    </row>
    <row r="9976" spans="1:1">
      <c r="A9976" s="1"/>
    </row>
    <row r="9977" spans="1:1">
      <c r="A9977" s="1"/>
    </row>
    <row r="9978" spans="1:1">
      <c r="A9978" s="1"/>
    </row>
    <row r="9979" spans="1:1">
      <c r="A9979" s="1"/>
    </row>
    <row r="9980" spans="1:1">
      <c r="A9980" s="1"/>
    </row>
    <row r="9981" spans="1:1">
      <c r="A9981" s="1"/>
    </row>
    <row r="9982" spans="1:1">
      <c r="A9982" s="1"/>
    </row>
    <row r="9983" spans="1:1">
      <c r="A9983" s="1"/>
    </row>
    <row r="9984" spans="1:1">
      <c r="A9984" s="1"/>
    </row>
    <row r="9985" spans="1:1">
      <c r="A9985" s="1"/>
    </row>
    <row r="9986" spans="1:1">
      <c r="A9986" s="1"/>
    </row>
    <row r="9987" spans="1:1">
      <c r="A9987" s="1"/>
    </row>
    <row r="9988" spans="1:1">
      <c r="A9988" s="1"/>
    </row>
    <row r="9989" spans="1:1">
      <c r="A9989" s="1"/>
    </row>
    <row r="9990" spans="1:1">
      <c r="A9990" s="1"/>
    </row>
    <row r="9991" spans="1:1">
      <c r="A9991" s="1"/>
    </row>
    <row r="9992" spans="1:1">
      <c r="A9992" s="1"/>
    </row>
    <row r="9993" spans="1:1">
      <c r="A9993" s="1"/>
    </row>
    <row r="9994" spans="1:1">
      <c r="A9994" s="1"/>
    </row>
    <row r="9995" spans="1:1">
      <c r="A9995" s="1"/>
    </row>
    <row r="9996" spans="1:1">
      <c r="A9996" s="1"/>
    </row>
    <row r="9997" spans="1:1">
      <c r="A9997" s="1"/>
    </row>
    <row r="9998" spans="1:1">
      <c r="A9998" s="1"/>
    </row>
    <row r="9999" spans="1:1">
      <c r="A9999" s="1"/>
    </row>
    <row r="10000" spans="1:1">
      <c r="A10000" s="1"/>
    </row>
    <row r="10001" spans="1:1">
      <c r="A10001" s="1"/>
    </row>
    <row r="10002" spans="1:1">
      <c r="A10002" s="1"/>
    </row>
    <row r="10003" spans="1:1">
      <c r="A10003" s="1"/>
    </row>
    <row r="10004" spans="1:1">
      <c r="A10004" s="1"/>
    </row>
    <row r="10005" spans="1:1">
      <c r="A10005" s="1"/>
    </row>
    <row r="10006" spans="1:1">
      <c r="A10006" s="1"/>
    </row>
    <row r="10007" spans="1:1">
      <c r="A10007" s="1"/>
    </row>
    <row r="10008" spans="1:1">
      <c r="A10008" s="1"/>
    </row>
    <row r="10009" spans="1:1">
      <c r="A10009" s="1"/>
    </row>
    <row r="10010" spans="1:1">
      <c r="A10010" s="1"/>
    </row>
    <row r="10011" spans="1:1">
      <c r="A10011" s="1"/>
    </row>
    <row r="10012" spans="1:1">
      <c r="A10012" s="1"/>
    </row>
    <row r="10013" spans="1:1">
      <c r="A10013" s="1"/>
    </row>
    <row r="10014" spans="1:1">
      <c r="A10014" s="1"/>
    </row>
    <row r="10015" spans="1:1">
      <c r="A10015" s="1"/>
    </row>
    <row r="10016" spans="1:1">
      <c r="A10016" s="1"/>
    </row>
    <row r="10017" spans="1:1">
      <c r="A10017" s="1"/>
    </row>
    <row r="10018" spans="1:1">
      <c r="A10018" s="1"/>
    </row>
    <row r="10019" spans="1:1">
      <c r="A10019" s="1"/>
    </row>
    <row r="10020" spans="1:1">
      <c r="A10020" s="1"/>
    </row>
    <row r="10021" spans="1:1">
      <c r="A10021" s="1"/>
    </row>
    <row r="10022" spans="1:1">
      <c r="A10022" s="1"/>
    </row>
    <row r="10023" spans="1:1">
      <c r="A10023" s="1"/>
    </row>
    <row r="10024" spans="1:1">
      <c r="A10024" s="1"/>
    </row>
    <row r="10025" spans="1:1">
      <c r="A10025" s="1"/>
    </row>
    <row r="10026" spans="1:1">
      <c r="A10026" s="1"/>
    </row>
    <row r="10027" spans="1:1">
      <c r="A10027" s="1"/>
    </row>
    <row r="10028" spans="1:1">
      <c r="A10028" s="1"/>
    </row>
    <row r="10029" spans="1:1">
      <c r="A10029" s="1"/>
    </row>
    <row r="10030" spans="1:1">
      <c r="A10030" s="1"/>
    </row>
    <row r="10031" spans="1:1">
      <c r="A10031" s="1"/>
    </row>
    <row r="10032" spans="1:1">
      <c r="A10032" s="1"/>
    </row>
    <row r="10033" spans="1:1">
      <c r="A10033" s="1"/>
    </row>
    <row r="10034" spans="1:1">
      <c r="A10034" s="1"/>
    </row>
    <row r="10035" spans="1:1">
      <c r="A10035" s="1"/>
    </row>
    <row r="10036" spans="1:1">
      <c r="A10036" s="1"/>
    </row>
    <row r="10037" spans="1:1">
      <c r="A10037" s="1"/>
    </row>
    <row r="10038" spans="1:1">
      <c r="A10038" s="1"/>
    </row>
    <row r="10039" spans="1:1">
      <c r="A10039" s="1"/>
    </row>
    <row r="10040" spans="1:1">
      <c r="A10040" s="1"/>
    </row>
    <row r="10041" spans="1:1">
      <c r="A10041" s="1"/>
    </row>
    <row r="10042" spans="1:1">
      <c r="A10042" s="1"/>
    </row>
    <row r="10043" spans="1:1">
      <c r="A10043" s="1"/>
    </row>
    <row r="10044" spans="1:1">
      <c r="A10044" s="1"/>
    </row>
    <row r="10045" spans="1:1">
      <c r="A10045" s="1"/>
    </row>
    <row r="10046" spans="1:1">
      <c r="A10046" s="1"/>
    </row>
    <row r="10047" spans="1:1">
      <c r="A10047" s="1"/>
    </row>
    <row r="10048" spans="1:1">
      <c r="A10048" s="1"/>
    </row>
    <row r="10049" spans="1:1">
      <c r="A10049" s="1"/>
    </row>
    <row r="10050" spans="1:1">
      <c r="A10050" s="1"/>
    </row>
    <row r="10051" spans="1:1">
      <c r="A10051" s="1"/>
    </row>
    <row r="10052" spans="1:1">
      <c r="A10052" s="1"/>
    </row>
    <row r="10053" spans="1:1">
      <c r="A10053" s="1"/>
    </row>
    <row r="10054" spans="1:1">
      <c r="A10054" s="1"/>
    </row>
    <row r="10055" spans="1:1">
      <c r="A10055" s="1"/>
    </row>
    <row r="10056" spans="1:1">
      <c r="A10056" s="1"/>
    </row>
    <row r="10057" spans="1:1">
      <c r="A10057" s="1"/>
    </row>
    <row r="10058" spans="1:1">
      <c r="A10058" s="1"/>
    </row>
    <row r="10059" spans="1:1">
      <c r="A10059" s="1"/>
    </row>
    <row r="10060" spans="1:1">
      <c r="A10060" s="1"/>
    </row>
    <row r="10061" spans="1:1">
      <c r="A10061" s="1"/>
    </row>
    <row r="10062" spans="1:1">
      <c r="A10062" s="1"/>
    </row>
    <row r="10063" spans="1:1">
      <c r="A10063" s="1"/>
    </row>
    <row r="10064" spans="1:1">
      <c r="A10064" s="1"/>
    </row>
    <row r="10065" spans="1:1">
      <c r="A10065" s="1"/>
    </row>
    <row r="10066" spans="1:1">
      <c r="A10066" s="1"/>
    </row>
    <row r="10067" spans="1:1">
      <c r="A10067" s="1"/>
    </row>
    <row r="10068" spans="1:1">
      <c r="A10068" s="1"/>
    </row>
    <row r="10069" spans="1:1">
      <c r="A10069" s="1"/>
    </row>
    <row r="10070" spans="1:1">
      <c r="A10070" s="1"/>
    </row>
    <row r="10071" spans="1:1">
      <c r="A10071" s="1"/>
    </row>
    <row r="10072" spans="1:1">
      <c r="A10072" s="1"/>
    </row>
    <row r="10073" spans="1:1">
      <c r="A10073" s="1"/>
    </row>
    <row r="10074" spans="1:1">
      <c r="A10074" s="1"/>
    </row>
    <row r="10075" spans="1:1">
      <c r="A10075" s="1"/>
    </row>
    <row r="10076" spans="1:1">
      <c r="A10076" s="1"/>
    </row>
    <row r="10077" spans="1:1">
      <c r="A10077" s="1"/>
    </row>
    <row r="10078" spans="1:1">
      <c r="A10078" s="1"/>
    </row>
    <row r="10079" spans="1:1">
      <c r="A10079" s="1"/>
    </row>
    <row r="10080" spans="1:1">
      <c r="A10080" s="1"/>
    </row>
    <row r="10081" spans="1:1">
      <c r="A10081" s="1"/>
    </row>
    <row r="10082" spans="1:1">
      <c r="A10082" s="1"/>
    </row>
    <row r="10083" spans="1:1">
      <c r="A10083" s="1"/>
    </row>
    <row r="10084" spans="1:1">
      <c r="A10084" s="1"/>
    </row>
    <row r="10085" spans="1:1">
      <c r="A10085" s="1"/>
    </row>
    <row r="10086" spans="1:1">
      <c r="A10086" s="1"/>
    </row>
    <row r="10087" spans="1:1">
      <c r="A10087" s="1"/>
    </row>
    <row r="10088" spans="1:1">
      <c r="A10088" s="1"/>
    </row>
    <row r="10089" spans="1:1">
      <c r="A10089" s="1"/>
    </row>
    <row r="10090" spans="1:1">
      <c r="A10090" s="1"/>
    </row>
    <row r="10091" spans="1:1">
      <c r="A10091" s="1"/>
    </row>
    <row r="10092" spans="1:1">
      <c r="A10092" s="1"/>
    </row>
    <row r="10093" spans="1:1">
      <c r="A10093" s="1"/>
    </row>
    <row r="10094" spans="1:1">
      <c r="A10094" s="1"/>
    </row>
    <row r="10095" spans="1:1">
      <c r="A10095" s="1"/>
    </row>
    <row r="10096" spans="1:1">
      <c r="A10096" s="1"/>
    </row>
    <row r="10097" spans="1:1">
      <c r="A10097" s="1"/>
    </row>
    <row r="10098" spans="1:1">
      <c r="A10098" s="1"/>
    </row>
    <row r="10099" spans="1:1">
      <c r="A10099" s="1"/>
    </row>
    <row r="10100" spans="1:1">
      <c r="A10100" s="1"/>
    </row>
    <row r="10101" spans="1:1">
      <c r="A10101" s="1"/>
    </row>
    <row r="10102" spans="1:1">
      <c r="A10102" s="1"/>
    </row>
    <row r="10103" spans="1:1">
      <c r="A10103" s="1"/>
    </row>
    <row r="10104" spans="1:1">
      <c r="A10104" s="1"/>
    </row>
    <row r="10105" spans="1:1">
      <c r="A10105" s="1"/>
    </row>
    <row r="10106" spans="1:1">
      <c r="A10106" s="1"/>
    </row>
    <row r="10107" spans="1:1">
      <c r="A10107" s="1"/>
    </row>
    <row r="10108" spans="1:1">
      <c r="A10108" s="1"/>
    </row>
    <row r="10109" spans="1:1">
      <c r="A10109" s="1"/>
    </row>
    <row r="10110" spans="1:1">
      <c r="A10110" s="1"/>
    </row>
    <row r="10111" spans="1:1">
      <c r="A10111" s="1"/>
    </row>
    <row r="10112" spans="1:1">
      <c r="A10112" s="1"/>
    </row>
    <row r="10113" spans="1:1">
      <c r="A10113" s="1"/>
    </row>
    <row r="10114" spans="1:1">
      <c r="A10114" s="1"/>
    </row>
    <row r="10115" spans="1:1">
      <c r="A10115" s="1"/>
    </row>
    <row r="10116" spans="1:1">
      <c r="A10116" s="1"/>
    </row>
    <row r="10117" spans="1:1">
      <c r="A10117" s="1"/>
    </row>
    <row r="10118" spans="1:1">
      <c r="A10118" s="1"/>
    </row>
    <row r="10119" spans="1:1">
      <c r="A10119" s="1"/>
    </row>
    <row r="10120" spans="1:1">
      <c r="A10120" s="1"/>
    </row>
    <row r="10121" spans="1:1">
      <c r="A10121" s="1"/>
    </row>
    <row r="10122" spans="1:1">
      <c r="A10122" s="1"/>
    </row>
    <row r="10123" spans="1:1">
      <c r="A10123" s="1"/>
    </row>
    <row r="10124" spans="1:1">
      <c r="A10124" s="1"/>
    </row>
    <row r="10125" spans="1:1">
      <c r="A10125" s="1"/>
    </row>
    <row r="10126" spans="1:1">
      <c r="A10126" s="1"/>
    </row>
    <row r="10127" spans="1:1">
      <c r="A10127" s="1"/>
    </row>
    <row r="10128" spans="1:1">
      <c r="A10128" s="1"/>
    </row>
    <row r="10129" spans="1:1">
      <c r="A10129" s="1"/>
    </row>
    <row r="10130" spans="1:1">
      <c r="A10130" s="1"/>
    </row>
    <row r="10131" spans="1:1">
      <c r="A10131" s="1"/>
    </row>
    <row r="10132" spans="1:1">
      <c r="A10132" s="1"/>
    </row>
    <row r="10133" spans="1:1">
      <c r="A10133" s="1"/>
    </row>
    <row r="10134" spans="1:1">
      <c r="A10134" s="1"/>
    </row>
    <row r="10135" spans="1:1">
      <c r="A10135" s="1"/>
    </row>
    <row r="10136" spans="1:1">
      <c r="A10136" s="1"/>
    </row>
    <row r="10137" spans="1:1">
      <c r="A10137" s="1"/>
    </row>
    <row r="10138" spans="1:1">
      <c r="A10138" s="1"/>
    </row>
    <row r="10139" spans="1:1">
      <c r="A10139" s="1"/>
    </row>
    <row r="10140" spans="1:1">
      <c r="A10140" s="1"/>
    </row>
    <row r="10141" spans="1:1">
      <c r="A10141" s="1"/>
    </row>
    <row r="10142" spans="1:1">
      <c r="A10142" s="1"/>
    </row>
    <row r="10143" spans="1:1">
      <c r="A10143" s="1"/>
    </row>
    <row r="10144" spans="1:1">
      <c r="A10144" s="1"/>
    </row>
    <row r="10145" spans="1:1">
      <c r="A10145" s="1"/>
    </row>
    <row r="10146" spans="1:1">
      <c r="A10146" s="1"/>
    </row>
    <row r="10147" spans="1:1">
      <c r="A10147" s="1"/>
    </row>
    <row r="10148" spans="1:1">
      <c r="A10148" s="1"/>
    </row>
    <row r="10149" spans="1:1">
      <c r="A10149" s="1"/>
    </row>
    <row r="10150" spans="1:1">
      <c r="A10150" s="1"/>
    </row>
    <row r="10151" spans="1:1">
      <c r="A10151" s="1"/>
    </row>
    <row r="10152" spans="1:1">
      <c r="A10152" s="1"/>
    </row>
    <row r="10153" spans="1:1">
      <c r="A10153" s="1"/>
    </row>
    <row r="10154" spans="1:1">
      <c r="A10154" s="1"/>
    </row>
    <row r="10155" spans="1:1">
      <c r="A10155" s="1"/>
    </row>
    <row r="10156" spans="1:1">
      <c r="A10156" s="1"/>
    </row>
    <row r="10157" spans="1:1">
      <c r="A10157" s="1"/>
    </row>
    <row r="10158" spans="1:1">
      <c r="A10158" s="1"/>
    </row>
    <row r="10159" spans="1:1">
      <c r="A10159" s="1"/>
    </row>
    <row r="10160" spans="1:1">
      <c r="A10160" s="1"/>
    </row>
    <row r="10161" spans="1:1">
      <c r="A10161" s="1"/>
    </row>
    <row r="10162" spans="1:1">
      <c r="A10162" s="1"/>
    </row>
    <row r="10163" spans="1:1">
      <c r="A10163" s="1"/>
    </row>
    <row r="10164" spans="1:1">
      <c r="A10164" s="1"/>
    </row>
    <row r="10165" spans="1:1">
      <c r="A10165" s="1"/>
    </row>
    <row r="10166" spans="1:1">
      <c r="A10166" s="1"/>
    </row>
    <row r="10167" spans="1:1">
      <c r="A10167" s="1"/>
    </row>
    <row r="10168" spans="1:1">
      <c r="A10168" s="1"/>
    </row>
    <row r="10169" spans="1:1">
      <c r="A10169" s="1"/>
    </row>
    <row r="10170" spans="1:1">
      <c r="A10170" s="1"/>
    </row>
    <row r="10171" spans="1:1">
      <c r="A10171" s="1"/>
    </row>
    <row r="10172" spans="1:1">
      <c r="A10172" s="1"/>
    </row>
    <row r="10173" spans="1:1">
      <c r="A10173" s="1"/>
    </row>
    <row r="10174" spans="1:1">
      <c r="A10174" s="1"/>
    </row>
    <row r="10175" spans="1:1">
      <c r="A10175" s="1"/>
    </row>
    <row r="10176" spans="1:1">
      <c r="A10176" s="1"/>
    </row>
    <row r="10177" spans="1:1">
      <c r="A10177" s="1"/>
    </row>
    <row r="10178" spans="1:1">
      <c r="A10178" s="1"/>
    </row>
    <row r="10179" spans="1:1">
      <c r="A10179" s="1"/>
    </row>
    <row r="10180" spans="1:1">
      <c r="A10180" s="1"/>
    </row>
    <row r="10181" spans="1:1">
      <c r="A10181" s="1"/>
    </row>
    <row r="10182" spans="1:1">
      <c r="A10182" s="1"/>
    </row>
    <row r="10183" spans="1:1">
      <c r="A10183" s="1"/>
    </row>
    <row r="10184" spans="1:1">
      <c r="A10184" s="1"/>
    </row>
    <row r="10185" spans="1:1">
      <c r="A10185" s="1"/>
    </row>
    <row r="10186" spans="1:1">
      <c r="A10186" s="1"/>
    </row>
    <row r="10187" spans="1:1">
      <c r="A10187" s="1"/>
    </row>
    <row r="10188" spans="1:1">
      <c r="A10188" s="1"/>
    </row>
    <row r="10189" spans="1:1">
      <c r="A10189" s="1"/>
    </row>
    <row r="10190" spans="1:1">
      <c r="A10190" s="1"/>
    </row>
    <row r="10191" spans="1:1">
      <c r="A10191" s="1"/>
    </row>
    <row r="10192" spans="1:1">
      <c r="A10192" s="1"/>
    </row>
    <row r="10193" spans="1:1">
      <c r="A10193" s="1"/>
    </row>
    <row r="10194" spans="1:1">
      <c r="A10194" s="1"/>
    </row>
    <row r="10195" spans="1:1">
      <c r="A10195" s="1"/>
    </row>
    <row r="10196" spans="1:1">
      <c r="A10196" s="1"/>
    </row>
    <row r="10197" spans="1:1">
      <c r="A10197" s="1"/>
    </row>
    <row r="10198" spans="1:1">
      <c r="A10198" s="1"/>
    </row>
    <row r="10199" spans="1:1">
      <c r="A10199" s="1"/>
    </row>
    <row r="10200" spans="1:1">
      <c r="A10200" s="1"/>
    </row>
    <row r="10201" spans="1:1">
      <c r="A10201" s="1"/>
    </row>
    <row r="10202" spans="1:1">
      <c r="A10202" s="1"/>
    </row>
    <row r="10203" spans="1:1">
      <c r="A10203" s="1"/>
    </row>
    <row r="10204" spans="1:1">
      <c r="A10204" s="1"/>
    </row>
    <row r="10205" spans="1:1">
      <c r="A10205" s="1"/>
    </row>
    <row r="10206" spans="1:1">
      <c r="A10206" s="1"/>
    </row>
    <row r="10207" spans="1:1">
      <c r="A10207" s="1"/>
    </row>
    <row r="10208" spans="1:1">
      <c r="A10208" s="1"/>
    </row>
    <row r="10209" spans="1:1">
      <c r="A10209" s="1"/>
    </row>
    <row r="10210" spans="1:1">
      <c r="A10210" s="1"/>
    </row>
    <row r="10211" spans="1:1">
      <c r="A10211" s="1"/>
    </row>
    <row r="10212" spans="1:1">
      <c r="A10212" s="1"/>
    </row>
    <row r="10213" spans="1:1">
      <c r="A10213" s="1"/>
    </row>
    <row r="10214" spans="1:1">
      <c r="A10214" s="1"/>
    </row>
    <row r="10215" spans="1:1">
      <c r="A10215" s="1"/>
    </row>
    <row r="10216" spans="1:1">
      <c r="A10216" s="1"/>
    </row>
    <row r="10217" spans="1:1">
      <c r="A10217" s="1"/>
    </row>
    <row r="10218" spans="1:1">
      <c r="A10218" s="1"/>
    </row>
    <row r="10219" spans="1:1">
      <c r="A10219" s="1"/>
    </row>
    <row r="10220" spans="1:1">
      <c r="A10220" s="1"/>
    </row>
    <row r="10221" spans="1:1">
      <c r="A10221" s="1"/>
    </row>
    <row r="10222" spans="1:1">
      <c r="A10222" s="1"/>
    </row>
    <row r="10223" spans="1:1">
      <c r="A10223" s="1"/>
    </row>
    <row r="10224" spans="1:1">
      <c r="A10224" s="1"/>
    </row>
    <row r="10225" spans="1:1">
      <c r="A10225" s="1"/>
    </row>
    <row r="10226" spans="1:1">
      <c r="A10226" s="1"/>
    </row>
    <row r="10227" spans="1:1">
      <c r="A10227" s="1"/>
    </row>
    <row r="10228" spans="1:1">
      <c r="A10228" s="1"/>
    </row>
    <row r="10229" spans="1:1">
      <c r="A10229" s="1"/>
    </row>
    <row r="10230" spans="1:1">
      <c r="A10230" s="1"/>
    </row>
    <row r="10231" spans="1:1">
      <c r="A10231" s="1"/>
    </row>
    <row r="10232" spans="1:1">
      <c r="A10232" s="1"/>
    </row>
    <row r="10233" spans="1:1">
      <c r="A10233" s="1"/>
    </row>
    <row r="10234" spans="1:1">
      <c r="A10234" s="1"/>
    </row>
    <row r="10235" spans="1:1">
      <c r="A10235" s="1"/>
    </row>
    <row r="10236" spans="1:1">
      <c r="A10236" s="1"/>
    </row>
    <row r="10237" spans="1:1">
      <c r="A10237" s="1"/>
    </row>
    <row r="10238" spans="1:1">
      <c r="A10238" s="1"/>
    </row>
    <row r="10239" spans="1:1">
      <c r="A10239" s="1"/>
    </row>
    <row r="10240" spans="1:1">
      <c r="A10240" s="1"/>
    </row>
    <row r="10241" spans="1:1">
      <c r="A10241" s="1"/>
    </row>
    <row r="10242" spans="1:1">
      <c r="A10242" s="1"/>
    </row>
    <row r="10243" spans="1:1">
      <c r="A10243" s="1"/>
    </row>
    <row r="10244" spans="1:1">
      <c r="A10244" s="1"/>
    </row>
    <row r="10245" spans="1:1">
      <c r="A10245" s="1"/>
    </row>
    <row r="10246" spans="1:1">
      <c r="A10246" s="1"/>
    </row>
    <row r="10247" spans="1:1">
      <c r="A10247" s="1"/>
    </row>
    <row r="10248" spans="1:1">
      <c r="A10248" s="1"/>
    </row>
    <row r="10249" spans="1:1">
      <c r="A10249" s="1"/>
    </row>
    <row r="10250" spans="1:1">
      <c r="A10250" s="1"/>
    </row>
    <row r="10251" spans="1:1">
      <c r="A10251" s="1"/>
    </row>
    <row r="10252" spans="1:1">
      <c r="A10252" s="1"/>
    </row>
    <row r="10253" spans="1:1">
      <c r="A10253" s="1"/>
    </row>
    <row r="10254" spans="1:1">
      <c r="A10254" s="1"/>
    </row>
    <row r="10255" spans="1:1">
      <c r="A10255" s="1"/>
    </row>
    <row r="10256" spans="1:1">
      <c r="A10256" s="1"/>
    </row>
    <row r="10257" spans="1:1">
      <c r="A10257" s="1"/>
    </row>
    <row r="10258" spans="1:1">
      <c r="A10258" s="1"/>
    </row>
    <row r="10259" spans="1:1">
      <c r="A10259" s="1"/>
    </row>
    <row r="10260" spans="1:1">
      <c r="A10260" s="1"/>
    </row>
    <row r="10261" spans="1:1">
      <c r="A10261" s="1"/>
    </row>
    <row r="10262" spans="1:1">
      <c r="A10262" s="1"/>
    </row>
    <row r="10263" spans="1:1">
      <c r="A10263" s="1"/>
    </row>
    <row r="10264" spans="1:1">
      <c r="A10264" s="1"/>
    </row>
    <row r="10265" spans="1:1">
      <c r="A10265" s="1"/>
    </row>
    <row r="10266" spans="1:1">
      <c r="A10266" s="1"/>
    </row>
    <row r="10267" spans="1:1">
      <c r="A10267" s="1"/>
    </row>
    <row r="10268" spans="1:1">
      <c r="A10268" s="1"/>
    </row>
    <row r="10269" spans="1:1">
      <c r="A10269" s="1"/>
    </row>
    <row r="10270" spans="1:1">
      <c r="A10270" s="1"/>
    </row>
    <row r="10271" spans="1:1">
      <c r="A10271" s="1"/>
    </row>
    <row r="10272" spans="1:1">
      <c r="A10272" s="1"/>
    </row>
    <row r="10273" spans="1:1">
      <c r="A10273" s="1"/>
    </row>
    <row r="10274" spans="1:1">
      <c r="A10274" s="1"/>
    </row>
    <row r="10275" spans="1:1">
      <c r="A10275" s="1"/>
    </row>
    <row r="10276" spans="1:1">
      <c r="A10276" s="1"/>
    </row>
    <row r="10277" spans="1:1">
      <c r="A10277" s="1"/>
    </row>
    <row r="10278" spans="1:1">
      <c r="A10278" s="1"/>
    </row>
    <row r="10279" spans="1:1">
      <c r="A10279" s="1"/>
    </row>
    <row r="10280" spans="1:1">
      <c r="A10280" s="1"/>
    </row>
    <row r="10281" spans="1:1">
      <c r="A10281" s="1"/>
    </row>
    <row r="10282" spans="1:1">
      <c r="A10282" s="1"/>
    </row>
    <row r="10283" spans="1:1">
      <c r="A10283" s="1"/>
    </row>
    <row r="10284" spans="1:1">
      <c r="A10284" s="1"/>
    </row>
    <row r="10285" spans="1:1">
      <c r="A10285" s="1"/>
    </row>
    <row r="10286" spans="1:1">
      <c r="A10286" s="1"/>
    </row>
    <row r="10287" spans="1:1">
      <c r="A10287" s="1"/>
    </row>
    <row r="10288" spans="1:1">
      <c r="A10288" s="1"/>
    </row>
    <row r="10289" spans="1:1">
      <c r="A10289" s="1"/>
    </row>
    <row r="10290" spans="1:1">
      <c r="A10290" s="1"/>
    </row>
    <row r="10291" spans="1:1">
      <c r="A10291" s="1"/>
    </row>
    <row r="10292" spans="1:1">
      <c r="A10292" s="1"/>
    </row>
    <row r="10293" spans="1:1">
      <c r="A10293" s="1"/>
    </row>
    <row r="10294" spans="1:1">
      <c r="A10294" s="1"/>
    </row>
    <row r="10295" spans="1:1">
      <c r="A10295" s="1"/>
    </row>
    <row r="10296" spans="1:1">
      <c r="A10296" s="1"/>
    </row>
    <row r="10297" spans="1:1">
      <c r="A10297" s="1"/>
    </row>
    <row r="10298" spans="1:1">
      <c r="A10298" s="1"/>
    </row>
    <row r="10299" spans="1:1">
      <c r="A10299" s="1"/>
    </row>
    <row r="10300" spans="1:1">
      <c r="A10300" s="1"/>
    </row>
    <row r="10301" spans="1:1">
      <c r="A10301" s="1"/>
    </row>
    <row r="10302" spans="1:1">
      <c r="A10302" s="1"/>
    </row>
    <row r="10303" spans="1:1">
      <c r="A10303" s="1"/>
    </row>
    <row r="10304" spans="1:1">
      <c r="A10304" s="1"/>
    </row>
    <row r="10305" spans="1:1">
      <c r="A10305" s="1"/>
    </row>
    <row r="10306" spans="1:1">
      <c r="A10306" s="1"/>
    </row>
    <row r="10307" spans="1:1">
      <c r="A10307" s="1"/>
    </row>
    <row r="10308" spans="1:1">
      <c r="A10308" s="1"/>
    </row>
    <row r="10309" spans="1:1">
      <c r="A10309" s="1"/>
    </row>
    <row r="10310" spans="1:1">
      <c r="A10310" s="1"/>
    </row>
    <row r="10311" spans="1:1">
      <c r="A10311" s="1"/>
    </row>
    <row r="10312" spans="1:1">
      <c r="A10312" s="1"/>
    </row>
    <row r="10313" spans="1:1">
      <c r="A10313" s="1"/>
    </row>
    <row r="10314" spans="1:1">
      <c r="A10314" s="1"/>
    </row>
    <row r="10315" spans="1:1">
      <c r="A10315" s="1"/>
    </row>
    <row r="10316" spans="1:1">
      <c r="A10316" s="1"/>
    </row>
    <row r="10317" spans="1:1">
      <c r="A10317" s="1"/>
    </row>
    <row r="10318" spans="1:1">
      <c r="A10318" s="1"/>
    </row>
    <row r="10319" spans="1:1">
      <c r="A10319" s="1"/>
    </row>
    <row r="10320" spans="1:1">
      <c r="A10320" s="1"/>
    </row>
    <row r="10321" spans="1:1">
      <c r="A10321" s="1"/>
    </row>
    <row r="10322" spans="1:1">
      <c r="A10322" s="1"/>
    </row>
    <row r="10323" spans="1:1">
      <c r="A10323" s="1"/>
    </row>
    <row r="10324" spans="1:1">
      <c r="A10324" s="1"/>
    </row>
    <row r="10325" spans="1:1">
      <c r="A10325" s="1"/>
    </row>
    <row r="10326" spans="1:1">
      <c r="A10326" s="1"/>
    </row>
    <row r="10327" spans="1:1">
      <c r="A10327" s="1"/>
    </row>
    <row r="10328" spans="1:1">
      <c r="A10328" s="1"/>
    </row>
    <row r="10329" spans="1:1">
      <c r="A10329" s="1"/>
    </row>
    <row r="10330" spans="1:1">
      <c r="A10330" s="1"/>
    </row>
    <row r="10331" spans="1:1">
      <c r="A10331" s="1"/>
    </row>
    <row r="10332" spans="1:1">
      <c r="A10332" s="1"/>
    </row>
    <row r="10333" spans="1:1">
      <c r="A10333" s="1"/>
    </row>
    <row r="10334" spans="1:1">
      <c r="A10334" s="1"/>
    </row>
    <row r="10335" spans="1:1">
      <c r="A10335" s="1"/>
    </row>
    <row r="10336" spans="1:1">
      <c r="A10336" s="1"/>
    </row>
    <row r="10337" spans="1:1">
      <c r="A10337" s="1"/>
    </row>
    <row r="10338" spans="1:1">
      <c r="A10338" s="1"/>
    </row>
    <row r="10339" spans="1:1">
      <c r="A10339" s="1"/>
    </row>
    <row r="10340" spans="1:1">
      <c r="A10340" s="1"/>
    </row>
    <row r="10341" spans="1:1">
      <c r="A10341" s="1"/>
    </row>
    <row r="10342" spans="1:1">
      <c r="A10342" s="1"/>
    </row>
    <row r="10343" spans="1:1">
      <c r="A10343" s="1"/>
    </row>
    <row r="10344" spans="1:1">
      <c r="A10344" s="1"/>
    </row>
    <row r="10345" spans="1:1">
      <c r="A10345" s="1"/>
    </row>
    <row r="10346" spans="1:1">
      <c r="A10346" s="1"/>
    </row>
    <row r="10347" spans="1:1">
      <c r="A10347" s="1"/>
    </row>
    <row r="10348" spans="1:1">
      <c r="A10348" s="1"/>
    </row>
    <row r="10349" spans="1:1">
      <c r="A10349" s="1"/>
    </row>
    <row r="10350" spans="1:1">
      <c r="A10350" s="1"/>
    </row>
    <row r="10351" spans="1:1">
      <c r="A10351" s="1"/>
    </row>
    <row r="10352" spans="1:1">
      <c r="A10352" s="1"/>
    </row>
    <row r="10353" spans="1:1">
      <c r="A10353" s="1"/>
    </row>
    <row r="10354" spans="1:1">
      <c r="A10354" s="1"/>
    </row>
    <row r="10355" spans="1:1">
      <c r="A10355" s="1"/>
    </row>
    <row r="10356" spans="1:1">
      <c r="A10356" s="1"/>
    </row>
    <row r="10357" spans="1:1">
      <c r="A10357" s="1"/>
    </row>
    <row r="10358" spans="1:1">
      <c r="A10358" s="1"/>
    </row>
    <row r="10359" spans="1:1">
      <c r="A10359" s="1"/>
    </row>
    <row r="10360" spans="1:1">
      <c r="A10360" s="1"/>
    </row>
    <row r="10361" spans="1:1">
      <c r="A10361" s="1"/>
    </row>
    <row r="10362" spans="1:1">
      <c r="A10362" s="1"/>
    </row>
    <row r="10363" spans="1:1">
      <c r="A10363" s="1"/>
    </row>
    <row r="10364" spans="1:1">
      <c r="A10364" s="1"/>
    </row>
    <row r="10365" spans="1:1">
      <c r="A10365" s="1"/>
    </row>
    <row r="10366" spans="1:1">
      <c r="A10366" s="1"/>
    </row>
    <row r="10367" spans="1:1">
      <c r="A10367" s="1"/>
    </row>
    <row r="10368" spans="1:1">
      <c r="A10368" s="1"/>
    </row>
    <row r="10369" spans="1:1">
      <c r="A10369" s="1"/>
    </row>
    <row r="10370" spans="1:1">
      <c r="A10370" s="1"/>
    </row>
    <row r="10371" spans="1:1">
      <c r="A10371" s="1"/>
    </row>
    <row r="10372" spans="1:1">
      <c r="A10372" s="1"/>
    </row>
    <row r="10373" spans="1:1">
      <c r="A10373" s="1"/>
    </row>
    <row r="10374" spans="1:1">
      <c r="A10374" s="1"/>
    </row>
    <row r="10375" spans="1:1">
      <c r="A10375" s="1"/>
    </row>
    <row r="10376" spans="1:1">
      <c r="A10376" s="1"/>
    </row>
    <row r="10377" spans="1:1">
      <c r="A10377" s="1"/>
    </row>
    <row r="10378" spans="1:1">
      <c r="A10378" s="1"/>
    </row>
    <row r="10379" spans="1:1">
      <c r="A10379" s="1"/>
    </row>
    <row r="10380" spans="1:1">
      <c r="A10380" s="1"/>
    </row>
    <row r="10381" spans="1:1">
      <c r="A10381" s="1"/>
    </row>
    <row r="10382" spans="1:1">
      <c r="A10382" s="1"/>
    </row>
    <row r="10383" spans="1:1">
      <c r="A10383" s="1"/>
    </row>
    <row r="10384" spans="1:1">
      <c r="A10384" s="1"/>
    </row>
    <row r="10385" spans="1:1">
      <c r="A10385" s="1"/>
    </row>
    <row r="10386" spans="1:1">
      <c r="A10386" s="1"/>
    </row>
    <row r="10387" spans="1:1">
      <c r="A10387" s="1"/>
    </row>
    <row r="10388" spans="1:1">
      <c r="A10388" s="1"/>
    </row>
    <row r="10389" spans="1:1">
      <c r="A10389" s="1"/>
    </row>
    <row r="10390" spans="1:1">
      <c r="A10390" s="1"/>
    </row>
    <row r="10391" spans="1:1">
      <c r="A10391" s="1"/>
    </row>
    <row r="10392" spans="1:1">
      <c r="A10392" s="1"/>
    </row>
    <row r="10393" spans="1:1">
      <c r="A10393" s="1"/>
    </row>
    <row r="10394" spans="1:1">
      <c r="A10394" s="1"/>
    </row>
    <row r="10395" spans="1:1">
      <c r="A10395" s="1"/>
    </row>
    <row r="10396" spans="1:1">
      <c r="A10396" s="1"/>
    </row>
    <row r="10397" spans="1:1">
      <c r="A10397" s="1"/>
    </row>
    <row r="10398" spans="1:1">
      <c r="A10398" s="1"/>
    </row>
    <row r="10399" spans="1:1">
      <c r="A10399" s="1"/>
    </row>
    <row r="10400" spans="1:1">
      <c r="A10400" s="1"/>
    </row>
    <row r="10401" spans="1:1">
      <c r="A10401" s="1"/>
    </row>
    <row r="10402" spans="1:1">
      <c r="A10402" s="1"/>
    </row>
    <row r="10403" spans="1:1">
      <c r="A10403" s="1"/>
    </row>
    <row r="10404" spans="1:1">
      <c r="A10404" s="1"/>
    </row>
    <row r="10405" spans="1:1">
      <c r="A10405" s="1"/>
    </row>
    <row r="10406" spans="1:1">
      <c r="A10406" s="1"/>
    </row>
    <row r="10407" spans="1:1">
      <c r="A10407" s="1"/>
    </row>
    <row r="10408" spans="1:1">
      <c r="A10408" s="1"/>
    </row>
    <row r="10409" spans="1:1">
      <c r="A10409" s="1"/>
    </row>
    <row r="10410" spans="1:1">
      <c r="A10410" s="1"/>
    </row>
    <row r="10411" spans="1:1">
      <c r="A10411" s="1"/>
    </row>
    <row r="10412" spans="1:1">
      <c r="A10412" s="1"/>
    </row>
    <row r="10413" spans="1:1">
      <c r="A10413" s="1"/>
    </row>
    <row r="10414" spans="1:1">
      <c r="A10414" s="1"/>
    </row>
    <row r="10415" spans="1:1">
      <c r="A10415" s="1"/>
    </row>
    <row r="10416" spans="1:1">
      <c r="A10416" s="1"/>
    </row>
    <row r="10417" spans="1:1">
      <c r="A10417" s="1"/>
    </row>
    <row r="10418" spans="1:1">
      <c r="A10418" s="1"/>
    </row>
    <row r="10419" spans="1:1">
      <c r="A10419" s="1"/>
    </row>
    <row r="10420" spans="1:1">
      <c r="A10420" s="1"/>
    </row>
    <row r="10421" spans="1:1">
      <c r="A10421" s="1"/>
    </row>
    <row r="10422" spans="1:1">
      <c r="A10422" s="1"/>
    </row>
    <row r="10423" spans="1:1">
      <c r="A10423" s="1"/>
    </row>
    <row r="10424" spans="1:1">
      <c r="A10424" s="1"/>
    </row>
    <row r="10425" spans="1:1">
      <c r="A10425" s="1"/>
    </row>
    <row r="10426" spans="1:1">
      <c r="A10426" s="1"/>
    </row>
    <row r="10427" spans="1:1">
      <c r="A10427" s="1"/>
    </row>
    <row r="10428" spans="1:1">
      <c r="A10428" s="1"/>
    </row>
    <row r="10429" spans="1:1">
      <c r="A10429" s="1"/>
    </row>
    <row r="10430" spans="1:1">
      <c r="A10430" s="1"/>
    </row>
    <row r="10431" spans="1:1">
      <c r="A10431" s="1"/>
    </row>
    <row r="10432" spans="1:1">
      <c r="A10432" s="1"/>
    </row>
    <row r="10433" spans="1:1">
      <c r="A10433" s="1"/>
    </row>
    <row r="10434" spans="1:1">
      <c r="A10434" s="1"/>
    </row>
    <row r="10435" spans="1:1">
      <c r="A10435" s="1"/>
    </row>
    <row r="10436" spans="1:1">
      <c r="A10436" s="1"/>
    </row>
    <row r="10437" spans="1:1">
      <c r="A10437" s="1"/>
    </row>
    <row r="10438" spans="1:1">
      <c r="A10438" s="1"/>
    </row>
    <row r="10439" spans="1:1">
      <c r="A10439" s="1"/>
    </row>
    <row r="10440" spans="1:1">
      <c r="A10440" s="1"/>
    </row>
    <row r="10441" spans="1:1">
      <c r="A10441" s="1"/>
    </row>
    <row r="10442" spans="1:1">
      <c r="A10442" s="1"/>
    </row>
    <row r="10443" spans="1:1">
      <c r="A10443" s="1"/>
    </row>
    <row r="10444" spans="1:1">
      <c r="A10444" s="1"/>
    </row>
    <row r="10445" spans="1:1">
      <c r="A10445" s="1"/>
    </row>
    <row r="10446" spans="1:1">
      <c r="A10446" s="1"/>
    </row>
    <row r="10447" spans="1:1">
      <c r="A10447" s="1"/>
    </row>
    <row r="10448" spans="1:1">
      <c r="A10448" s="1"/>
    </row>
    <row r="10449" spans="1:1">
      <c r="A10449" s="1"/>
    </row>
    <row r="10450" spans="1:1">
      <c r="A10450" s="1"/>
    </row>
    <row r="10451" spans="1:1">
      <c r="A10451" s="1"/>
    </row>
    <row r="10452" spans="1:1">
      <c r="A10452" s="1"/>
    </row>
    <row r="10453" spans="1:1">
      <c r="A10453" s="1"/>
    </row>
    <row r="10454" spans="1:1">
      <c r="A10454" s="1"/>
    </row>
    <row r="10455" spans="1:1">
      <c r="A10455" s="1"/>
    </row>
    <row r="10456" spans="1:1">
      <c r="A10456" s="1"/>
    </row>
    <row r="10457" spans="1:1">
      <c r="A10457" s="1"/>
    </row>
    <row r="10458" spans="1:1">
      <c r="A10458" s="1"/>
    </row>
    <row r="10459" spans="1:1">
      <c r="A10459" s="1"/>
    </row>
    <row r="10460" spans="1:1">
      <c r="A10460" s="1"/>
    </row>
    <row r="10461" spans="1:1">
      <c r="A10461" s="1"/>
    </row>
    <row r="10462" spans="1:1">
      <c r="A10462" s="1"/>
    </row>
    <row r="10463" spans="1:1">
      <c r="A10463" s="1"/>
    </row>
    <row r="10464" spans="1:1">
      <c r="A10464" s="1"/>
    </row>
    <row r="10465" spans="1:1">
      <c r="A10465" s="1"/>
    </row>
    <row r="10466" spans="1:1">
      <c r="A10466" s="1"/>
    </row>
    <row r="10467" spans="1:1">
      <c r="A10467" s="1"/>
    </row>
    <row r="10468" spans="1:1">
      <c r="A10468" s="1"/>
    </row>
    <row r="10469" spans="1:1">
      <c r="A10469" s="1"/>
    </row>
    <row r="10470" spans="1:1">
      <c r="A10470" s="1"/>
    </row>
    <row r="10471" spans="1:1">
      <c r="A10471" s="1"/>
    </row>
    <row r="10472" spans="1:1">
      <c r="A10472" s="1"/>
    </row>
    <row r="10473" spans="1:1">
      <c r="A10473" s="1"/>
    </row>
    <row r="10474" spans="1:1">
      <c r="A10474" s="1"/>
    </row>
    <row r="10475" spans="1:1">
      <c r="A10475" s="1"/>
    </row>
    <row r="10476" spans="1:1">
      <c r="A10476" s="1"/>
    </row>
    <row r="10477" spans="1:1">
      <c r="A10477" s="1"/>
    </row>
    <row r="10478" spans="1:1">
      <c r="A10478" s="1"/>
    </row>
    <row r="10479" spans="1:1">
      <c r="A10479" s="1"/>
    </row>
    <row r="10480" spans="1:1">
      <c r="A10480" s="1"/>
    </row>
    <row r="10481" spans="1:1">
      <c r="A10481" s="1"/>
    </row>
    <row r="10482" spans="1:1">
      <c r="A10482" s="1"/>
    </row>
    <row r="10483" spans="1:1">
      <c r="A10483" s="1"/>
    </row>
    <row r="10484" spans="1:1">
      <c r="A10484" s="1"/>
    </row>
    <row r="10485" spans="1:1">
      <c r="A10485" s="1"/>
    </row>
    <row r="10486" spans="1:1">
      <c r="A10486" s="1"/>
    </row>
    <row r="10487" spans="1:1">
      <c r="A10487" s="1"/>
    </row>
    <row r="10488" spans="1:1">
      <c r="A10488" s="1"/>
    </row>
    <row r="10489" spans="1:1">
      <c r="A10489" s="1"/>
    </row>
    <row r="10490" spans="1:1">
      <c r="A10490" s="1"/>
    </row>
    <row r="10491" spans="1:1">
      <c r="A10491" s="1"/>
    </row>
    <row r="10492" spans="1:1">
      <c r="A10492" s="1"/>
    </row>
    <row r="10493" spans="1:1">
      <c r="A10493" s="1"/>
    </row>
    <row r="10494" spans="1:1">
      <c r="A10494" s="1"/>
    </row>
    <row r="10495" spans="1:1">
      <c r="A10495" s="1"/>
    </row>
    <row r="10496" spans="1:1">
      <c r="A10496" s="1"/>
    </row>
    <row r="10497" spans="1:1">
      <c r="A10497" s="1"/>
    </row>
    <row r="10498" spans="1:1">
      <c r="A10498" s="1"/>
    </row>
    <row r="10499" spans="1:1">
      <c r="A10499" s="1"/>
    </row>
    <row r="10500" spans="1:1">
      <c r="A10500" s="1"/>
    </row>
    <row r="10501" spans="1:1">
      <c r="A10501" s="1"/>
    </row>
    <row r="10502" spans="1:1">
      <c r="A10502" s="1"/>
    </row>
    <row r="10503" spans="1:1">
      <c r="A10503" s="1"/>
    </row>
    <row r="10504" spans="1:1">
      <c r="A10504" s="1"/>
    </row>
    <row r="10505" spans="1:1">
      <c r="A10505" s="1"/>
    </row>
    <row r="10506" spans="1:1">
      <c r="A10506" s="1"/>
    </row>
    <row r="10507" spans="1:1">
      <c r="A10507" s="1"/>
    </row>
    <row r="10508" spans="1:1">
      <c r="A10508" s="1"/>
    </row>
    <row r="10509" spans="1:1">
      <c r="A10509" s="1"/>
    </row>
    <row r="10510" spans="1:1">
      <c r="A10510" s="1"/>
    </row>
    <row r="10511" spans="1:1">
      <c r="A10511" s="1"/>
    </row>
    <row r="10512" spans="1:1">
      <c r="A10512" s="1"/>
    </row>
    <row r="10513" spans="1:1">
      <c r="A10513" s="1"/>
    </row>
    <row r="10514" spans="1:1">
      <c r="A10514" s="1"/>
    </row>
    <row r="10515" spans="1:1">
      <c r="A10515" s="1"/>
    </row>
    <row r="10516" spans="1:1">
      <c r="A10516" s="1"/>
    </row>
    <row r="10517" spans="1:1">
      <c r="A10517" s="1"/>
    </row>
    <row r="10518" spans="1:1">
      <c r="A10518" s="1"/>
    </row>
    <row r="10519" spans="1:1">
      <c r="A10519" s="1"/>
    </row>
    <row r="10520" spans="1:1">
      <c r="A10520" s="1"/>
    </row>
    <row r="10521" spans="1:1">
      <c r="A10521" s="1"/>
    </row>
    <row r="10522" spans="1:1">
      <c r="A10522" s="1"/>
    </row>
    <row r="10523" spans="1:1">
      <c r="A10523" s="1"/>
    </row>
    <row r="10524" spans="1:1">
      <c r="A10524" s="1"/>
    </row>
    <row r="10525" spans="1:1">
      <c r="A10525" s="1"/>
    </row>
    <row r="10526" spans="1:1">
      <c r="A10526" s="1"/>
    </row>
    <row r="10527" spans="1:1">
      <c r="A10527" s="1"/>
    </row>
    <row r="10528" spans="1:1">
      <c r="A10528" s="1"/>
    </row>
    <row r="10529" spans="1:1">
      <c r="A10529" s="1"/>
    </row>
    <row r="10530" spans="1:1">
      <c r="A10530" s="1"/>
    </row>
    <row r="10531" spans="1:1">
      <c r="A10531" s="1"/>
    </row>
    <row r="10532" spans="1:1">
      <c r="A10532" s="1"/>
    </row>
    <row r="10533" spans="1:1">
      <c r="A10533" s="1"/>
    </row>
    <row r="10534" spans="1:1">
      <c r="A10534" s="1"/>
    </row>
    <row r="10535" spans="1:1">
      <c r="A10535" s="1"/>
    </row>
    <row r="10536" spans="1:1">
      <c r="A10536" s="1"/>
    </row>
    <row r="10537" spans="1:1">
      <c r="A10537" s="1"/>
    </row>
    <row r="10538" spans="1:1">
      <c r="A10538" s="1"/>
    </row>
    <row r="10539" spans="1:1">
      <c r="A10539" s="1"/>
    </row>
    <row r="10540" spans="1:1">
      <c r="A10540" s="1"/>
    </row>
    <row r="10541" spans="1:1">
      <c r="A10541" s="1"/>
    </row>
    <row r="10542" spans="1:1">
      <c r="A10542" s="1"/>
    </row>
    <row r="10543" spans="1:1">
      <c r="A10543" s="1"/>
    </row>
    <row r="10544" spans="1:1">
      <c r="A10544" s="1"/>
    </row>
    <row r="10545" spans="1:1">
      <c r="A10545" s="1"/>
    </row>
    <row r="10546" spans="1:1">
      <c r="A10546" s="1"/>
    </row>
    <row r="10547" spans="1:1">
      <c r="A10547" s="1"/>
    </row>
    <row r="10548" spans="1:1">
      <c r="A10548" s="1"/>
    </row>
    <row r="10549" spans="1:1">
      <c r="A10549" s="1"/>
    </row>
    <row r="10550" spans="1:1">
      <c r="A10550" s="1"/>
    </row>
    <row r="10551" spans="1:1">
      <c r="A10551" s="1"/>
    </row>
    <row r="10552" spans="1:1">
      <c r="A10552" s="1"/>
    </row>
    <row r="10553" spans="1:1">
      <c r="A10553" s="1"/>
    </row>
    <row r="10554" spans="1:1">
      <c r="A10554" s="1"/>
    </row>
    <row r="10555" spans="1:1">
      <c r="A10555" s="1"/>
    </row>
    <row r="10556" spans="1:1">
      <c r="A10556" s="1"/>
    </row>
    <row r="10557" spans="1:1">
      <c r="A10557" s="1"/>
    </row>
    <row r="10558" spans="1:1">
      <c r="A10558" s="1"/>
    </row>
    <row r="10559" spans="1:1">
      <c r="A10559" s="1"/>
    </row>
    <row r="10560" spans="1:1">
      <c r="A10560" s="1"/>
    </row>
    <row r="10561" spans="1:1">
      <c r="A10561" s="1"/>
    </row>
    <row r="10562" spans="1:1">
      <c r="A10562" s="1"/>
    </row>
    <row r="10563" spans="1:1">
      <c r="A10563" s="1"/>
    </row>
    <row r="10564" spans="1:1">
      <c r="A10564" s="1"/>
    </row>
    <row r="10565" spans="1:1">
      <c r="A10565" s="1"/>
    </row>
    <row r="10566" spans="1:1">
      <c r="A10566" s="1"/>
    </row>
    <row r="10567" spans="1:1">
      <c r="A10567" s="1"/>
    </row>
    <row r="10568" spans="1:1">
      <c r="A10568" s="1"/>
    </row>
    <row r="10569" spans="1:1">
      <c r="A10569" s="1"/>
    </row>
    <row r="10570" spans="1:1">
      <c r="A10570" s="1"/>
    </row>
    <row r="10571" spans="1:1">
      <c r="A10571" s="1"/>
    </row>
    <row r="10572" spans="1:1">
      <c r="A10572" s="1"/>
    </row>
    <row r="10573" spans="1:1">
      <c r="A10573" s="1"/>
    </row>
    <row r="10574" spans="1:1">
      <c r="A10574" s="1"/>
    </row>
    <row r="10575" spans="1:1">
      <c r="A10575" s="1"/>
    </row>
    <row r="10576" spans="1:1">
      <c r="A10576" s="1"/>
    </row>
    <row r="10577" spans="1:1">
      <c r="A10577" s="1"/>
    </row>
    <row r="10578" spans="1:1">
      <c r="A10578" s="1"/>
    </row>
    <row r="10579" spans="1:1">
      <c r="A10579" s="1"/>
    </row>
    <row r="10580" spans="1:1">
      <c r="A10580" s="1"/>
    </row>
    <row r="10581" spans="1:1">
      <c r="A10581" s="1"/>
    </row>
    <row r="10582" spans="1:1">
      <c r="A10582" s="1"/>
    </row>
    <row r="10583" spans="1:1">
      <c r="A10583" s="1"/>
    </row>
    <row r="10584" spans="1:1">
      <c r="A10584" s="1"/>
    </row>
    <row r="10585" spans="1:1">
      <c r="A10585" s="1"/>
    </row>
    <row r="10586" spans="1:1">
      <c r="A10586" s="1"/>
    </row>
    <row r="10587" spans="1:1">
      <c r="A10587" s="1"/>
    </row>
    <row r="10588" spans="1:1">
      <c r="A10588" s="1"/>
    </row>
    <row r="10589" spans="1:1">
      <c r="A10589" s="1"/>
    </row>
    <row r="10590" spans="1:1">
      <c r="A10590" s="1"/>
    </row>
    <row r="10591" spans="1:1">
      <c r="A10591" s="1"/>
    </row>
    <row r="10592" spans="1:1">
      <c r="A10592" s="1"/>
    </row>
    <row r="10593" spans="1:1">
      <c r="A10593" s="1"/>
    </row>
    <row r="10594" spans="1:1">
      <c r="A10594" s="1"/>
    </row>
    <row r="10595" spans="1:1">
      <c r="A10595" s="1"/>
    </row>
    <row r="10596" spans="1:1">
      <c r="A10596" s="1"/>
    </row>
    <row r="10597" spans="1:1">
      <c r="A10597" s="1"/>
    </row>
    <row r="10598" spans="1:1">
      <c r="A10598" s="1"/>
    </row>
    <row r="10599" spans="1:1">
      <c r="A10599" s="1"/>
    </row>
    <row r="10600" spans="1:1">
      <c r="A10600" s="1"/>
    </row>
    <row r="10601" spans="1:1">
      <c r="A10601" s="1"/>
    </row>
    <row r="10602" spans="1:1">
      <c r="A10602" s="1"/>
    </row>
    <row r="10603" spans="1:1">
      <c r="A10603" s="1"/>
    </row>
    <row r="10604" spans="1:1">
      <c r="A10604" s="1"/>
    </row>
    <row r="10605" spans="1:1">
      <c r="A10605" s="1"/>
    </row>
    <row r="10606" spans="1:1">
      <c r="A10606" s="1"/>
    </row>
    <row r="10607" spans="1:1">
      <c r="A10607" s="1"/>
    </row>
    <row r="10608" spans="1:1">
      <c r="A10608" s="1"/>
    </row>
    <row r="10609" spans="1:1">
      <c r="A10609" s="1"/>
    </row>
    <row r="10610" spans="1:1">
      <c r="A10610" s="1"/>
    </row>
    <row r="10611" spans="1:1">
      <c r="A10611" s="1"/>
    </row>
    <row r="10612" spans="1:1">
      <c r="A10612" s="1"/>
    </row>
    <row r="10613" spans="1:1">
      <c r="A10613" s="1"/>
    </row>
    <row r="10614" spans="1:1">
      <c r="A10614" s="1"/>
    </row>
    <row r="10615" spans="1:1">
      <c r="A10615" s="1"/>
    </row>
    <row r="10616" spans="1:1">
      <c r="A10616" s="1"/>
    </row>
    <row r="10617" spans="1:1">
      <c r="A10617" s="1"/>
    </row>
    <row r="10618" spans="1:1">
      <c r="A10618" s="1"/>
    </row>
    <row r="10619" spans="1:1">
      <c r="A10619" s="1"/>
    </row>
    <row r="10620" spans="1:1">
      <c r="A10620" s="1"/>
    </row>
    <row r="10621" spans="1:1">
      <c r="A10621" s="1"/>
    </row>
    <row r="10622" spans="1:1">
      <c r="A10622" s="1"/>
    </row>
    <row r="10623" spans="1:1">
      <c r="A10623" s="1"/>
    </row>
    <row r="10624" spans="1:1">
      <c r="A10624" s="1"/>
    </row>
    <row r="10625" spans="1:1">
      <c r="A10625" s="1"/>
    </row>
    <row r="10626" spans="1:1">
      <c r="A10626" s="1"/>
    </row>
    <row r="10627" spans="1:1">
      <c r="A10627" s="1"/>
    </row>
    <row r="10628" spans="1:1">
      <c r="A10628" s="1"/>
    </row>
    <row r="10629" spans="1:1">
      <c r="A10629" s="1"/>
    </row>
    <row r="10630" spans="1:1">
      <c r="A10630" s="1"/>
    </row>
    <row r="10631" spans="1:1">
      <c r="A10631" s="1"/>
    </row>
    <row r="10632" spans="1:1">
      <c r="A10632" s="1"/>
    </row>
    <row r="10633" spans="1:1">
      <c r="A10633" s="1"/>
    </row>
    <row r="10634" spans="1:1">
      <c r="A10634" s="1"/>
    </row>
    <row r="10635" spans="1:1">
      <c r="A10635" s="1"/>
    </row>
    <row r="10636" spans="1:1">
      <c r="A10636" s="1"/>
    </row>
    <row r="10637" spans="1:1">
      <c r="A10637" s="1"/>
    </row>
    <row r="10638" spans="1:1">
      <c r="A10638" s="1"/>
    </row>
    <row r="10639" spans="1:1">
      <c r="A10639" s="1"/>
    </row>
    <row r="10640" spans="1:1">
      <c r="A10640" s="1"/>
    </row>
    <row r="10641" spans="1:1">
      <c r="A10641" s="1"/>
    </row>
    <row r="10642" spans="1:1">
      <c r="A10642" s="1"/>
    </row>
    <row r="10643" spans="1:1">
      <c r="A10643" s="1"/>
    </row>
    <row r="10644" spans="1:1">
      <c r="A10644" s="1"/>
    </row>
    <row r="10645" spans="1:1">
      <c r="A10645" s="1"/>
    </row>
    <row r="10646" spans="1:1">
      <c r="A10646" s="1"/>
    </row>
    <row r="10647" spans="1:1">
      <c r="A10647" s="1"/>
    </row>
    <row r="10648" spans="1:1">
      <c r="A10648" s="1"/>
    </row>
    <row r="10649" spans="1:1">
      <c r="A10649" s="1"/>
    </row>
    <row r="10650" spans="1:1">
      <c r="A10650" s="1"/>
    </row>
    <row r="10651" spans="1:1">
      <c r="A10651" s="1"/>
    </row>
    <row r="10652" spans="1:1">
      <c r="A10652" s="1"/>
    </row>
    <row r="10653" spans="1:1">
      <c r="A10653" s="1"/>
    </row>
    <row r="10654" spans="1:1">
      <c r="A10654" s="1"/>
    </row>
    <row r="10655" spans="1:1">
      <c r="A10655" s="1"/>
    </row>
    <row r="10656" spans="1:1">
      <c r="A10656" s="1"/>
    </row>
    <row r="10657" spans="1:1">
      <c r="A10657" s="1"/>
    </row>
    <row r="10658" spans="1:1">
      <c r="A10658" s="1"/>
    </row>
    <row r="10659" spans="1:1">
      <c r="A10659" s="1"/>
    </row>
    <row r="10660" spans="1:1">
      <c r="A10660" s="1"/>
    </row>
    <row r="10661" spans="1:1">
      <c r="A10661" s="1"/>
    </row>
    <row r="10662" spans="1:1">
      <c r="A10662" s="1"/>
    </row>
    <row r="10663" spans="1:1">
      <c r="A10663" s="1"/>
    </row>
    <row r="10664" spans="1:1">
      <c r="A10664" s="1"/>
    </row>
    <row r="10665" spans="1:1">
      <c r="A10665" s="1"/>
    </row>
    <row r="10666" spans="1:1">
      <c r="A10666" s="1"/>
    </row>
    <row r="10667" spans="1:1">
      <c r="A10667" s="1"/>
    </row>
    <row r="10668" spans="1:1">
      <c r="A10668" s="1"/>
    </row>
    <row r="10669" spans="1:1">
      <c r="A10669" s="1"/>
    </row>
    <row r="10670" spans="1:1">
      <c r="A10670" s="1"/>
    </row>
    <row r="10671" spans="1:1">
      <c r="A10671" s="1"/>
    </row>
    <row r="10672" spans="1:1">
      <c r="A10672" s="1"/>
    </row>
    <row r="10673" spans="1:1">
      <c r="A10673" s="1"/>
    </row>
    <row r="10674" spans="1:1">
      <c r="A10674" s="1"/>
    </row>
    <row r="10675" spans="1:1">
      <c r="A10675" s="1"/>
    </row>
    <row r="10676" spans="1:1">
      <c r="A10676" s="1"/>
    </row>
    <row r="10677" spans="1:1">
      <c r="A10677" s="1"/>
    </row>
    <row r="10678" spans="1:1">
      <c r="A10678" s="1"/>
    </row>
    <row r="10679" spans="1:1">
      <c r="A10679" s="1"/>
    </row>
    <row r="10680" spans="1:1">
      <c r="A10680" s="1"/>
    </row>
    <row r="10681" spans="1:1">
      <c r="A10681" s="1"/>
    </row>
    <row r="10682" spans="1:1">
      <c r="A10682" s="1"/>
    </row>
    <row r="10683" spans="1:1">
      <c r="A10683" s="1"/>
    </row>
    <row r="10684" spans="1:1">
      <c r="A10684" s="1"/>
    </row>
    <row r="10685" spans="1:1">
      <c r="A10685" s="1"/>
    </row>
    <row r="10686" spans="1:1">
      <c r="A10686" s="1"/>
    </row>
    <row r="10687" spans="1:1">
      <c r="A10687" s="1"/>
    </row>
    <row r="10688" spans="1:1">
      <c r="A10688" s="1"/>
    </row>
    <row r="10689" spans="1:1">
      <c r="A10689" s="1"/>
    </row>
    <row r="10690" spans="1:1">
      <c r="A10690" s="1"/>
    </row>
    <row r="10691" spans="1:1">
      <c r="A10691" s="1"/>
    </row>
    <row r="10692" spans="1:1">
      <c r="A10692" s="1"/>
    </row>
    <row r="10693" spans="1:1">
      <c r="A10693" s="1"/>
    </row>
    <row r="10694" spans="1:1">
      <c r="A10694" s="1"/>
    </row>
    <row r="10695" spans="1:1">
      <c r="A10695" s="1"/>
    </row>
    <row r="10696" spans="1:1">
      <c r="A10696" s="1"/>
    </row>
    <row r="10697" spans="1:1">
      <c r="A10697" s="1"/>
    </row>
    <row r="10698" spans="1:1">
      <c r="A10698" s="1"/>
    </row>
    <row r="10699" spans="1:1">
      <c r="A10699" s="1"/>
    </row>
    <row r="10700" spans="1:1">
      <c r="A10700" s="1"/>
    </row>
    <row r="10701" spans="1:1">
      <c r="A10701" s="1"/>
    </row>
    <row r="10702" spans="1:1">
      <c r="A10702" s="1"/>
    </row>
    <row r="10703" spans="1:1">
      <c r="A10703" s="1"/>
    </row>
    <row r="10704" spans="1:1">
      <c r="A10704" s="1"/>
    </row>
    <row r="10705" spans="1:1">
      <c r="A10705" s="1"/>
    </row>
    <row r="10706" spans="1:1">
      <c r="A10706" s="1"/>
    </row>
    <row r="10707" spans="1:1">
      <c r="A10707" s="1"/>
    </row>
    <row r="10708" spans="1:1">
      <c r="A10708" s="1"/>
    </row>
    <row r="10709" spans="1:1">
      <c r="A10709" s="1"/>
    </row>
    <row r="10710" spans="1:1">
      <c r="A10710" s="1"/>
    </row>
    <row r="10711" spans="1:1">
      <c r="A10711" s="1"/>
    </row>
    <row r="10712" spans="1:1">
      <c r="A10712" s="1"/>
    </row>
    <row r="10713" spans="1:1">
      <c r="A10713" s="1"/>
    </row>
    <row r="10714" spans="1:1">
      <c r="A10714" s="1"/>
    </row>
    <row r="10715" spans="1:1">
      <c r="A10715" s="1"/>
    </row>
    <row r="10716" spans="1:1">
      <c r="A10716" s="1"/>
    </row>
    <row r="10717" spans="1:1">
      <c r="A10717" s="1"/>
    </row>
    <row r="10718" spans="1:1">
      <c r="A10718" s="1"/>
    </row>
    <row r="10719" spans="1:1">
      <c r="A10719" s="1"/>
    </row>
    <row r="10720" spans="1:1">
      <c r="A10720" s="1"/>
    </row>
    <row r="10721" spans="1:1">
      <c r="A10721" s="1"/>
    </row>
    <row r="10722" spans="1:1">
      <c r="A10722" s="1"/>
    </row>
    <row r="10723" spans="1:1">
      <c r="A10723" s="1"/>
    </row>
    <row r="10724" spans="1:1">
      <c r="A10724" s="1"/>
    </row>
    <row r="10725" spans="1:1">
      <c r="A10725" s="1"/>
    </row>
    <row r="10726" spans="1:1">
      <c r="A10726" s="1"/>
    </row>
    <row r="10727" spans="1:1">
      <c r="A10727" s="1"/>
    </row>
    <row r="10728" spans="1:1">
      <c r="A10728" s="1"/>
    </row>
    <row r="10729" spans="1:1">
      <c r="A10729" s="1"/>
    </row>
    <row r="10730" spans="1:1">
      <c r="A10730" s="1"/>
    </row>
    <row r="10731" spans="1:1">
      <c r="A10731" s="1"/>
    </row>
    <row r="10732" spans="1:1">
      <c r="A10732" s="1"/>
    </row>
    <row r="10733" spans="1:1">
      <c r="A10733" s="1"/>
    </row>
    <row r="10734" spans="1:1">
      <c r="A10734" s="1"/>
    </row>
    <row r="10735" spans="1:1">
      <c r="A10735" s="1"/>
    </row>
    <row r="10736" spans="1:1">
      <c r="A10736" s="1"/>
    </row>
    <row r="10737" spans="1:1">
      <c r="A10737" s="1"/>
    </row>
    <row r="10738" spans="1:1">
      <c r="A10738" s="1"/>
    </row>
    <row r="10739" spans="1:1">
      <c r="A10739" s="1"/>
    </row>
    <row r="10740" spans="1:1">
      <c r="A10740" s="1"/>
    </row>
    <row r="10741" spans="1:1">
      <c r="A10741" s="1"/>
    </row>
    <row r="10742" spans="1:1">
      <c r="A10742" s="1"/>
    </row>
    <row r="10743" spans="1:1">
      <c r="A10743" s="1"/>
    </row>
    <row r="10744" spans="1:1">
      <c r="A10744" s="1"/>
    </row>
    <row r="10745" spans="1:1">
      <c r="A10745" s="1"/>
    </row>
    <row r="10746" spans="1:1">
      <c r="A10746" s="1"/>
    </row>
    <row r="10747" spans="1:1">
      <c r="A10747" s="1"/>
    </row>
    <row r="10748" spans="1:1">
      <c r="A10748" s="1"/>
    </row>
    <row r="10749" spans="1:1">
      <c r="A10749" s="1"/>
    </row>
    <row r="10750" spans="1:1">
      <c r="A10750" s="1"/>
    </row>
    <row r="10751" spans="1:1">
      <c r="A10751" s="1"/>
    </row>
    <row r="10752" spans="1:1">
      <c r="A10752" s="1"/>
    </row>
    <row r="10753" spans="1:1">
      <c r="A10753" s="1"/>
    </row>
    <row r="10754" spans="1:1">
      <c r="A10754" s="1"/>
    </row>
    <row r="10755" spans="1:1">
      <c r="A10755" s="1"/>
    </row>
    <row r="10756" spans="1:1">
      <c r="A10756" s="1"/>
    </row>
    <row r="10757" spans="1:1">
      <c r="A10757" s="1"/>
    </row>
    <row r="10758" spans="1:1">
      <c r="A10758" s="1"/>
    </row>
    <row r="10759" spans="1:1">
      <c r="A10759" s="1"/>
    </row>
    <row r="10760" spans="1:1">
      <c r="A10760" s="1"/>
    </row>
    <row r="10761" spans="1:1">
      <c r="A10761" s="1"/>
    </row>
    <row r="10762" spans="1:1">
      <c r="A10762" s="1"/>
    </row>
    <row r="10763" spans="1:1">
      <c r="A10763" s="1"/>
    </row>
    <row r="10764" spans="1:1">
      <c r="A10764" s="1"/>
    </row>
    <row r="10765" spans="1:1">
      <c r="A10765" s="1"/>
    </row>
    <row r="10766" spans="1:1">
      <c r="A10766" s="1"/>
    </row>
    <row r="10767" spans="1:1">
      <c r="A10767" s="1"/>
    </row>
    <row r="10768" spans="1:1">
      <c r="A10768" s="1"/>
    </row>
    <row r="10769" spans="1:1">
      <c r="A10769" s="1"/>
    </row>
    <row r="10770" spans="1:1">
      <c r="A10770" s="1"/>
    </row>
    <row r="10771" spans="1:1">
      <c r="A10771" s="1"/>
    </row>
    <row r="10772" spans="1:1">
      <c r="A10772" s="1"/>
    </row>
    <row r="10773" spans="1:1">
      <c r="A10773" s="1"/>
    </row>
    <row r="10774" spans="1:1">
      <c r="A10774" s="1"/>
    </row>
    <row r="10775" spans="1:1">
      <c r="A10775" s="1"/>
    </row>
    <row r="10776" spans="1:1">
      <c r="A10776" s="1"/>
    </row>
    <row r="10777" spans="1:1">
      <c r="A10777" s="1"/>
    </row>
    <row r="10778" spans="1:1">
      <c r="A10778" s="1"/>
    </row>
    <row r="10779" spans="1:1">
      <c r="A10779" s="1"/>
    </row>
    <row r="10780" spans="1:1">
      <c r="A10780" s="1"/>
    </row>
    <row r="10781" spans="1:1">
      <c r="A10781" s="1"/>
    </row>
    <row r="10782" spans="1:1">
      <c r="A10782" s="1"/>
    </row>
    <row r="10783" spans="1:1">
      <c r="A10783" s="1"/>
    </row>
    <row r="10784" spans="1:1">
      <c r="A10784" s="1"/>
    </row>
    <row r="10785" spans="1:1">
      <c r="A10785" s="1"/>
    </row>
    <row r="10786" spans="1:1">
      <c r="A10786" s="1"/>
    </row>
    <row r="10787" spans="1:1">
      <c r="A10787" s="1"/>
    </row>
    <row r="10788" spans="1:1">
      <c r="A10788" s="1"/>
    </row>
    <row r="10789" spans="1:1">
      <c r="A10789" s="1"/>
    </row>
    <row r="10790" spans="1:1">
      <c r="A10790" s="1"/>
    </row>
    <row r="10791" spans="1:1">
      <c r="A10791" s="1"/>
    </row>
    <row r="10792" spans="1:1">
      <c r="A10792" s="1"/>
    </row>
    <row r="10793" spans="1:1">
      <c r="A10793" s="1"/>
    </row>
    <row r="10794" spans="1:1">
      <c r="A10794" s="1"/>
    </row>
    <row r="10795" spans="1:1">
      <c r="A10795" s="1"/>
    </row>
    <row r="10796" spans="1:1">
      <c r="A10796" s="1"/>
    </row>
    <row r="10797" spans="1:1">
      <c r="A10797" s="1"/>
    </row>
    <row r="10798" spans="1:1">
      <c r="A10798" s="1"/>
    </row>
    <row r="10799" spans="1:1">
      <c r="A10799" s="1"/>
    </row>
    <row r="10800" spans="1:1">
      <c r="A10800" s="1"/>
    </row>
    <row r="10801" spans="1:1">
      <c r="A10801" s="1"/>
    </row>
    <row r="10802" spans="1:1">
      <c r="A10802" s="1"/>
    </row>
    <row r="10803" spans="1:1">
      <c r="A10803" s="1"/>
    </row>
    <row r="10804" spans="1:1">
      <c r="A10804" s="1"/>
    </row>
    <row r="10805" spans="1:1">
      <c r="A10805" s="1"/>
    </row>
    <row r="10806" spans="1:1">
      <c r="A10806" s="1"/>
    </row>
    <row r="10807" spans="1:1">
      <c r="A10807" s="1"/>
    </row>
    <row r="10808" spans="1:1">
      <c r="A10808" s="1"/>
    </row>
    <row r="10809" spans="1:1">
      <c r="A10809" s="1"/>
    </row>
    <row r="10810" spans="1:1">
      <c r="A10810" s="1"/>
    </row>
    <row r="10811" spans="1:1">
      <c r="A10811" s="1"/>
    </row>
    <row r="10812" spans="1:1">
      <c r="A10812" s="1"/>
    </row>
    <row r="10813" spans="1:1">
      <c r="A10813" s="1"/>
    </row>
    <row r="10814" spans="1:1">
      <c r="A10814" s="1"/>
    </row>
    <row r="10815" spans="1:1">
      <c r="A10815" s="1"/>
    </row>
    <row r="10816" spans="1:1">
      <c r="A10816" s="1"/>
    </row>
    <row r="10817" spans="1:1">
      <c r="A10817" s="1"/>
    </row>
    <row r="10818" spans="1:1">
      <c r="A10818" s="1"/>
    </row>
    <row r="10819" spans="1:1">
      <c r="A10819" s="1"/>
    </row>
    <row r="10820" spans="1:1">
      <c r="A10820" s="1"/>
    </row>
    <row r="10821" spans="1:1">
      <c r="A10821" s="1"/>
    </row>
    <row r="10822" spans="1:1">
      <c r="A10822" s="1"/>
    </row>
    <row r="10823" spans="1:1">
      <c r="A10823" s="1"/>
    </row>
    <row r="10824" spans="1:1">
      <c r="A10824" s="1"/>
    </row>
    <row r="10825" spans="1:1">
      <c r="A10825" s="1"/>
    </row>
    <row r="10826" spans="1:1">
      <c r="A10826" s="1"/>
    </row>
    <row r="10827" spans="1:1">
      <c r="A10827" s="1"/>
    </row>
    <row r="10828" spans="1:1">
      <c r="A10828" s="1"/>
    </row>
    <row r="10829" spans="1:1">
      <c r="A10829" s="1"/>
    </row>
    <row r="10830" spans="1:1">
      <c r="A10830" s="1"/>
    </row>
    <row r="10831" spans="1:1">
      <c r="A10831" s="1"/>
    </row>
    <row r="10832" spans="1:1">
      <c r="A10832" s="1"/>
    </row>
    <row r="10833" spans="1:1">
      <c r="A10833" s="1"/>
    </row>
    <row r="10834" spans="1:1">
      <c r="A10834" s="1"/>
    </row>
    <row r="10835" spans="1:1">
      <c r="A10835" s="1"/>
    </row>
    <row r="10836" spans="1:1">
      <c r="A10836" s="1"/>
    </row>
    <row r="10837" spans="1:1">
      <c r="A10837" s="1"/>
    </row>
    <row r="10838" spans="1:1">
      <c r="A10838" s="1"/>
    </row>
    <row r="10839" spans="1:1">
      <c r="A10839" s="1"/>
    </row>
    <row r="10840" spans="1:1">
      <c r="A10840" s="1"/>
    </row>
    <row r="10841" spans="1:1">
      <c r="A10841" s="1"/>
    </row>
    <row r="10842" spans="1:1">
      <c r="A10842" s="1"/>
    </row>
    <row r="10843" spans="1:1">
      <c r="A10843" s="1"/>
    </row>
    <row r="10844" spans="1:1">
      <c r="A10844" s="1"/>
    </row>
    <row r="10845" spans="1:1">
      <c r="A10845" s="1"/>
    </row>
    <row r="10846" spans="1:1">
      <c r="A10846" s="1"/>
    </row>
    <row r="10847" spans="1:1">
      <c r="A10847" s="1"/>
    </row>
    <row r="10848" spans="1:1">
      <c r="A10848" s="1"/>
    </row>
    <row r="10849" spans="1:1">
      <c r="A10849" s="1"/>
    </row>
    <row r="10850" spans="1:1">
      <c r="A10850" s="1"/>
    </row>
    <row r="10851" spans="1:1">
      <c r="A10851" s="1"/>
    </row>
    <row r="10852" spans="1:1">
      <c r="A10852" s="1"/>
    </row>
    <row r="10853" spans="1:1">
      <c r="A10853" s="1"/>
    </row>
    <row r="10854" spans="1:1">
      <c r="A10854" s="1"/>
    </row>
    <row r="10855" spans="1:1">
      <c r="A10855" s="1"/>
    </row>
    <row r="10856" spans="1:1">
      <c r="A10856" s="1"/>
    </row>
    <row r="10857" spans="1:1">
      <c r="A10857" s="1"/>
    </row>
    <row r="10858" spans="1:1">
      <c r="A10858" s="1"/>
    </row>
    <row r="10859" spans="1:1">
      <c r="A10859" s="1"/>
    </row>
    <row r="10860" spans="1:1">
      <c r="A10860" s="1"/>
    </row>
    <row r="10861" spans="1:1">
      <c r="A10861" s="1"/>
    </row>
    <row r="10862" spans="1:1">
      <c r="A10862" s="1"/>
    </row>
    <row r="10863" spans="1:1">
      <c r="A10863" s="1"/>
    </row>
    <row r="10864" spans="1:1">
      <c r="A10864" s="1"/>
    </row>
    <row r="10865" spans="1:1">
      <c r="A10865" s="1"/>
    </row>
    <row r="10866" spans="1:1">
      <c r="A10866" s="1"/>
    </row>
    <row r="10867" spans="1:1">
      <c r="A10867" s="1"/>
    </row>
    <row r="10868" spans="1:1">
      <c r="A10868" s="1"/>
    </row>
    <row r="10869" spans="1:1">
      <c r="A10869" s="1"/>
    </row>
    <row r="10870" spans="1:1">
      <c r="A10870" s="1"/>
    </row>
    <row r="10871" spans="1:1">
      <c r="A10871" s="1"/>
    </row>
    <row r="10872" spans="1:1">
      <c r="A10872" s="1"/>
    </row>
    <row r="10873" spans="1:1">
      <c r="A10873" s="1"/>
    </row>
    <row r="10874" spans="1:1">
      <c r="A10874" s="1"/>
    </row>
    <row r="10875" spans="1:1">
      <c r="A10875" s="1"/>
    </row>
    <row r="10876" spans="1:1">
      <c r="A10876" s="1"/>
    </row>
    <row r="10877" spans="1:1">
      <c r="A10877" s="1"/>
    </row>
    <row r="10878" spans="1:1">
      <c r="A10878" s="1"/>
    </row>
    <row r="10879" spans="1:1">
      <c r="A10879" s="1"/>
    </row>
    <row r="10880" spans="1:1">
      <c r="A10880" s="1"/>
    </row>
    <row r="10881" spans="1:1">
      <c r="A10881" s="1"/>
    </row>
    <row r="10882" spans="1:1">
      <c r="A10882" s="1"/>
    </row>
    <row r="10883" spans="1:1">
      <c r="A10883" s="1"/>
    </row>
    <row r="10884" spans="1:1">
      <c r="A10884" s="1"/>
    </row>
    <row r="10885" spans="1:1">
      <c r="A10885" s="1"/>
    </row>
    <row r="10886" spans="1:1">
      <c r="A10886" s="1"/>
    </row>
    <row r="10887" spans="1:1">
      <c r="A10887" s="1"/>
    </row>
    <row r="10888" spans="1:1">
      <c r="A10888" s="1"/>
    </row>
    <row r="10889" spans="1:1">
      <c r="A10889" s="1"/>
    </row>
    <row r="10890" spans="1:1">
      <c r="A10890" s="1"/>
    </row>
    <row r="10891" spans="1:1">
      <c r="A10891" s="1"/>
    </row>
    <row r="10892" spans="1:1">
      <c r="A10892" s="1"/>
    </row>
    <row r="10893" spans="1:1">
      <c r="A10893" s="1"/>
    </row>
    <row r="10894" spans="1:1">
      <c r="A10894" s="1"/>
    </row>
    <row r="10895" spans="1:1">
      <c r="A10895" s="1"/>
    </row>
    <row r="10896" spans="1:1">
      <c r="A10896" s="1"/>
    </row>
    <row r="10897" spans="1:1">
      <c r="A10897" s="1"/>
    </row>
    <row r="10898" spans="1:1">
      <c r="A10898" s="1"/>
    </row>
    <row r="10899" spans="1:1">
      <c r="A10899" s="1"/>
    </row>
    <row r="10900" spans="1:1">
      <c r="A10900" s="1"/>
    </row>
    <row r="10901" spans="1:1">
      <c r="A10901" s="1"/>
    </row>
    <row r="10902" spans="1:1">
      <c r="A10902" s="1"/>
    </row>
    <row r="10903" spans="1:1">
      <c r="A10903" s="1"/>
    </row>
    <row r="10904" spans="1:1">
      <c r="A10904" s="1"/>
    </row>
    <row r="10905" spans="1:1">
      <c r="A10905" s="1"/>
    </row>
    <row r="10906" spans="1:1">
      <c r="A10906" s="1"/>
    </row>
    <row r="10907" spans="1:1">
      <c r="A10907" s="1"/>
    </row>
    <row r="10908" spans="1:1">
      <c r="A10908" s="1"/>
    </row>
    <row r="10909" spans="1:1">
      <c r="A10909" s="1"/>
    </row>
    <row r="10910" spans="1:1">
      <c r="A10910" s="1"/>
    </row>
    <row r="10911" spans="1:1">
      <c r="A10911" s="1"/>
    </row>
    <row r="10912" spans="1:1">
      <c r="A10912" s="1"/>
    </row>
    <row r="10913" spans="1:1">
      <c r="A10913" s="1"/>
    </row>
    <row r="10914" spans="1:1">
      <c r="A10914" s="1"/>
    </row>
    <row r="10915" spans="1:1">
      <c r="A10915" s="1"/>
    </row>
    <row r="10916" spans="1:1">
      <c r="A10916" s="1"/>
    </row>
    <row r="10917" spans="1:1">
      <c r="A10917" s="1"/>
    </row>
    <row r="10918" spans="1:1">
      <c r="A10918" s="1"/>
    </row>
    <row r="10919" spans="1:1">
      <c r="A10919" s="1"/>
    </row>
    <row r="10920" spans="1:1">
      <c r="A10920" s="1"/>
    </row>
    <row r="10921" spans="1:1">
      <c r="A10921" s="1"/>
    </row>
    <row r="10922" spans="1:1">
      <c r="A10922" s="1"/>
    </row>
    <row r="10923" spans="1:1">
      <c r="A10923" s="1"/>
    </row>
    <row r="10924" spans="1:1">
      <c r="A10924" s="1"/>
    </row>
    <row r="10925" spans="1:1">
      <c r="A10925" s="1"/>
    </row>
    <row r="10926" spans="1:1">
      <c r="A10926" s="1"/>
    </row>
    <row r="10927" spans="1:1">
      <c r="A10927" s="1"/>
    </row>
    <row r="10928" spans="1:1">
      <c r="A10928" s="1"/>
    </row>
    <row r="10929" spans="1:1">
      <c r="A10929" s="1"/>
    </row>
    <row r="10930" spans="1:1">
      <c r="A10930" s="1"/>
    </row>
    <row r="10931" spans="1:1">
      <c r="A10931" s="1"/>
    </row>
    <row r="10932" spans="1:1">
      <c r="A10932" s="1"/>
    </row>
    <row r="10933" spans="1:1">
      <c r="A10933" s="1"/>
    </row>
    <row r="10934" spans="1:1">
      <c r="A10934" s="1"/>
    </row>
    <row r="10935" spans="1:1">
      <c r="A10935" s="1"/>
    </row>
    <row r="10936" spans="1:1">
      <c r="A10936" s="1"/>
    </row>
    <row r="10937" spans="1:1">
      <c r="A10937" s="1"/>
    </row>
    <row r="10938" spans="1:1">
      <c r="A10938" s="1"/>
    </row>
    <row r="10939" spans="1:1">
      <c r="A10939" s="1"/>
    </row>
    <row r="10940" spans="1:1">
      <c r="A10940" s="1"/>
    </row>
    <row r="10941" spans="1:1">
      <c r="A10941" s="1"/>
    </row>
    <row r="10942" spans="1:1">
      <c r="A10942" s="1"/>
    </row>
    <row r="10943" spans="1:1">
      <c r="A10943" s="1"/>
    </row>
    <row r="10944" spans="1:1">
      <c r="A10944" s="1"/>
    </row>
    <row r="10945" spans="1:1">
      <c r="A10945" s="1"/>
    </row>
    <row r="10946" spans="1:1">
      <c r="A10946" s="1"/>
    </row>
    <row r="10947" spans="1:1">
      <c r="A10947" s="1"/>
    </row>
    <row r="10948" spans="1:1">
      <c r="A10948" s="1"/>
    </row>
    <row r="10949" spans="1:1">
      <c r="A10949" s="1"/>
    </row>
    <row r="10950" spans="1:1">
      <c r="A10950" s="1"/>
    </row>
    <row r="10951" spans="1:1">
      <c r="A10951" s="1"/>
    </row>
    <row r="10952" spans="1:1">
      <c r="A10952" s="1"/>
    </row>
    <row r="10953" spans="1:1">
      <c r="A10953" s="1"/>
    </row>
    <row r="10954" spans="1:1">
      <c r="A10954" s="1"/>
    </row>
    <row r="10955" spans="1:1">
      <c r="A10955" s="1"/>
    </row>
    <row r="10956" spans="1:1">
      <c r="A10956" s="1"/>
    </row>
    <row r="10957" spans="1:1">
      <c r="A10957" s="1"/>
    </row>
    <row r="10958" spans="1:1">
      <c r="A10958" s="1"/>
    </row>
    <row r="10959" spans="1:1">
      <c r="A10959" s="1"/>
    </row>
    <row r="10960" spans="1:1">
      <c r="A10960" s="1"/>
    </row>
    <row r="10961" spans="1:1">
      <c r="A10961" s="1"/>
    </row>
    <row r="10962" spans="1:1">
      <c r="A10962" s="1"/>
    </row>
    <row r="10963" spans="1:1">
      <c r="A10963" s="1"/>
    </row>
    <row r="10964" spans="1:1">
      <c r="A10964" s="1"/>
    </row>
    <row r="10965" spans="1:1">
      <c r="A10965" s="1"/>
    </row>
    <row r="10966" spans="1:1">
      <c r="A10966" s="1"/>
    </row>
    <row r="10967" spans="1:1">
      <c r="A10967" s="1"/>
    </row>
    <row r="10968" spans="1:1">
      <c r="A10968" s="1"/>
    </row>
    <row r="10969" spans="1:1">
      <c r="A10969" s="1"/>
    </row>
    <row r="10970" spans="1:1">
      <c r="A10970" s="1"/>
    </row>
    <row r="10971" spans="1:1">
      <c r="A10971" s="1"/>
    </row>
    <row r="10972" spans="1:1">
      <c r="A10972" s="1"/>
    </row>
    <row r="10973" spans="1:1">
      <c r="A10973" s="1"/>
    </row>
    <row r="10974" spans="1:1">
      <c r="A10974" s="1"/>
    </row>
    <row r="10975" spans="1:1">
      <c r="A10975" s="1"/>
    </row>
    <row r="10976" spans="1:1">
      <c r="A10976" s="1"/>
    </row>
    <row r="10977" spans="1:1">
      <c r="A10977" s="1"/>
    </row>
    <row r="10978" spans="1:1">
      <c r="A10978" s="1"/>
    </row>
    <row r="10979" spans="1:1">
      <c r="A10979" s="1"/>
    </row>
    <row r="10980" spans="1:1">
      <c r="A10980" s="1"/>
    </row>
    <row r="10981" spans="1:1">
      <c r="A10981" s="1"/>
    </row>
    <row r="10982" spans="1:1">
      <c r="A10982" s="1"/>
    </row>
    <row r="10983" spans="1:1">
      <c r="A10983" s="1"/>
    </row>
    <row r="10984" spans="1:1">
      <c r="A10984" s="1"/>
    </row>
    <row r="10985" spans="1:1">
      <c r="A10985" s="1"/>
    </row>
    <row r="10986" spans="1:1">
      <c r="A10986" s="1"/>
    </row>
    <row r="10987" spans="1:1">
      <c r="A10987" s="1"/>
    </row>
    <row r="10988" spans="1:1">
      <c r="A10988" s="1"/>
    </row>
    <row r="10989" spans="1:1">
      <c r="A10989" s="1"/>
    </row>
    <row r="10990" spans="1:1">
      <c r="A10990" s="1"/>
    </row>
    <row r="10991" spans="1:1">
      <c r="A10991" s="1"/>
    </row>
    <row r="10992" spans="1:1">
      <c r="A10992" s="1"/>
    </row>
    <row r="10993" spans="1:1">
      <c r="A10993" s="1"/>
    </row>
    <row r="10994" spans="1:1">
      <c r="A10994" s="1"/>
    </row>
    <row r="10995" spans="1:1">
      <c r="A10995" s="1"/>
    </row>
    <row r="10996" spans="1:1">
      <c r="A10996" s="1"/>
    </row>
    <row r="10997" spans="1:1">
      <c r="A10997" s="1"/>
    </row>
    <row r="10998" spans="1:1">
      <c r="A10998" s="1"/>
    </row>
    <row r="10999" spans="1:1">
      <c r="A10999" s="1"/>
    </row>
    <row r="11000" spans="1:1">
      <c r="A11000" s="1"/>
    </row>
    <row r="11001" spans="1:1">
      <c r="A11001" s="1"/>
    </row>
    <row r="11002" spans="1:1">
      <c r="A11002" s="1"/>
    </row>
    <row r="11003" spans="1:1">
      <c r="A11003" s="1"/>
    </row>
    <row r="11004" spans="1:1">
      <c r="A11004" s="1"/>
    </row>
    <row r="11005" spans="1:1">
      <c r="A11005" s="1"/>
    </row>
    <row r="11006" spans="1:1">
      <c r="A11006" s="1"/>
    </row>
    <row r="11007" spans="1:1">
      <c r="A11007" s="1"/>
    </row>
    <row r="11008" spans="1:1">
      <c r="A11008" s="1"/>
    </row>
    <row r="11009" spans="1:1">
      <c r="A11009" s="1"/>
    </row>
    <row r="11010" spans="1:1">
      <c r="A11010" s="1"/>
    </row>
    <row r="11011" spans="1:1">
      <c r="A11011" s="1"/>
    </row>
    <row r="11012" spans="1:1">
      <c r="A11012" s="1"/>
    </row>
    <row r="11013" spans="1:1">
      <c r="A11013" s="1"/>
    </row>
    <row r="11014" spans="1:1">
      <c r="A11014" s="1"/>
    </row>
    <row r="11015" spans="1:1">
      <c r="A11015" s="1"/>
    </row>
    <row r="11016" spans="1:1">
      <c r="A11016" s="1"/>
    </row>
    <row r="11017" spans="1:1">
      <c r="A11017" s="1"/>
    </row>
    <row r="11018" spans="1:1">
      <c r="A11018" s="1"/>
    </row>
    <row r="11019" spans="1:1">
      <c r="A11019" s="1"/>
    </row>
    <row r="11020" spans="1:1">
      <c r="A11020" s="1"/>
    </row>
    <row r="11021" spans="1:1">
      <c r="A11021" s="1"/>
    </row>
    <row r="11022" spans="1:1">
      <c r="A11022" s="1"/>
    </row>
    <row r="11023" spans="1:1">
      <c r="A11023" s="1"/>
    </row>
    <row r="11024" spans="1:1">
      <c r="A11024" s="1"/>
    </row>
    <row r="11025" spans="1:1">
      <c r="A11025" s="1"/>
    </row>
    <row r="11026" spans="1:1">
      <c r="A11026" s="1"/>
    </row>
    <row r="11027" spans="1:1">
      <c r="A11027" s="1"/>
    </row>
    <row r="11028" spans="1:1">
      <c r="A11028" s="1"/>
    </row>
    <row r="11029" spans="1:1">
      <c r="A11029" s="1"/>
    </row>
    <row r="11030" spans="1:1">
      <c r="A11030" s="1"/>
    </row>
    <row r="11031" spans="1:1">
      <c r="A11031" s="1"/>
    </row>
    <row r="11032" spans="1:1">
      <c r="A11032" s="1"/>
    </row>
    <row r="11033" spans="1:1">
      <c r="A11033" s="1"/>
    </row>
    <row r="11034" spans="1:1">
      <c r="A11034" s="1"/>
    </row>
    <row r="11035" spans="1:1">
      <c r="A11035" s="1"/>
    </row>
    <row r="11036" spans="1:1">
      <c r="A11036" s="1"/>
    </row>
    <row r="11037" spans="1:1">
      <c r="A11037" s="1"/>
    </row>
    <row r="11038" spans="1:1">
      <c r="A11038" s="1"/>
    </row>
    <row r="11039" spans="1:1">
      <c r="A11039" s="1"/>
    </row>
    <row r="11040" spans="1:1">
      <c r="A11040" s="1"/>
    </row>
    <row r="11041" spans="1:1">
      <c r="A11041" s="1"/>
    </row>
    <row r="11042" spans="1:1">
      <c r="A11042" s="1"/>
    </row>
    <row r="11043" spans="1:1">
      <c r="A11043" s="1"/>
    </row>
    <row r="11044" spans="1:1">
      <c r="A11044" s="1"/>
    </row>
    <row r="11045" spans="1:1">
      <c r="A11045" s="1"/>
    </row>
    <row r="11046" spans="1:1">
      <c r="A11046" s="1"/>
    </row>
    <row r="11047" spans="1:1">
      <c r="A11047" s="1"/>
    </row>
    <row r="11048" spans="1:1">
      <c r="A11048" s="1"/>
    </row>
    <row r="11049" spans="1:1">
      <c r="A11049" s="1"/>
    </row>
    <row r="11050" spans="1:1">
      <c r="A11050" s="1"/>
    </row>
    <row r="11051" spans="1:1">
      <c r="A11051" s="1"/>
    </row>
    <row r="11052" spans="1:1">
      <c r="A11052" s="1"/>
    </row>
    <row r="11053" spans="1:1">
      <c r="A11053" s="1"/>
    </row>
    <row r="11054" spans="1:1">
      <c r="A11054" s="1"/>
    </row>
    <row r="11055" spans="1:1">
      <c r="A11055" s="1"/>
    </row>
    <row r="11056" spans="1:1">
      <c r="A11056" s="1"/>
    </row>
    <row r="11057" spans="1:1">
      <c r="A11057" s="1"/>
    </row>
    <row r="11058" spans="1:1">
      <c r="A11058" s="1"/>
    </row>
    <row r="11059" spans="1:1">
      <c r="A11059" s="1"/>
    </row>
    <row r="11060" spans="1:1">
      <c r="A11060" s="1"/>
    </row>
    <row r="11061" spans="1:1">
      <c r="A11061" s="1"/>
    </row>
    <row r="11062" spans="1:1">
      <c r="A11062" s="1"/>
    </row>
    <row r="11063" spans="1:1">
      <c r="A11063" s="1"/>
    </row>
    <row r="11064" spans="1:1">
      <c r="A11064" s="1"/>
    </row>
    <row r="11065" spans="1:1">
      <c r="A11065" s="1"/>
    </row>
    <row r="11066" spans="1:1">
      <c r="A11066" s="1"/>
    </row>
    <row r="11067" spans="1:1">
      <c r="A11067" s="1"/>
    </row>
    <row r="11068" spans="1:1">
      <c r="A11068" s="1"/>
    </row>
    <row r="11069" spans="1:1">
      <c r="A11069" s="1"/>
    </row>
    <row r="11070" spans="1:1">
      <c r="A11070" s="1"/>
    </row>
    <row r="11071" spans="1:1">
      <c r="A11071" s="1"/>
    </row>
    <row r="11072" spans="1:1">
      <c r="A11072" s="1"/>
    </row>
    <row r="11073" spans="1:1">
      <c r="A11073" s="1"/>
    </row>
    <row r="11074" spans="1:1">
      <c r="A11074" s="1"/>
    </row>
    <row r="11075" spans="1:1">
      <c r="A11075" s="1"/>
    </row>
    <row r="11076" spans="1:1">
      <c r="A11076" s="1"/>
    </row>
    <row r="11077" spans="1:1">
      <c r="A11077" s="1"/>
    </row>
    <row r="11078" spans="1:1">
      <c r="A11078" s="1"/>
    </row>
    <row r="11079" spans="1:1">
      <c r="A11079" s="1"/>
    </row>
    <row r="11080" spans="1:1">
      <c r="A11080" s="1"/>
    </row>
    <row r="11081" spans="1:1">
      <c r="A11081" s="1"/>
    </row>
    <row r="11082" spans="1:1">
      <c r="A11082" s="1"/>
    </row>
    <row r="11083" spans="1:1">
      <c r="A11083" s="1"/>
    </row>
    <row r="11084" spans="1:1">
      <c r="A11084" s="1"/>
    </row>
    <row r="11085" spans="1:1">
      <c r="A11085" s="1"/>
    </row>
    <row r="11086" spans="1:1">
      <c r="A11086" s="1"/>
    </row>
    <row r="11087" spans="1:1">
      <c r="A11087" s="1"/>
    </row>
    <row r="11088" spans="1:1">
      <c r="A11088" s="1"/>
    </row>
    <row r="11089" spans="1:1">
      <c r="A11089" s="1"/>
    </row>
    <row r="11090" spans="1:1">
      <c r="A11090" s="1"/>
    </row>
    <row r="11091" spans="1:1">
      <c r="A11091" s="1"/>
    </row>
    <row r="11092" spans="1:1">
      <c r="A11092" s="1"/>
    </row>
    <row r="11093" spans="1:1">
      <c r="A11093" s="1"/>
    </row>
    <row r="11094" spans="1:1">
      <c r="A11094" s="1"/>
    </row>
    <row r="11095" spans="1:1">
      <c r="A11095" s="1"/>
    </row>
    <row r="11096" spans="1:1">
      <c r="A11096" s="1"/>
    </row>
    <row r="11097" spans="1:1">
      <c r="A11097" s="1"/>
    </row>
    <row r="11098" spans="1:1">
      <c r="A11098" s="1"/>
    </row>
    <row r="11099" spans="1:1">
      <c r="A11099" s="1"/>
    </row>
    <row r="11100" spans="1:1">
      <c r="A11100" s="1"/>
    </row>
    <row r="11101" spans="1:1">
      <c r="A11101" s="1"/>
    </row>
    <row r="11102" spans="1:1">
      <c r="A11102" s="1"/>
    </row>
    <row r="11103" spans="1:1">
      <c r="A11103" s="1"/>
    </row>
    <row r="11104" spans="1:1">
      <c r="A11104" s="1"/>
    </row>
    <row r="11105" spans="1:1">
      <c r="A11105" s="1"/>
    </row>
    <row r="11106" spans="1:1">
      <c r="A11106" s="1"/>
    </row>
    <row r="11107" spans="1:1">
      <c r="A11107" s="1"/>
    </row>
    <row r="11108" spans="1:1">
      <c r="A11108" s="1"/>
    </row>
    <row r="11109" spans="1:1">
      <c r="A11109" s="1"/>
    </row>
    <row r="11110" spans="1:1">
      <c r="A11110" s="1"/>
    </row>
    <row r="11111" spans="1:1">
      <c r="A11111" s="1"/>
    </row>
    <row r="11112" spans="1:1">
      <c r="A11112" s="1"/>
    </row>
    <row r="11113" spans="1:1">
      <c r="A11113" s="1"/>
    </row>
    <row r="11114" spans="1:1">
      <c r="A11114" s="1"/>
    </row>
    <row r="11115" spans="1:1">
      <c r="A11115" s="1"/>
    </row>
    <row r="11116" spans="1:1">
      <c r="A11116" s="1"/>
    </row>
    <row r="11117" spans="1:1">
      <c r="A11117" s="1"/>
    </row>
    <row r="11118" spans="1:1">
      <c r="A11118" s="1"/>
    </row>
    <row r="11119" spans="1:1">
      <c r="A11119" s="1"/>
    </row>
    <row r="11120" spans="1:1">
      <c r="A11120" s="1"/>
    </row>
    <row r="11121" spans="1:1">
      <c r="A11121" s="1"/>
    </row>
    <row r="11122" spans="1:1">
      <c r="A11122" s="1"/>
    </row>
    <row r="11123" spans="1:1">
      <c r="A11123" s="1"/>
    </row>
    <row r="11124" spans="1:1">
      <c r="A11124" s="1"/>
    </row>
    <row r="11125" spans="1:1">
      <c r="A11125" s="1"/>
    </row>
    <row r="11126" spans="1:1">
      <c r="A11126" s="1"/>
    </row>
    <row r="11127" spans="1:1">
      <c r="A11127" s="1"/>
    </row>
    <row r="11128" spans="1:1">
      <c r="A11128" s="1"/>
    </row>
    <row r="11129" spans="1:1">
      <c r="A11129" s="1"/>
    </row>
    <row r="11130" spans="1:1">
      <c r="A11130" s="1"/>
    </row>
    <row r="11131" spans="1:1">
      <c r="A11131" s="1"/>
    </row>
    <row r="11132" spans="1:1">
      <c r="A11132" s="1"/>
    </row>
    <row r="11133" spans="1:1">
      <c r="A11133" s="1"/>
    </row>
    <row r="11134" spans="1:1">
      <c r="A11134" s="1"/>
    </row>
    <row r="11135" spans="1:1">
      <c r="A11135" s="1"/>
    </row>
    <row r="11136" spans="1:1">
      <c r="A11136" s="1"/>
    </row>
    <row r="11137" spans="1:1">
      <c r="A11137" s="1"/>
    </row>
    <row r="11138" spans="1:1">
      <c r="A11138" s="1"/>
    </row>
    <row r="11139" spans="1:1">
      <c r="A11139" s="1"/>
    </row>
    <row r="11140" spans="1:1">
      <c r="A11140" s="1"/>
    </row>
    <row r="11141" spans="1:1">
      <c r="A11141" s="1"/>
    </row>
    <row r="11142" spans="1:1">
      <c r="A11142" s="1"/>
    </row>
    <row r="11143" spans="1:1">
      <c r="A11143" s="1"/>
    </row>
    <row r="11144" spans="1:1">
      <c r="A11144" s="1"/>
    </row>
    <row r="11145" spans="1:1">
      <c r="A11145" s="1"/>
    </row>
    <row r="11146" spans="1:1">
      <c r="A11146" s="1"/>
    </row>
    <row r="11147" spans="1:1">
      <c r="A11147" s="1"/>
    </row>
    <row r="11148" spans="1:1">
      <c r="A11148" s="1"/>
    </row>
    <row r="11149" spans="1:1">
      <c r="A11149" s="1"/>
    </row>
    <row r="11150" spans="1:1">
      <c r="A11150" s="1"/>
    </row>
    <row r="11151" spans="1:1">
      <c r="A11151" s="1"/>
    </row>
    <row r="11152" spans="1:1">
      <c r="A11152" s="1"/>
    </row>
    <row r="11153" spans="1:1">
      <c r="A11153" s="1"/>
    </row>
    <row r="11154" spans="1:1">
      <c r="A11154" s="1"/>
    </row>
    <row r="11155" spans="1:1">
      <c r="A11155" s="1"/>
    </row>
    <row r="11156" spans="1:1">
      <c r="A11156" s="1"/>
    </row>
    <row r="11157" spans="1:1">
      <c r="A11157" s="1"/>
    </row>
    <row r="11158" spans="1:1">
      <c r="A11158" s="1"/>
    </row>
    <row r="11159" spans="1:1">
      <c r="A11159" s="1"/>
    </row>
    <row r="11160" spans="1:1">
      <c r="A11160" s="1"/>
    </row>
    <row r="11161" spans="1:1">
      <c r="A11161" s="1"/>
    </row>
    <row r="11162" spans="1:1">
      <c r="A11162" s="1"/>
    </row>
    <row r="11163" spans="1:1">
      <c r="A11163" s="1"/>
    </row>
    <row r="11164" spans="1:1">
      <c r="A11164" s="1"/>
    </row>
    <row r="11165" spans="1:1">
      <c r="A11165" s="1"/>
    </row>
    <row r="11166" spans="1:1">
      <c r="A11166" s="1"/>
    </row>
    <row r="11167" spans="1:1">
      <c r="A11167" s="1"/>
    </row>
    <row r="11168" spans="1:1">
      <c r="A11168" s="1"/>
    </row>
    <row r="11169" spans="1:1">
      <c r="A11169" s="1"/>
    </row>
    <row r="11170" spans="1:1">
      <c r="A11170" s="1"/>
    </row>
    <row r="11171" spans="1:1">
      <c r="A11171" s="1"/>
    </row>
    <row r="11172" spans="1:1">
      <c r="A11172" s="1"/>
    </row>
    <row r="11173" spans="1:1">
      <c r="A11173" s="1"/>
    </row>
    <row r="11174" spans="1:1">
      <c r="A11174" s="1"/>
    </row>
    <row r="11175" spans="1:1">
      <c r="A11175" s="1"/>
    </row>
    <row r="11176" spans="1:1">
      <c r="A11176" s="1"/>
    </row>
    <row r="11177" spans="1:1">
      <c r="A11177" s="1"/>
    </row>
    <row r="11178" spans="1:1">
      <c r="A11178" s="1"/>
    </row>
    <row r="11179" spans="1:1">
      <c r="A11179" s="1"/>
    </row>
    <row r="11180" spans="1:1">
      <c r="A11180" s="1"/>
    </row>
    <row r="11181" spans="1:1">
      <c r="A11181" s="1"/>
    </row>
    <row r="11182" spans="1:1">
      <c r="A11182" s="1"/>
    </row>
    <row r="11183" spans="1:1">
      <c r="A11183" s="1"/>
    </row>
    <row r="11184" spans="1:1">
      <c r="A11184" s="1"/>
    </row>
    <row r="11185" spans="1:1">
      <c r="A11185" s="1"/>
    </row>
    <row r="11186" spans="1:1">
      <c r="A11186" s="1"/>
    </row>
    <row r="11187" spans="1:1">
      <c r="A11187" s="1"/>
    </row>
    <row r="11188" spans="1:1">
      <c r="A11188" s="1"/>
    </row>
    <row r="11189" spans="1:1">
      <c r="A11189" s="1"/>
    </row>
    <row r="11190" spans="1:1">
      <c r="A11190" s="1"/>
    </row>
    <row r="11191" spans="1:1">
      <c r="A11191" s="1"/>
    </row>
    <row r="11192" spans="1:1">
      <c r="A11192" s="1"/>
    </row>
    <row r="11193" spans="1:1">
      <c r="A11193" s="1"/>
    </row>
    <row r="11194" spans="1:1">
      <c r="A11194" s="1"/>
    </row>
    <row r="11195" spans="1:1">
      <c r="A11195" s="1"/>
    </row>
    <row r="11196" spans="1:1">
      <c r="A11196" s="1"/>
    </row>
    <row r="11197" spans="1:1">
      <c r="A11197" s="1"/>
    </row>
    <row r="11198" spans="1:1">
      <c r="A11198" s="1"/>
    </row>
    <row r="11199" spans="1:1">
      <c r="A11199" s="1"/>
    </row>
    <row r="11200" spans="1:1">
      <c r="A11200" s="1"/>
    </row>
    <row r="11201" spans="1:1">
      <c r="A11201" s="1"/>
    </row>
    <row r="11202" spans="1:1">
      <c r="A11202" s="1"/>
    </row>
    <row r="11203" spans="1:1">
      <c r="A11203" s="1"/>
    </row>
    <row r="11204" spans="1:1">
      <c r="A11204" s="1"/>
    </row>
    <row r="11205" spans="1:1">
      <c r="A11205" s="1"/>
    </row>
    <row r="11206" spans="1:1">
      <c r="A11206" s="1"/>
    </row>
    <row r="11207" spans="1:1">
      <c r="A11207" s="1"/>
    </row>
    <row r="11208" spans="1:1">
      <c r="A11208" s="1"/>
    </row>
    <row r="11209" spans="1:1">
      <c r="A11209" s="1"/>
    </row>
    <row r="11210" spans="1:1">
      <c r="A11210" s="1"/>
    </row>
    <row r="11211" spans="1:1">
      <c r="A11211" s="1"/>
    </row>
    <row r="11212" spans="1:1">
      <c r="A11212" s="1"/>
    </row>
    <row r="11213" spans="1:1">
      <c r="A11213" s="1"/>
    </row>
    <row r="11214" spans="1:1">
      <c r="A11214" s="1"/>
    </row>
    <row r="11215" spans="1:1">
      <c r="A11215" s="1"/>
    </row>
    <row r="11216" spans="1:1">
      <c r="A11216" s="1"/>
    </row>
    <row r="11217" spans="1:1">
      <c r="A11217" s="1"/>
    </row>
    <row r="11218" spans="1:1">
      <c r="A11218" s="1"/>
    </row>
    <row r="11219" spans="1:1">
      <c r="A11219" s="1"/>
    </row>
    <row r="11220" spans="1:1">
      <c r="A11220" s="1"/>
    </row>
    <row r="11221" spans="1:1">
      <c r="A11221" s="1"/>
    </row>
    <row r="11222" spans="1:1">
      <c r="A11222" s="1"/>
    </row>
    <row r="11223" spans="1:1">
      <c r="A11223" s="1"/>
    </row>
    <row r="11224" spans="1:1">
      <c r="A11224" s="1"/>
    </row>
    <row r="11225" spans="1:1">
      <c r="A11225" s="1"/>
    </row>
    <row r="11226" spans="1:1">
      <c r="A11226" s="1"/>
    </row>
    <row r="11227" spans="1:1">
      <c r="A11227" s="1"/>
    </row>
    <row r="11228" spans="1:1">
      <c r="A11228" s="1"/>
    </row>
    <row r="11229" spans="1:1">
      <c r="A11229" s="1"/>
    </row>
    <row r="11230" spans="1:1">
      <c r="A11230" s="1"/>
    </row>
    <row r="11231" spans="1:1">
      <c r="A11231" s="1"/>
    </row>
    <row r="11232" spans="1:1">
      <c r="A11232" s="1"/>
    </row>
    <row r="11233" spans="1:1">
      <c r="A11233" s="1"/>
    </row>
    <row r="11234" spans="1:1">
      <c r="A11234" s="1"/>
    </row>
    <row r="11235" spans="1:1">
      <c r="A11235" s="1"/>
    </row>
    <row r="11236" spans="1:1">
      <c r="A11236" s="1"/>
    </row>
    <row r="11237" spans="1:1">
      <c r="A11237" s="1"/>
    </row>
    <row r="11238" spans="1:1">
      <c r="A11238" s="1"/>
    </row>
    <row r="11239" spans="1:1">
      <c r="A11239" s="1"/>
    </row>
    <row r="11240" spans="1:1">
      <c r="A11240" s="1"/>
    </row>
    <row r="11241" spans="1:1">
      <c r="A11241" s="1"/>
    </row>
    <row r="11242" spans="1:1">
      <c r="A11242" s="1"/>
    </row>
    <row r="11243" spans="1:1">
      <c r="A11243" s="1"/>
    </row>
    <row r="11244" spans="1:1">
      <c r="A11244" s="1"/>
    </row>
    <row r="11245" spans="1:1">
      <c r="A11245" s="1"/>
    </row>
    <row r="11246" spans="1:1">
      <c r="A11246" s="1"/>
    </row>
    <row r="11247" spans="1:1">
      <c r="A11247" s="1"/>
    </row>
    <row r="11248" spans="1:1">
      <c r="A11248" s="1"/>
    </row>
    <row r="11249" spans="1:1">
      <c r="A11249" s="1"/>
    </row>
    <row r="11250" spans="1:1">
      <c r="A11250" s="1"/>
    </row>
    <row r="11251" spans="1:1">
      <c r="A11251" s="1"/>
    </row>
    <row r="11252" spans="1:1">
      <c r="A11252" s="1"/>
    </row>
    <row r="11253" spans="1:1">
      <c r="A11253" s="1"/>
    </row>
    <row r="11254" spans="1:1">
      <c r="A11254" s="1"/>
    </row>
    <row r="11255" spans="1:1">
      <c r="A11255" s="1"/>
    </row>
    <row r="11256" spans="1:1">
      <c r="A11256" s="1"/>
    </row>
    <row r="11257" spans="1:1">
      <c r="A11257" s="1"/>
    </row>
    <row r="11258" spans="1:1">
      <c r="A11258" s="1"/>
    </row>
    <row r="11259" spans="1:1">
      <c r="A11259" s="1"/>
    </row>
    <row r="11260" spans="1:1">
      <c r="A11260" s="1"/>
    </row>
    <row r="11261" spans="1:1">
      <c r="A11261" s="1"/>
    </row>
    <row r="11262" spans="1:1">
      <c r="A11262" s="1"/>
    </row>
    <row r="11263" spans="1:1">
      <c r="A11263" s="1"/>
    </row>
    <row r="11264" spans="1:1">
      <c r="A11264" s="1"/>
    </row>
    <row r="11265" spans="1:1">
      <c r="A11265" s="1"/>
    </row>
    <row r="11266" spans="1:1">
      <c r="A11266" s="1"/>
    </row>
    <row r="11267" spans="1:1">
      <c r="A11267" s="1"/>
    </row>
    <row r="11268" spans="1:1">
      <c r="A11268" s="1"/>
    </row>
    <row r="11269" spans="1:1">
      <c r="A11269" s="1"/>
    </row>
    <row r="11270" spans="1:1">
      <c r="A11270" s="1"/>
    </row>
    <row r="11271" spans="1:1">
      <c r="A11271" s="1"/>
    </row>
    <row r="11272" spans="1:1">
      <c r="A11272" s="1"/>
    </row>
    <row r="11273" spans="1:1">
      <c r="A11273" s="1"/>
    </row>
    <row r="11274" spans="1:1">
      <c r="A11274" s="1"/>
    </row>
    <row r="11275" spans="1:1">
      <c r="A11275" s="1"/>
    </row>
    <row r="11276" spans="1:1">
      <c r="A11276" s="1"/>
    </row>
    <row r="11277" spans="1:1">
      <c r="A11277" s="1"/>
    </row>
    <row r="11278" spans="1:1">
      <c r="A11278" s="1"/>
    </row>
    <row r="11279" spans="1:1">
      <c r="A11279" s="1"/>
    </row>
    <row r="11280" spans="1:1">
      <c r="A11280" s="1"/>
    </row>
    <row r="11281" spans="1:1">
      <c r="A11281" s="1"/>
    </row>
    <row r="11282" spans="1:1">
      <c r="A11282" s="1"/>
    </row>
    <row r="11283" spans="1:1">
      <c r="A11283" s="1"/>
    </row>
    <row r="11284" spans="1:1">
      <c r="A11284" s="1"/>
    </row>
    <row r="11285" spans="1:1">
      <c r="A11285" s="1"/>
    </row>
    <row r="11286" spans="1:1">
      <c r="A11286" s="1"/>
    </row>
    <row r="11287" spans="1:1">
      <c r="A11287" s="1"/>
    </row>
    <row r="11288" spans="1:1">
      <c r="A11288" s="1"/>
    </row>
    <row r="11289" spans="1:1">
      <c r="A11289" s="1"/>
    </row>
    <row r="11290" spans="1:1">
      <c r="A11290" s="1"/>
    </row>
    <row r="11291" spans="1:1">
      <c r="A11291" s="1"/>
    </row>
    <row r="11292" spans="1:1">
      <c r="A11292" s="1"/>
    </row>
    <row r="11293" spans="1:1">
      <c r="A11293" s="1"/>
    </row>
    <row r="11294" spans="1:1">
      <c r="A11294" s="1"/>
    </row>
    <row r="11295" spans="1:1">
      <c r="A11295" s="1"/>
    </row>
    <row r="11296" spans="1:1">
      <c r="A11296" s="1"/>
    </row>
    <row r="11297" spans="1:1">
      <c r="A11297" s="1"/>
    </row>
    <row r="11298" spans="1:1">
      <c r="A11298" s="1"/>
    </row>
    <row r="11299" spans="1:1">
      <c r="A11299" s="1"/>
    </row>
    <row r="11300" spans="1:1">
      <c r="A11300" s="1"/>
    </row>
    <row r="11301" spans="1:1">
      <c r="A11301" s="1"/>
    </row>
    <row r="11302" spans="1:1">
      <c r="A11302" s="1"/>
    </row>
    <row r="11303" spans="1:1">
      <c r="A11303" s="1"/>
    </row>
    <row r="11304" spans="1:1">
      <c r="A11304" s="1"/>
    </row>
    <row r="11305" spans="1:1">
      <c r="A11305" s="1"/>
    </row>
    <row r="11306" spans="1:1">
      <c r="A11306" s="1"/>
    </row>
    <row r="11307" spans="1:1">
      <c r="A11307" s="1"/>
    </row>
    <row r="11308" spans="1:1">
      <c r="A11308" s="1"/>
    </row>
    <row r="11309" spans="1:1">
      <c r="A11309" s="1"/>
    </row>
    <row r="11310" spans="1:1">
      <c r="A11310" s="1"/>
    </row>
    <row r="11311" spans="1:1">
      <c r="A11311" s="1"/>
    </row>
    <row r="11312" spans="1:1">
      <c r="A11312" s="1"/>
    </row>
    <row r="11313" spans="1:1">
      <c r="A11313" s="1"/>
    </row>
    <row r="11314" spans="1:1">
      <c r="A11314" s="1"/>
    </row>
    <row r="11315" spans="1:1">
      <c r="A11315" s="1"/>
    </row>
    <row r="11316" spans="1:1">
      <c r="A11316" s="1"/>
    </row>
    <row r="11317" spans="1:1">
      <c r="A11317" s="1"/>
    </row>
    <row r="11318" spans="1:1">
      <c r="A11318" s="1"/>
    </row>
    <row r="11319" spans="1:1">
      <c r="A11319" s="1"/>
    </row>
    <row r="11320" spans="1:1">
      <c r="A11320" s="1"/>
    </row>
    <row r="11321" spans="1:1">
      <c r="A11321" s="1"/>
    </row>
    <row r="11322" spans="1:1">
      <c r="A11322" s="1"/>
    </row>
    <row r="11323" spans="1:1">
      <c r="A11323" s="1"/>
    </row>
    <row r="11324" spans="1:1">
      <c r="A11324" s="1"/>
    </row>
    <row r="11325" spans="1:1">
      <c r="A11325" s="1"/>
    </row>
    <row r="11326" spans="1:1">
      <c r="A11326" s="1"/>
    </row>
    <row r="11327" spans="1:1">
      <c r="A11327" s="1"/>
    </row>
    <row r="11328" spans="1:1">
      <c r="A11328" s="1"/>
    </row>
    <row r="11329" spans="1:1">
      <c r="A11329" s="1"/>
    </row>
    <row r="11330" spans="1:1">
      <c r="A11330" s="1"/>
    </row>
    <row r="11331" spans="1:1">
      <c r="A11331" s="1"/>
    </row>
    <row r="11332" spans="1:1">
      <c r="A11332" s="1"/>
    </row>
    <row r="11333" spans="1:1">
      <c r="A11333" s="1"/>
    </row>
    <row r="11334" spans="1:1">
      <c r="A11334" s="1"/>
    </row>
    <row r="11335" spans="1:1">
      <c r="A11335" s="1"/>
    </row>
    <row r="11336" spans="1:1">
      <c r="A11336" s="1"/>
    </row>
    <row r="11337" spans="1:1">
      <c r="A11337" s="1"/>
    </row>
    <row r="11338" spans="1:1">
      <c r="A11338" s="1"/>
    </row>
    <row r="11339" spans="1:1">
      <c r="A11339" s="1"/>
    </row>
    <row r="11340" spans="1:1">
      <c r="A11340" s="1"/>
    </row>
    <row r="11341" spans="1:1">
      <c r="A11341" s="1"/>
    </row>
    <row r="11342" spans="1:1">
      <c r="A11342" s="1"/>
    </row>
    <row r="11343" spans="1:1">
      <c r="A11343" s="1"/>
    </row>
    <row r="11344" spans="1:1">
      <c r="A11344" s="1"/>
    </row>
    <row r="11345" spans="1:1">
      <c r="A11345" s="1"/>
    </row>
    <row r="11346" spans="1:1">
      <c r="A11346" s="1"/>
    </row>
    <row r="11347" spans="1:1">
      <c r="A11347" s="1"/>
    </row>
    <row r="11348" spans="1:1">
      <c r="A11348" s="1"/>
    </row>
    <row r="11349" spans="1:1">
      <c r="A11349" s="1"/>
    </row>
    <row r="11350" spans="1:1">
      <c r="A11350" s="1"/>
    </row>
    <row r="11351" spans="1:1">
      <c r="A11351" s="1"/>
    </row>
    <row r="11352" spans="1:1">
      <c r="A11352" s="1"/>
    </row>
    <row r="11353" spans="1:1">
      <c r="A11353" s="1"/>
    </row>
    <row r="11354" spans="1:1">
      <c r="A11354" s="1"/>
    </row>
    <row r="11355" spans="1:1">
      <c r="A11355" s="1"/>
    </row>
    <row r="11356" spans="1:1">
      <c r="A11356" s="1"/>
    </row>
    <row r="11357" spans="1:1">
      <c r="A11357" s="1"/>
    </row>
    <row r="11358" spans="1:1">
      <c r="A11358" s="1"/>
    </row>
    <row r="11359" spans="1:1">
      <c r="A11359" s="1"/>
    </row>
    <row r="11360" spans="1:1">
      <c r="A11360" s="1"/>
    </row>
    <row r="11361" spans="1:1">
      <c r="A11361" s="1"/>
    </row>
    <row r="11362" spans="1:1">
      <c r="A11362" s="1"/>
    </row>
    <row r="11363" spans="1:1">
      <c r="A11363" s="1"/>
    </row>
    <row r="11364" spans="1:1">
      <c r="A11364" s="1"/>
    </row>
    <row r="11365" spans="1:1">
      <c r="A11365" s="1"/>
    </row>
    <row r="11366" spans="1:1">
      <c r="A11366" s="1"/>
    </row>
    <row r="11367" spans="1:1">
      <c r="A11367" s="1"/>
    </row>
    <row r="11368" spans="1:1">
      <c r="A11368" s="1"/>
    </row>
    <row r="11369" spans="1:1">
      <c r="A11369" s="1"/>
    </row>
    <row r="11370" spans="1:1">
      <c r="A11370" s="1"/>
    </row>
    <row r="11371" spans="1:1">
      <c r="A11371" s="1"/>
    </row>
    <row r="11372" spans="1:1">
      <c r="A11372" s="1"/>
    </row>
    <row r="11373" spans="1:1">
      <c r="A11373" s="1"/>
    </row>
    <row r="11374" spans="1:1">
      <c r="A11374" s="1"/>
    </row>
    <row r="11375" spans="1:1">
      <c r="A11375" s="1"/>
    </row>
    <row r="11376" spans="1:1">
      <c r="A11376" s="1"/>
    </row>
    <row r="11377" spans="1:1">
      <c r="A11377" s="1"/>
    </row>
    <row r="11378" spans="1:1">
      <c r="A11378" s="1"/>
    </row>
    <row r="11379" spans="1:1">
      <c r="A11379" s="1"/>
    </row>
    <row r="11380" spans="1:1">
      <c r="A11380" s="1"/>
    </row>
    <row r="11381" spans="1:1">
      <c r="A11381" s="1"/>
    </row>
    <row r="11382" spans="1:1">
      <c r="A11382" s="1"/>
    </row>
    <row r="11383" spans="1:1">
      <c r="A11383" s="1"/>
    </row>
    <row r="11384" spans="1:1">
      <c r="A11384" s="1"/>
    </row>
    <row r="11385" spans="1:1">
      <c r="A11385" s="1"/>
    </row>
    <row r="11386" spans="1:1">
      <c r="A11386" s="1"/>
    </row>
    <row r="11387" spans="1:1">
      <c r="A11387" s="1"/>
    </row>
    <row r="11388" spans="1:1">
      <c r="A11388" s="1"/>
    </row>
    <row r="11389" spans="1:1">
      <c r="A11389" s="1"/>
    </row>
    <row r="11390" spans="1:1">
      <c r="A11390" s="1"/>
    </row>
    <row r="11391" spans="1:1">
      <c r="A11391" s="1"/>
    </row>
    <row r="11392" spans="1:1">
      <c r="A11392" s="1"/>
    </row>
    <row r="11393" spans="1:1">
      <c r="A11393" s="1"/>
    </row>
    <row r="11394" spans="1:1">
      <c r="A11394" s="1"/>
    </row>
    <row r="11395" spans="1:1">
      <c r="A11395" s="1"/>
    </row>
    <row r="11396" spans="1:1">
      <c r="A11396" s="1"/>
    </row>
    <row r="11397" spans="1:1">
      <c r="A11397" s="1"/>
    </row>
    <row r="11398" spans="1:1">
      <c r="A11398" s="1"/>
    </row>
    <row r="11399" spans="1:1">
      <c r="A11399" s="1"/>
    </row>
    <row r="11400" spans="1:1">
      <c r="A11400" s="1"/>
    </row>
    <row r="11401" spans="1:1">
      <c r="A11401" s="1"/>
    </row>
    <row r="11402" spans="1:1">
      <c r="A11402" s="1"/>
    </row>
    <row r="11403" spans="1:1">
      <c r="A11403" s="1"/>
    </row>
    <row r="11404" spans="1:1">
      <c r="A11404" s="1"/>
    </row>
    <row r="11405" spans="1:1">
      <c r="A11405" s="1"/>
    </row>
    <row r="11406" spans="1:1">
      <c r="A11406" s="1"/>
    </row>
    <row r="11407" spans="1:1">
      <c r="A11407" s="1"/>
    </row>
    <row r="11408" spans="1:1">
      <c r="A11408" s="1"/>
    </row>
    <row r="11409" spans="1:1">
      <c r="A11409" s="1"/>
    </row>
    <row r="11410" spans="1:1">
      <c r="A11410" s="1"/>
    </row>
    <row r="11411" spans="1:1">
      <c r="A11411" s="1"/>
    </row>
    <row r="11412" spans="1:1">
      <c r="A11412" s="1"/>
    </row>
    <row r="11413" spans="1:1">
      <c r="A11413" s="1"/>
    </row>
    <row r="11414" spans="1:1">
      <c r="A11414" s="1"/>
    </row>
    <row r="11415" spans="1:1">
      <c r="A11415" s="1"/>
    </row>
    <row r="11416" spans="1:1">
      <c r="A11416" s="1"/>
    </row>
    <row r="11417" spans="1:1">
      <c r="A11417" s="1"/>
    </row>
    <row r="11418" spans="1:1">
      <c r="A11418" s="1"/>
    </row>
    <row r="11419" spans="1:1">
      <c r="A11419" s="1"/>
    </row>
    <row r="11420" spans="1:1">
      <c r="A11420" s="1"/>
    </row>
    <row r="11421" spans="1:1">
      <c r="A11421" s="1"/>
    </row>
    <row r="11422" spans="1:1">
      <c r="A11422" s="1"/>
    </row>
    <row r="11423" spans="1:1">
      <c r="A11423" s="1"/>
    </row>
    <row r="11424" spans="1:1">
      <c r="A11424" s="1"/>
    </row>
    <row r="11425" spans="1:1">
      <c r="A11425" s="1"/>
    </row>
    <row r="11426" spans="1:1">
      <c r="A11426" s="1"/>
    </row>
    <row r="11427" spans="1:1">
      <c r="A11427" s="1"/>
    </row>
    <row r="11428" spans="1:1">
      <c r="A11428" s="1"/>
    </row>
    <row r="11429" spans="1:1">
      <c r="A11429" s="1"/>
    </row>
    <row r="11430" spans="1:1">
      <c r="A11430" s="1"/>
    </row>
    <row r="11431" spans="1:1">
      <c r="A11431" s="1"/>
    </row>
    <row r="11432" spans="1:1">
      <c r="A11432" s="1"/>
    </row>
    <row r="11433" spans="1:1">
      <c r="A11433" s="1"/>
    </row>
    <row r="11434" spans="1:1">
      <c r="A11434" s="1"/>
    </row>
    <row r="11435" spans="1:1">
      <c r="A11435" s="1"/>
    </row>
    <row r="11436" spans="1:1">
      <c r="A11436" s="1"/>
    </row>
    <row r="11437" spans="1:1">
      <c r="A11437" s="1"/>
    </row>
    <row r="11438" spans="1:1">
      <c r="A11438" s="1"/>
    </row>
    <row r="11439" spans="1:1">
      <c r="A11439" s="1"/>
    </row>
    <row r="11440" spans="1:1">
      <c r="A11440" s="1"/>
    </row>
    <row r="11441" spans="1:1">
      <c r="A11441" s="1"/>
    </row>
    <row r="11442" spans="1:1">
      <c r="A11442" s="1"/>
    </row>
    <row r="11443" spans="1:1">
      <c r="A11443" s="1"/>
    </row>
    <row r="11444" spans="1:1">
      <c r="A11444" s="1"/>
    </row>
    <row r="11445" spans="1:1">
      <c r="A11445" s="1"/>
    </row>
    <row r="11446" spans="1:1">
      <c r="A11446" s="1"/>
    </row>
    <row r="11447" spans="1:1">
      <c r="A11447" s="1"/>
    </row>
    <row r="11448" spans="1:1">
      <c r="A11448" s="1"/>
    </row>
    <row r="11449" spans="1:1">
      <c r="A11449" s="1"/>
    </row>
    <row r="11450" spans="1:1">
      <c r="A11450" s="1"/>
    </row>
    <row r="11451" spans="1:1">
      <c r="A11451" s="1"/>
    </row>
    <row r="11452" spans="1:1">
      <c r="A11452" s="1"/>
    </row>
    <row r="11453" spans="1:1">
      <c r="A11453" s="1"/>
    </row>
    <row r="11454" spans="1:1">
      <c r="A11454" s="1"/>
    </row>
    <row r="11455" spans="1:1">
      <c r="A11455" s="1"/>
    </row>
    <row r="11456" spans="1:1">
      <c r="A11456" s="1"/>
    </row>
    <row r="11457" spans="1:1">
      <c r="A11457" s="1"/>
    </row>
    <row r="11458" spans="1:1">
      <c r="A11458" s="1"/>
    </row>
    <row r="11459" spans="1:1">
      <c r="A11459" s="1"/>
    </row>
    <row r="11460" spans="1:1">
      <c r="A11460" s="1"/>
    </row>
    <row r="11461" spans="1:1">
      <c r="A11461" s="1"/>
    </row>
    <row r="11462" spans="1:1">
      <c r="A11462" s="1"/>
    </row>
    <row r="11463" spans="1:1">
      <c r="A11463" s="1"/>
    </row>
    <row r="11464" spans="1:1">
      <c r="A11464" s="1"/>
    </row>
    <row r="11465" spans="1:1">
      <c r="A11465" s="1"/>
    </row>
    <row r="11466" spans="1:1">
      <c r="A11466" s="1"/>
    </row>
    <row r="11467" spans="1:1">
      <c r="A11467" s="1"/>
    </row>
    <row r="11468" spans="1:1">
      <c r="A11468" s="1"/>
    </row>
    <row r="11469" spans="1:1">
      <c r="A11469" s="1"/>
    </row>
    <row r="11470" spans="1:1">
      <c r="A11470" s="1"/>
    </row>
    <row r="11471" spans="1:1">
      <c r="A11471" s="1"/>
    </row>
    <row r="11472" spans="1:1">
      <c r="A11472" s="1"/>
    </row>
    <row r="11473" spans="1:1">
      <c r="A11473" s="1"/>
    </row>
    <row r="11474" spans="1:1">
      <c r="A11474" s="1"/>
    </row>
    <row r="11475" spans="1:1">
      <c r="A11475" s="1"/>
    </row>
    <row r="11476" spans="1:1">
      <c r="A11476" s="1"/>
    </row>
    <row r="11477" spans="1:1">
      <c r="A11477" s="1"/>
    </row>
    <row r="11478" spans="1:1">
      <c r="A11478" s="1"/>
    </row>
    <row r="11479" spans="1:1">
      <c r="A11479" s="1"/>
    </row>
    <row r="11480" spans="1:1">
      <c r="A11480" s="1"/>
    </row>
    <row r="11481" spans="1:1">
      <c r="A11481" s="1"/>
    </row>
    <row r="11482" spans="1:1">
      <c r="A11482" s="1"/>
    </row>
    <row r="11483" spans="1:1">
      <c r="A11483" s="1"/>
    </row>
    <row r="11484" spans="1:1">
      <c r="A11484" s="1"/>
    </row>
    <row r="11485" spans="1:1">
      <c r="A11485" s="1"/>
    </row>
    <row r="11486" spans="1:1">
      <c r="A11486" s="1"/>
    </row>
    <row r="11487" spans="1:1">
      <c r="A11487" s="1"/>
    </row>
    <row r="11488" spans="1:1">
      <c r="A11488" s="1"/>
    </row>
    <row r="11489" spans="1:1">
      <c r="A11489" s="1"/>
    </row>
    <row r="11490" spans="1:1">
      <c r="A11490" s="1"/>
    </row>
    <row r="11491" spans="1:1">
      <c r="A11491" s="1"/>
    </row>
    <row r="11492" spans="1:1">
      <c r="A11492" s="1"/>
    </row>
    <row r="11493" spans="1:1">
      <c r="A11493" s="1"/>
    </row>
    <row r="11494" spans="1:1">
      <c r="A11494" s="1"/>
    </row>
    <row r="11495" spans="1:1">
      <c r="A11495" s="1"/>
    </row>
    <row r="11496" spans="1:1">
      <c r="A11496" s="1"/>
    </row>
    <row r="11497" spans="1:1">
      <c r="A11497" s="1"/>
    </row>
    <row r="11498" spans="1:1">
      <c r="A11498" s="1"/>
    </row>
    <row r="11499" spans="1:1">
      <c r="A11499" s="1"/>
    </row>
    <row r="11500" spans="1:1">
      <c r="A11500" s="1"/>
    </row>
    <row r="11501" spans="1:1">
      <c r="A11501" s="1"/>
    </row>
    <row r="11502" spans="1:1">
      <c r="A11502" s="1"/>
    </row>
    <row r="11503" spans="1:1">
      <c r="A11503" s="1"/>
    </row>
    <row r="11504" spans="1:1">
      <c r="A11504" s="1"/>
    </row>
    <row r="11505" spans="1:1">
      <c r="A11505" s="1"/>
    </row>
    <row r="11506" spans="1:1">
      <c r="A11506" s="1"/>
    </row>
    <row r="11507" spans="1:1">
      <c r="A11507" s="1"/>
    </row>
    <row r="11508" spans="1:1">
      <c r="A11508" s="1"/>
    </row>
    <row r="11509" spans="1:1">
      <c r="A11509" s="1"/>
    </row>
    <row r="11510" spans="1:1">
      <c r="A11510" s="1"/>
    </row>
    <row r="11511" spans="1:1">
      <c r="A11511" s="1"/>
    </row>
    <row r="11512" spans="1:1">
      <c r="A11512" s="1"/>
    </row>
    <row r="11513" spans="1:1">
      <c r="A11513" s="1"/>
    </row>
    <row r="11514" spans="1:1">
      <c r="A11514" s="1"/>
    </row>
    <row r="11515" spans="1:1">
      <c r="A11515" s="1"/>
    </row>
    <row r="11516" spans="1:1">
      <c r="A11516" s="1"/>
    </row>
    <row r="11517" spans="1:1">
      <c r="A11517" s="1"/>
    </row>
    <row r="11518" spans="1:1">
      <c r="A11518" s="1"/>
    </row>
    <row r="11519" spans="1:1">
      <c r="A11519" s="1"/>
    </row>
    <row r="11520" spans="1:1">
      <c r="A11520" s="1"/>
    </row>
    <row r="11521" spans="1:1">
      <c r="A11521" s="1"/>
    </row>
    <row r="11522" spans="1:1">
      <c r="A11522" s="1"/>
    </row>
    <row r="11523" spans="1:1">
      <c r="A11523" s="1"/>
    </row>
    <row r="11524" spans="1:1">
      <c r="A11524" s="1"/>
    </row>
    <row r="11525" spans="1:1">
      <c r="A11525" s="1"/>
    </row>
    <row r="11526" spans="1:1">
      <c r="A11526" s="1"/>
    </row>
    <row r="11527" spans="1:1">
      <c r="A11527" s="1"/>
    </row>
    <row r="11528" spans="1:1">
      <c r="A11528" s="1"/>
    </row>
    <row r="11529" spans="1:1">
      <c r="A11529" s="1"/>
    </row>
    <row r="11530" spans="1:1">
      <c r="A11530" s="1"/>
    </row>
    <row r="11531" spans="1:1">
      <c r="A11531" s="1"/>
    </row>
    <row r="11532" spans="1:1">
      <c r="A11532" s="1"/>
    </row>
    <row r="11533" spans="1:1">
      <c r="A11533" s="1"/>
    </row>
    <row r="11534" spans="1:1">
      <c r="A11534" s="1"/>
    </row>
    <row r="11535" spans="1:1">
      <c r="A11535" s="1"/>
    </row>
    <row r="11536" spans="1:1">
      <c r="A11536" s="1"/>
    </row>
    <row r="11537" spans="1:1">
      <c r="A11537" s="1"/>
    </row>
    <row r="11538" spans="1:1">
      <c r="A11538" s="1"/>
    </row>
    <row r="11539" spans="1:1">
      <c r="A11539" s="1"/>
    </row>
    <row r="11540" spans="1:1">
      <c r="A11540" s="1"/>
    </row>
    <row r="11541" spans="1:1">
      <c r="A11541" s="1"/>
    </row>
    <row r="11542" spans="1:1">
      <c r="A11542" s="1"/>
    </row>
    <row r="11543" spans="1:1">
      <c r="A11543" s="1"/>
    </row>
    <row r="11544" spans="1:1">
      <c r="A11544" s="1"/>
    </row>
    <row r="11545" spans="1:1">
      <c r="A11545" s="1"/>
    </row>
    <row r="11546" spans="1:1">
      <c r="A11546" s="1"/>
    </row>
    <row r="11547" spans="1:1">
      <c r="A11547" s="1"/>
    </row>
    <row r="11548" spans="1:1">
      <c r="A11548" s="1"/>
    </row>
    <row r="11549" spans="1:1">
      <c r="A11549" s="1"/>
    </row>
    <row r="11550" spans="1:1">
      <c r="A11550" s="1"/>
    </row>
    <row r="11551" spans="1:1">
      <c r="A11551" s="1"/>
    </row>
    <row r="11552" spans="1:1">
      <c r="A11552" s="1"/>
    </row>
    <row r="11553" spans="1:1">
      <c r="A11553" s="1"/>
    </row>
    <row r="11554" spans="1:1">
      <c r="A11554" s="1"/>
    </row>
    <row r="11555" spans="1:1">
      <c r="A11555" s="1"/>
    </row>
    <row r="11556" spans="1:1">
      <c r="A11556" s="1"/>
    </row>
    <row r="11557" spans="1:1">
      <c r="A11557" s="1"/>
    </row>
    <row r="11558" spans="1:1">
      <c r="A11558" s="1"/>
    </row>
    <row r="11559" spans="1:1">
      <c r="A11559" s="1"/>
    </row>
    <row r="11560" spans="1:1">
      <c r="A11560" s="1"/>
    </row>
    <row r="11561" spans="1:1">
      <c r="A11561" s="1"/>
    </row>
    <row r="11562" spans="1:1">
      <c r="A11562" s="1"/>
    </row>
    <row r="11563" spans="1:1">
      <c r="A11563" s="1"/>
    </row>
    <row r="11564" spans="1:1">
      <c r="A11564" s="1"/>
    </row>
    <row r="11565" spans="1:1">
      <c r="A11565" s="1"/>
    </row>
    <row r="11566" spans="1:1">
      <c r="A11566" s="1"/>
    </row>
    <row r="11567" spans="1:1">
      <c r="A11567" s="1"/>
    </row>
    <row r="11568" spans="1:1">
      <c r="A11568" s="1"/>
    </row>
    <row r="11569" spans="1:1">
      <c r="A11569" s="1"/>
    </row>
    <row r="11570" spans="1:1">
      <c r="A11570" s="1"/>
    </row>
    <row r="11571" spans="1:1">
      <c r="A11571" s="1"/>
    </row>
    <row r="11572" spans="1:1">
      <c r="A11572" s="1"/>
    </row>
    <row r="11573" spans="1:1">
      <c r="A11573" s="1"/>
    </row>
    <row r="11574" spans="1:1">
      <c r="A11574" s="1"/>
    </row>
    <row r="11575" spans="1:1">
      <c r="A11575" s="1"/>
    </row>
    <row r="11576" spans="1:1">
      <c r="A11576" s="1"/>
    </row>
    <row r="11577" spans="1:1">
      <c r="A11577" s="1"/>
    </row>
    <row r="11578" spans="1:1">
      <c r="A11578" s="1"/>
    </row>
    <row r="11579" spans="1:1">
      <c r="A11579" s="1"/>
    </row>
    <row r="11580" spans="1:1">
      <c r="A11580" s="1"/>
    </row>
    <row r="11581" spans="1:1">
      <c r="A11581" s="1"/>
    </row>
    <row r="11582" spans="1:1">
      <c r="A11582" s="1"/>
    </row>
    <row r="11583" spans="1:1">
      <c r="A11583" s="1"/>
    </row>
    <row r="11584" spans="1:1">
      <c r="A11584" s="1"/>
    </row>
    <row r="11585" spans="1:1">
      <c r="A11585" s="1"/>
    </row>
    <row r="11586" spans="1:1">
      <c r="A11586" s="1"/>
    </row>
    <row r="11587" spans="1:1">
      <c r="A11587" s="1"/>
    </row>
    <row r="11588" spans="1:1">
      <c r="A11588" s="1"/>
    </row>
    <row r="11589" spans="1:1">
      <c r="A11589" s="1"/>
    </row>
    <row r="11590" spans="1:1">
      <c r="A11590" s="1"/>
    </row>
    <row r="11591" spans="1:1">
      <c r="A11591" s="1"/>
    </row>
    <row r="11592" spans="1:1">
      <c r="A11592" s="1"/>
    </row>
    <row r="11593" spans="1:1">
      <c r="A11593" s="1"/>
    </row>
    <row r="11594" spans="1:1">
      <c r="A11594" s="1"/>
    </row>
    <row r="11595" spans="1:1">
      <c r="A11595" s="1"/>
    </row>
    <row r="11596" spans="1:1">
      <c r="A11596" s="1"/>
    </row>
    <row r="11597" spans="1:1">
      <c r="A11597" s="1"/>
    </row>
    <row r="11598" spans="1:1">
      <c r="A11598" s="1"/>
    </row>
    <row r="11599" spans="1:1">
      <c r="A11599" s="1"/>
    </row>
    <row r="11600" spans="1:1">
      <c r="A11600" s="1"/>
    </row>
    <row r="11601" spans="1:1">
      <c r="A11601" s="1"/>
    </row>
    <row r="11602" spans="1:1">
      <c r="A11602" s="1"/>
    </row>
    <row r="11603" spans="1:1">
      <c r="A11603" s="1"/>
    </row>
    <row r="11604" spans="1:1">
      <c r="A11604" s="1"/>
    </row>
    <row r="11605" spans="1:1">
      <c r="A11605" s="1"/>
    </row>
    <row r="11606" spans="1:1">
      <c r="A11606" s="1"/>
    </row>
    <row r="11607" spans="1:1">
      <c r="A11607" s="1"/>
    </row>
    <row r="11608" spans="1:1">
      <c r="A11608" s="1"/>
    </row>
    <row r="11609" spans="1:1">
      <c r="A11609" s="1"/>
    </row>
    <row r="11610" spans="1:1">
      <c r="A11610" s="1"/>
    </row>
    <row r="11611" spans="1:1">
      <c r="A11611" s="1"/>
    </row>
    <row r="11612" spans="1:1">
      <c r="A11612" s="1"/>
    </row>
    <row r="11613" spans="1:1">
      <c r="A11613" s="1"/>
    </row>
    <row r="11614" spans="1:1">
      <c r="A11614" s="1"/>
    </row>
    <row r="11615" spans="1:1">
      <c r="A11615" s="1"/>
    </row>
    <row r="11616" spans="1:1">
      <c r="A11616" s="1"/>
    </row>
    <row r="11617" spans="1:1">
      <c r="A11617" s="1"/>
    </row>
    <row r="11618" spans="1:1">
      <c r="A11618" s="1"/>
    </row>
    <row r="11619" spans="1:1">
      <c r="A11619" s="1"/>
    </row>
    <row r="11620" spans="1:1">
      <c r="A11620" s="1"/>
    </row>
    <row r="11621" spans="1:1">
      <c r="A11621" s="1"/>
    </row>
    <row r="11622" spans="1:1">
      <c r="A11622" s="1"/>
    </row>
    <row r="11623" spans="1:1">
      <c r="A11623" s="1"/>
    </row>
    <row r="11624" spans="1:1">
      <c r="A11624" s="1"/>
    </row>
    <row r="11625" spans="1:1">
      <c r="A11625" s="1"/>
    </row>
    <row r="11626" spans="1:1">
      <c r="A11626" s="1"/>
    </row>
    <row r="11627" spans="1:1">
      <c r="A11627" s="1"/>
    </row>
    <row r="11628" spans="1:1">
      <c r="A11628" s="1"/>
    </row>
    <row r="11629" spans="1:1">
      <c r="A11629" s="1"/>
    </row>
    <row r="11630" spans="1:1">
      <c r="A11630" s="1"/>
    </row>
    <row r="11631" spans="1:1">
      <c r="A11631" s="1"/>
    </row>
    <row r="11632" spans="1:1">
      <c r="A11632" s="1"/>
    </row>
    <row r="11633" spans="1:1">
      <c r="A11633" s="1"/>
    </row>
    <row r="11634" spans="1:1">
      <c r="A11634" s="1"/>
    </row>
    <row r="11635" spans="1:1">
      <c r="A11635" s="1"/>
    </row>
    <row r="11636" spans="1:1">
      <c r="A11636" s="1"/>
    </row>
    <row r="11637" spans="1:1">
      <c r="A11637" s="1"/>
    </row>
    <row r="11638" spans="1:1">
      <c r="A11638" s="1"/>
    </row>
    <row r="11639" spans="1:1">
      <c r="A11639" s="1"/>
    </row>
    <row r="11640" spans="1:1">
      <c r="A11640" s="1"/>
    </row>
    <row r="11641" spans="1:1">
      <c r="A11641" s="1"/>
    </row>
    <row r="11642" spans="1:1">
      <c r="A11642" s="1"/>
    </row>
    <row r="11643" spans="1:1">
      <c r="A11643" s="1"/>
    </row>
    <row r="11644" spans="1:1">
      <c r="A11644" s="1"/>
    </row>
    <row r="11645" spans="1:1">
      <c r="A11645" s="1"/>
    </row>
    <row r="11646" spans="1:1">
      <c r="A11646" s="1"/>
    </row>
    <row r="11647" spans="1:1">
      <c r="A11647" s="1"/>
    </row>
    <row r="11648" spans="1:1">
      <c r="A11648" s="1"/>
    </row>
    <row r="11649" spans="1:1">
      <c r="A11649" s="1"/>
    </row>
    <row r="11650" spans="1:1">
      <c r="A11650" s="1"/>
    </row>
    <row r="11651" spans="1:1">
      <c r="A11651" s="1"/>
    </row>
    <row r="11652" spans="1:1">
      <c r="A11652" s="1"/>
    </row>
    <row r="11653" spans="1:1">
      <c r="A11653" s="1"/>
    </row>
    <row r="11654" spans="1:1">
      <c r="A11654" s="1"/>
    </row>
    <row r="11655" spans="1:1">
      <c r="A11655" s="1"/>
    </row>
    <row r="11656" spans="1:1">
      <c r="A11656" s="1"/>
    </row>
    <row r="11657" spans="1:1">
      <c r="A11657" s="1"/>
    </row>
    <row r="11658" spans="1:1">
      <c r="A11658" s="1"/>
    </row>
    <row r="11659" spans="1:1">
      <c r="A11659" s="1"/>
    </row>
    <row r="11660" spans="1:1">
      <c r="A11660" s="1"/>
    </row>
    <row r="11661" spans="1:1">
      <c r="A11661" s="1"/>
    </row>
    <row r="11662" spans="1:1">
      <c r="A11662" s="1"/>
    </row>
    <row r="11663" spans="1:1">
      <c r="A11663" s="1"/>
    </row>
    <row r="11664" spans="1:1">
      <c r="A11664" s="1"/>
    </row>
    <row r="11665" spans="1:1">
      <c r="A11665" s="1"/>
    </row>
    <row r="11666" spans="1:1">
      <c r="A11666" s="1"/>
    </row>
    <row r="11667" spans="1:1">
      <c r="A11667" s="1"/>
    </row>
    <row r="11668" spans="1:1">
      <c r="A11668" s="1"/>
    </row>
    <row r="11669" spans="1:1">
      <c r="A11669" s="1"/>
    </row>
    <row r="11670" spans="1:1">
      <c r="A11670" s="1"/>
    </row>
    <row r="11671" spans="1:1">
      <c r="A11671" s="1"/>
    </row>
    <row r="11672" spans="1:1">
      <c r="A11672" s="1"/>
    </row>
    <row r="11673" spans="1:1">
      <c r="A11673" s="1"/>
    </row>
    <row r="11674" spans="1:1">
      <c r="A11674" s="1"/>
    </row>
    <row r="11675" spans="1:1">
      <c r="A11675" s="1"/>
    </row>
    <row r="11676" spans="1:1">
      <c r="A11676" s="1"/>
    </row>
    <row r="11677" spans="1:1">
      <c r="A11677" s="1"/>
    </row>
    <row r="11678" spans="1:1">
      <c r="A11678" s="1"/>
    </row>
    <row r="11679" spans="1:1">
      <c r="A11679" s="1"/>
    </row>
    <row r="11680" spans="1:1">
      <c r="A11680" s="1"/>
    </row>
    <row r="11681" spans="1:1">
      <c r="A11681" s="1"/>
    </row>
    <row r="11682" spans="1:1">
      <c r="A11682" s="1"/>
    </row>
    <row r="11683" spans="1:1">
      <c r="A11683" s="1"/>
    </row>
    <row r="11684" spans="1:1">
      <c r="A11684" s="1"/>
    </row>
    <row r="11685" spans="1:1">
      <c r="A11685" s="1"/>
    </row>
    <row r="11686" spans="1:1">
      <c r="A11686" s="1"/>
    </row>
    <row r="11687" spans="1:1">
      <c r="A11687" s="1"/>
    </row>
    <row r="11688" spans="1:1">
      <c r="A11688" s="1"/>
    </row>
    <row r="11689" spans="1:1">
      <c r="A11689" s="1"/>
    </row>
    <row r="11690" spans="1:1">
      <c r="A11690" s="1"/>
    </row>
    <row r="11691" spans="1:1">
      <c r="A11691" s="1"/>
    </row>
    <row r="11692" spans="1:1">
      <c r="A11692" s="1"/>
    </row>
    <row r="11693" spans="1:1">
      <c r="A11693" s="1"/>
    </row>
    <row r="11694" spans="1:1">
      <c r="A11694" s="1"/>
    </row>
    <row r="11695" spans="1:1">
      <c r="A11695" s="1"/>
    </row>
    <row r="11696" spans="1:1">
      <c r="A11696" s="1"/>
    </row>
    <row r="11697" spans="1:1">
      <c r="A11697" s="1"/>
    </row>
    <row r="11698" spans="1:1">
      <c r="A11698" s="1"/>
    </row>
    <row r="11699" spans="1:1">
      <c r="A11699" s="1"/>
    </row>
    <row r="11700" spans="1:1">
      <c r="A11700" s="1"/>
    </row>
    <row r="11701" spans="1:1">
      <c r="A11701" s="1"/>
    </row>
    <row r="11702" spans="1:1">
      <c r="A11702" s="1"/>
    </row>
    <row r="11703" spans="1:1">
      <c r="A11703" s="1"/>
    </row>
    <row r="11704" spans="1:1">
      <c r="A11704" s="1"/>
    </row>
    <row r="11705" spans="1:1">
      <c r="A11705" s="1"/>
    </row>
    <row r="11706" spans="1:1">
      <c r="A11706" s="1"/>
    </row>
    <row r="11707" spans="1:1">
      <c r="A11707" s="1"/>
    </row>
    <row r="11708" spans="1:1">
      <c r="A11708" s="1"/>
    </row>
    <row r="11709" spans="1:1">
      <c r="A11709" s="1"/>
    </row>
    <row r="11710" spans="1:1">
      <c r="A11710" s="1"/>
    </row>
    <row r="11711" spans="1:1">
      <c r="A11711" s="1"/>
    </row>
    <row r="11712" spans="1:1">
      <c r="A11712" s="1"/>
    </row>
    <row r="11713" spans="1:1">
      <c r="A11713" s="1"/>
    </row>
    <row r="11714" spans="1:1">
      <c r="A11714" s="1"/>
    </row>
    <row r="11715" spans="1:1">
      <c r="A11715" s="1"/>
    </row>
    <row r="11716" spans="1:1">
      <c r="A11716" s="1"/>
    </row>
    <row r="11717" spans="1:1">
      <c r="A11717" s="1"/>
    </row>
    <row r="11718" spans="1:1">
      <c r="A11718" s="1"/>
    </row>
    <row r="11719" spans="1:1">
      <c r="A11719" s="1"/>
    </row>
    <row r="11720" spans="1:1">
      <c r="A11720" s="1"/>
    </row>
    <row r="11721" spans="1:1">
      <c r="A11721" s="1"/>
    </row>
    <row r="11722" spans="1:1">
      <c r="A11722" s="1"/>
    </row>
    <row r="11723" spans="1:1">
      <c r="A11723" s="1"/>
    </row>
    <row r="11724" spans="1:1">
      <c r="A11724" s="1"/>
    </row>
    <row r="11725" spans="1:1">
      <c r="A11725" s="1"/>
    </row>
    <row r="11726" spans="1:1">
      <c r="A11726" s="1"/>
    </row>
    <row r="11727" spans="1:1">
      <c r="A11727" s="1"/>
    </row>
    <row r="11728" spans="1:1">
      <c r="A11728" s="1"/>
    </row>
    <row r="11729" spans="1:1">
      <c r="A11729" s="1"/>
    </row>
    <row r="11730" spans="1:1">
      <c r="A11730" s="1"/>
    </row>
    <row r="11731" spans="1:1">
      <c r="A11731" s="1"/>
    </row>
    <row r="11732" spans="1:1">
      <c r="A11732" s="1"/>
    </row>
    <row r="11733" spans="1:1">
      <c r="A11733" s="1"/>
    </row>
    <row r="11734" spans="1:1">
      <c r="A11734" s="1"/>
    </row>
    <row r="11735" spans="1:1">
      <c r="A11735" s="1"/>
    </row>
    <row r="11736" spans="1:1">
      <c r="A11736" s="1"/>
    </row>
    <row r="11737" spans="1:1">
      <c r="A11737" s="1"/>
    </row>
    <row r="11738" spans="1:1">
      <c r="A11738" s="1"/>
    </row>
    <row r="11739" spans="1:1">
      <c r="A11739" s="1"/>
    </row>
    <row r="11740" spans="1:1">
      <c r="A11740" s="1"/>
    </row>
    <row r="11741" spans="1:1">
      <c r="A11741" s="1"/>
    </row>
    <row r="11742" spans="1:1">
      <c r="A11742" s="1"/>
    </row>
    <row r="11743" spans="1:1">
      <c r="A11743" s="1"/>
    </row>
    <row r="11744" spans="1:1">
      <c r="A11744" s="1"/>
    </row>
    <row r="11745" spans="1:1">
      <c r="A11745" s="1"/>
    </row>
    <row r="11746" spans="1:1">
      <c r="A11746" s="1"/>
    </row>
    <row r="11747" spans="1:1">
      <c r="A11747" s="1"/>
    </row>
    <row r="11748" spans="1:1">
      <c r="A11748" s="1"/>
    </row>
    <row r="11749" spans="1:1">
      <c r="A11749" s="1"/>
    </row>
    <row r="11750" spans="1:1">
      <c r="A11750" s="1"/>
    </row>
    <row r="11751" spans="1:1">
      <c r="A11751" s="1"/>
    </row>
    <row r="11752" spans="1:1">
      <c r="A11752" s="1"/>
    </row>
    <row r="11753" spans="1:1">
      <c r="A11753" s="1"/>
    </row>
    <row r="11754" spans="1:1">
      <c r="A11754" s="1"/>
    </row>
    <row r="11755" spans="1:1">
      <c r="A11755" s="1"/>
    </row>
    <row r="11756" spans="1:1">
      <c r="A11756" s="1"/>
    </row>
    <row r="11757" spans="1:1">
      <c r="A11757" s="1"/>
    </row>
    <row r="11758" spans="1:1">
      <c r="A11758" s="1"/>
    </row>
    <row r="11759" spans="1:1">
      <c r="A11759" s="1"/>
    </row>
    <row r="11760" spans="1:1">
      <c r="A11760" s="1"/>
    </row>
    <row r="11761" spans="1:1">
      <c r="A11761" s="1"/>
    </row>
    <row r="11762" spans="1:1">
      <c r="A11762" s="1"/>
    </row>
    <row r="11763" spans="1:1">
      <c r="A11763" s="1"/>
    </row>
    <row r="11764" spans="1:1">
      <c r="A11764" s="1"/>
    </row>
    <row r="11765" spans="1:1">
      <c r="A11765" s="1"/>
    </row>
    <row r="11766" spans="1:1">
      <c r="A11766" s="1"/>
    </row>
    <row r="11767" spans="1:1">
      <c r="A11767" s="1"/>
    </row>
    <row r="11768" spans="1:1">
      <c r="A11768" s="1"/>
    </row>
    <row r="11769" spans="1:1">
      <c r="A11769" s="1"/>
    </row>
    <row r="11770" spans="1:1">
      <c r="A11770" s="1"/>
    </row>
    <row r="11771" spans="1:1">
      <c r="A11771" s="1"/>
    </row>
    <row r="11772" spans="1:1">
      <c r="A11772" s="1"/>
    </row>
    <row r="11773" spans="1:1">
      <c r="A11773" s="1"/>
    </row>
    <row r="11774" spans="1:1">
      <c r="A11774" s="1"/>
    </row>
    <row r="11775" spans="1:1">
      <c r="A11775" s="1"/>
    </row>
    <row r="11776" spans="1:1">
      <c r="A11776" s="1"/>
    </row>
    <row r="11777" spans="1:1">
      <c r="A11777" s="1"/>
    </row>
    <row r="11778" spans="1:1">
      <c r="A11778" s="1"/>
    </row>
    <row r="11779" spans="1:1">
      <c r="A11779" s="1"/>
    </row>
    <row r="11780" spans="1:1">
      <c r="A11780" s="1"/>
    </row>
    <row r="11781" spans="1:1">
      <c r="A11781" s="1"/>
    </row>
    <row r="11782" spans="1:1">
      <c r="A11782" s="1"/>
    </row>
    <row r="11783" spans="1:1">
      <c r="A11783" s="1"/>
    </row>
    <row r="11784" spans="1:1">
      <c r="A11784" s="1"/>
    </row>
    <row r="11785" spans="1:1">
      <c r="A11785" s="1"/>
    </row>
    <row r="11786" spans="1:1">
      <c r="A11786" s="1"/>
    </row>
    <row r="11787" spans="1:1">
      <c r="A11787" s="1"/>
    </row>
    <row r="11788" spans="1:1">
      <c r="A11788" s="1"/>
    </row>
    <row r="11789" spans="1:1">
      <c r="A11789" s="1"/>
    </row>
    <row r="11790" spans="1:1">
      <c r="A11790" s="1"/>
    </row>
    <row r="11791" spans="1:1">
      <c r="A11791" s="1"/>
    </row>
    <row r="11792" spans="1:1">
      <c r="A11792" s="1"/>
    </row>
    <row r="11793" spans="1:1">
      <c r="A11793" s="1"/>
    </row>
    <row r="11794" spans="1:1">
      <c r="A11794" s="1"/>
    </row>
    <row r="11795" spans="1:1">
      <c r="A11795" s="1"/>
    </row>
    <row r="11796" spans="1:1">
      <c r="A11796" s="1"/>
    </row>
    <row r="11797" spans="1:1">
      <c r="A11797" s="1"/>
    </row>
    <row r="11798" spans="1:1">
      <c r="A11798" s="1"/>
    </row>
    <row r="11799" spans="1:1">
      <c r="A11799" s="1"/>
    </row>
    <row r="11800" spans="1:1">
      <c r="A11800" s="1"/>
    </row>
    <row r="11801" spans="1:1">
      <c r="A11801" s="1"/>
    </row>
    <row r="11802" spans="1:1">
      <c r="A11802" s="1"/>
    </row>
    <row r="11803" spans="1:1">
      <c r="A11803" s="1"/>
    </row>
    <row r="11804" spans="1:1">
      <c r="A11804" s="1"/>
    </row>
    <row r="11805" spans="1:1">
      <c r="A11805" s="1"/>
    </row>
    <row r="11806" spans="1:1">
      <c r="A11806" s="1"/>
    </row>
    <row r="11807" spans="1:1">
      <c r="A11807" s="1"/>
    </row>
    <row r="11808" spans="1:1">
      <c r="A11808" s="1"/>
    </row>
    <row r="11809" spans="1:1">
      <c r="A11809" s="1"/>
    </row>
    <row r="11810" spans="1:1">
      <c r="A11810" s="1"/>
    </row>
    <row r="11811" spans="1:1">
      <c r="A11811" s="1"/>
    </row>
    <row r="11812" spans="1:1">
      <c r="A11812" s="1"/>
    </row>
    <row r="11813" spans="1:1">
      <c r="A11813" s="1"/>
    </row>
    <row r="11814" spans="1:1">
      <c r="A11814" s="1"/>
    </row>
    <row r="11815" spans="1:1">
      <c r="A11815" s="1"/>
    </row>
    <row r="11816" spans="1:1">
      <c r="A11816" s="1"/>
    </row>
    <row r="11817" spans="1:1">
      <c r="A11817" s="1"/>
    </row>
    <row r="11818" spans="1:1">
      <c r="A11818" s="1"/>
    </row>
    <row r="11819" spans="1:1">
      <c r="A11819" s="1"/>
    </row>
    <row r="11820" spans="1:1">
      <c r="A11820" s="1"/>
    </row>
    <row r="11821" spans="1:1">
      <c r="A11821" s="1"/>
    </row>
    <row r="11822" spans="1:1">
      <c r="A11822" s="1"/>
    </row>
    <row r="11823" spans="1:1">
      <c r="A11823" s="1"/>
    </row>
    <row r="11824" spans="1:1">
      <c r="A11824" s="1"/>
    </row>
    <row r="11825" spans="1:1">
      <c r="A11825" s="1"/>
    </row>
    <row r="11826" spans="1:1">
      <c r="A11826" s="1"/>
    </row>
    <row r="11827" spans="1:1">
      <c r="A11827" s="1"/>
    </row>
    <row r="11828" spans="1:1">
      <c r="A11828" s="1"/>
    </row>
    <row r="11829" spans="1:1">
      <c r="A11829" s="1"/>
    </row>
    <row r="11830" spans="1:1">
      <c r="A11830" s="1"/>
    </row>
    <row r="11831" spans="1:1">
      <c r="A11831" s="1"/>
    </row>
    <row r="11832" spans="1:1">
      <c r="A11832" s="1"/>
    </row>
    <row r="11833" spans="1:1">
      <c r="A11833" s="1"/>
    </row>
    <row r="11834" spans="1:1">
      <c r="A11834" s="1"/>
    </row>
    <row r="11835" spans="1:1">
      <c r="A11835" s="1"/>
    </row>
    <row r="11836" spans="1:1">
      <c r="A11836" s="1"/>
    </row>
    <row r="11837" spans="1:1">
      <c r="A11837" s="1"/>
    </row>
    <row r="11838" spans="1:1">
      <c r="A11838" s="1"/>
    </row>
    <row r="11839" spans="1:1">
      <c r="A11839" s="1"/>
    </row>
    <row r="11840" spans="1:1">
      <c r="A11840" s="1"/>
    </row>
    <row r="11841" spans="1:1">
      <c r="A11841" s="1"/>
    </row>
    <row r="11842" spans="1:1">
      <c r="A11842" s="1"/>
    </row>
    <row r="11843" spans="1:1">
      <c r="A11843" s="1"/>
    </row>
    <row r="11844" spans="1:1">
      <c r="A11844" s="1"/>
    </row>
    <row r="11845" spans="1:1">
      <c r="A11845" s="1"/>
    </row>
    <row r="11846" spans="1:1">
      <c r="A11846" s="1"/>
    </row>
    <row r="11847" spans="1:1">
      <c r="A11847" s="1"/>
    </row>
    <row r="11848" spans="1:1">
      <c r="A11848" s="1"/>
    </row>
    <row r="11849" spans="1:1">
      <c r="A11849" s="1"/>
    </row>
    <row r="11850" spans="1:1">
      <c r="A11850" s="1"/>
    </row>
    <row r="11851" spans="1:1">
      <c r="A11851" s="1"/>
    </row>
    <row r="11852" spans="1:1">
      <c r="A11852" s="1"/>
    </row>
    <row r="11853" spans="1:1">
      <c r="A11853" s="1"/>
    </row>
    <row r="11854" spans="1:1">
      <c r="A11854" s="1"/>
    </row>
    <row r="11855" spans="1:1">
      <c r="A11855" s="1"/>
    </row>
    <row r="11856" spans="1:1">
      <c r="A11856" s="1"/>
    </row>
    <row r="11857" spans="1:1">
      <c r="A11857" s="1"/>
    </row>
    <row r="11858" spans="1:1">
      <c r="A11858" s="1"/>
    </row>
    <row r="11859" spans="1:1">
      <c r="A11859" s="1"/>
    </row>
    <row r="11860" spans="1:1">
      <c r="A11860" s="1"/>
    </row>
    <row r="11861" spans="1:1">
      <c r="A11861" s="1"/>
    </row>
    <row r="11862" spans="1:1">
      <c r="A11862" s="1"/>
    </row>
    <row r="11863" spans="1:1">
      <c r="A11863" s="1"/>
    </row>
    <row r="11864" spans="1:1">
      <c r="A11864" s="1"/>
    </row>
    <row r="11865" spans="1:1">
      <c r="A11865" s="1"/>
    </row>
    <row r="11866" spans="1:1">
      <c r="A11866" s="1"/>
    </row>
    <row r="11867" spans="1:1">
      <c r="A11867" s="1"/>
    </row>
    <row r="11868" spans="1:1">
      <c r="A11868" s="1"/>
    </row>
    <row r="11869" spans="1:1">
      <c r="A11869" s="1"/>
    </row>
    <row r="11870" spans="1:1">
      <c r="A11870" s="1"/>
    </row>
    <row r="11871" spans="1:1">
      <c r="A11871" s="1"/>
    </row>
    <row r="11872" spans="1:1">
      <c r="A11872" s="1"/>
    </row>
    <row r="11873" spans="1:1">
      <c r="A11873" s="1"/>
    </row>
    <row r="11874" spans="1:1">
      <c r="A11874" s="1"/>
    </row>
    <row r="11875" spans="1:1">
      <c r="A11875" s="1"/>
    </row>
    <row r="11876" spans="1:1">
      <c r="A11876" s="1"/>
    </row>
    <row r="11877" spans="1:1">
      <c r="A11877" s="1"/>
    </row>
    <row r="11878" spans="1:1">
      <c r="A11878" s="1"/>
    </row>
    <row r="11879" spans="1:1">
      <c r="A11879" s="1"/>
    </row>
    <row r="11880" spans="1:1">
      <c r="A11880" s="1"/>
    </row>
    <row r="11881" spans="1:1">
      <c r="A11881" s="1"/>
    </row>
    <row r="11882" spans="1:1">
      <c r="A11882" s="1"/>
    </row>
    <row r="11883" spans="1:1">
      <c r="A11883" s="1"/>
    </row>
    <row r="11884" spans="1:1">
      <c r="A11884" s="1"/>
    </row>
    <row r="11885" spans="1:1">
      <c r="A11885" s="1"/>
    </row>
    <row r="11886" spans="1:1">
      <c r="A11886" s="1"/>
    </row>
    <row r="11887" spans="1:1">
      <c r="A11887" s="1"/>
    </row>
    <row r="11888" spans="1:1">
      <c r="A11888" s="1"/>
    </row>
    <row r="11889" spans="1:1">
      <c r="A11889" s="1"/>
    </row>
    <row r="11890" spans="1:1">
      <c r="A11890" s="1"/>
    </row>
    <row r="11891" spans="1:1">
      <c r="A11891" s="1"/>
    </row>
    <row r="11892" spans="1:1">
      <c r="A11892" s="1"/>
    </row>
    <row r="11893" spans="1:1">
      <c r="A11893" s="1"/>
    </row>
    <row r="11894" spans="1:1">
      <c r="A11894" s="1"/>
    </row>
    <row r="11895" spans="1:1">
      <c r="A11895" s="1"/>
    </row>
    <row r="11896" spans="1:1">
      <c r="A11896" s="1"/>
    </row>
    <row r="11897" spans="1:1">
      <c r="A11897" s="1"/>
    </row>
    <row r="11898" spans="1:1">
      <c r="A11898" s="1"/>
    </row>
    <row r="11899" spans="1:1">
      <c r="A11899" s="1"/>
    </row>
    <row r="11900" spans="1:1">
      <c r="A11900" s="1"/>
    </row>
    <row r="11901" spans="1:1">
      <c r="A11901" s="1"/>
    </row>
    <row r="11902" spans="1:1">
      <c r="A11902" s="1"/>
    </row>
    <row r="11903" spans="1:1">
      <c r="A11903" s="1"/>
    </row>
    <row r="11904" spans="1:1">
      <c r="A11904" s="1"/>
    </row>
    <row r="11905" spans="1:1">
      <c r="A11905" s="1"/>
    </row>
    <row r="11906" spans="1:1">
      <c r="A11906" s="1"/>
    </row>
    <row r="11907" spans="1:1">
      <c r="A11907" s="1"/>
    </row>
    <row r="11908" spans="1:1">
      <c r="A11908" s="1"/>
    </row>
    <row r="11909" spans="1:1">
      <c r="A11909" s="1"/>
    </row>
    <row r="11910" spans="1:1">
      <c r="A11910" s="1"/>
    </row>
    <row r="11911" spans="1:1">
      <c r="A11911" s="1"/>
    </row>
    <row r="11912" spans="1:1">
      <c r="A11912" s="1"/>
    </row>
    <row r="11913" spans="1:1">
      <c r="A11913" s="1"/>
    </row>
    <row r="11914" spans="1:1">
      <c r="A11914" s="1"/>
    </row>
    <row r="11915" spans="1:1">
      <c r="A11915" s="1"/>
    </row>
    <row r="11916" spans="1:1">
      <c r="A11916" s="1"/>
    </row>
    <row r="11917" spans="1:1">
      <c r="A11917" s="1"/>
    </row>
    <row r="11918" spans="1:1">
      <c r="A11918" s="1"/>
    </row>
    <row r="11919" spans="1:1">
      <c r="A11919" s="1"/>
    </row>
    <row r="11920" spans="1:1">
      <c r="A11920" s="1"/>
    </row>
    <row r="11921" spans="1:1">
      <c r="A11921" s="1"/>
    </row>
    <row r="11922" spans="1:1">
      <c r="A11922" s="1"/>
    </row>
    <row r="11923" spans="1:1">
      <c r="A11923" s="1"/>
    </row>
    <row r="11924" spans="1:1">
      <c r="A11924" s="1"/>
    </row>
    <row r="11925" spans="1:1">
      <c r="A11925" s="1"/>
    </row>
    <row r="11926" spans="1:1">
      <c r="A11926" s="1"/>
    </row>
    <row r="11927" spans="1:1">
      <c r="A11927" s="1"/>
    </row>
    <row r="11928" spans="1:1">
      <c r="A11928" s="1"/>
    </row>
    <row r="11929" spans="1:1">
      <c r="A11929" s="1"/>
    </row>
    <row r="11930" spans="1:1">
      <c r="A11930" s="1"/>
    </row>
    <row r="11931" spans="1:1">
      <c r="A11931" s="1"/>
    </row>
    <row r="11932" spans="1:1">
      <c r="A11932" s="1"/>
    </row>
    <row r="11933" spans="1:1">
      <c r="A11933" s="1"/>
    </row>
    <row r="11934" spans="1:1">
      <c r="A11934" s="1"/>
    </row>
    <row r="11935" spans="1:1">
      <c r="A11935" s="1"/>
    </row>
    <row r="11936" spans="1:1">
      <c r="A11936" s="1"/>
    </row>
    <row r="11937" spans="1:1">
      <c r="A11937" s="1"/>
    </row>
    <row r="11938" spans="1:1">
      <c r="A11938" s="1"/>
    </row>
    <row r="11939" spans="1:1">
      <c r="A11939" s="1"/>
    </row>
    <row r="11940" spans="1:1">
      <c r="A11940" s="1"/>
    </row>
    <row r="11941" spans="1:1">
      <c r="A11941" s="1"/>
    </row>
    <row r="11942" spans="1:1">
      <c r="A11942" s="1"/>
    </row>
    <row r="11943" spans="1:1">
      <c r="A11943" s="1"/>
    </row>
    <row r="11944" spans="1:1">
      <c r="A11944" s="1"/>
    </row>
    <row r="11945" spans="1:1">
      <c r="A11945" s="1"/>
    </row>
    <row r="11946" spans="1:1">
      <c r="A11946" s="1"/>
    </row>
    <row r="11947" spans="1:1">
      <c r="A11947" s="1"/>
    </row>
    <row r="11948" spans="1:1">
      <c r="A11948" s="1"/>
    </row>
    <row r="11949" spans="1:1">
      <c r="A11949" s="1"/>
    </row>
    <row r="11950" spans="1:1">
      <c r="A11950" s="1"/>
    </row>
    <row r="11951" spans="1:1">
      <c r="A11951" s="1"/>
    </row>
    <row r="11952" spans="1:1">
      <c r="A11952" s="1"/>
    </row>
    <row r="11953" spans="1:1">
      <c r="A11953" s="1"/>
    </row>
    <row r="11954" spans="1:1">
      <c r="A11954" s="1"/>
    </row>
    <row r="11955" spans="1:1">
      <c r="A11955" s="1"/>
    </row>
    <row r="11956" spans="1:1">
      <c r="A11956" s="1"/>
    </row>
    <row r="11957" spans="1:1">
      <c r="A11957" s="1"/>
    </row>
    <row r="11958" spans="1:1">
      <c r="A11958" s="1"/>
    </row>
    <row r="11959" spans="1:1">
      <c r="A11959" s="1"/>
    </row>
    <row r="11960" spans="1:1">
      <c r="A11960" s="1"/>
    </row>
    <row r="11961" spans="1:1">
      <c r="A11961" s="1"/>
    </row>
    <row r="11962" spans="1:1">
      <c r="A11962" s="1"/>
    </row>
    <row r="11963" spans="1:1">
      <c r="A11963" s="1"/>
    </row>
    <row r="11964" spans="1:1">
      <c r="A11964" s="1"/>
    </row>
    <row r="11965" spans="1:1">
      <c r="A11965" s="1"/>
    </row>
    <row r="11966" spans="1:1">
      <c r="A11966" s="1"/>
    </row>
    <row r="11967" spans="1:1">
      <c r="A11967" s="1"/>
    </row>
    <row r="11968" spans="1:1">
      <c r="A11968" s="1"/>
    </row>
    <row r="11969" spans="1:1">
      <c r="A11969" s="1"/>
    </row>
    <row r="11970" spans="1:1">
      <c r="A11970" s="1"/>
    </row>
    <row r="11971" spans="1:1">
      <c r="A11971" s="1"/>
    </row>
    <row r="11972" spans="1:1">
      <c r="A11972" s="1"/>
    </row>
    <row r="11973" spans="1:1">
      <c r="A11973" s="1"/>
    </row>
    <row r="11974" spans="1:1">
      <c r="A11974" s="1"/>
    </row>
    <row r="11975" spans="1:1">
      <c r="A11975" s="1"/>
    </row>
    <row r="11976" spans="1:1">
      <c r="A11976" s="1"/>
    </row>
    <row r="11977" spans="1:1">
      <c r="A11977" s="1"/>
    </row>
    <row r="11978" spans="1:1">
      <c r="A11978" s="1"/>
    </row>
    <row r="11979" spans="1:1">
      <c r="A11979" s="1"/>
    </row>
    <row r="11980" spans="1:1">
      <c r="A11980" s="1"/>
    </row>
    <row r="11981" spans="1:1">
      <c r="A11981" s="1"/>
    </row>
    <row r="11982" spans="1:1">
      <c r="A11982" s="1"/>
    </row>
    <row r="11983" spans="1:1">
      <c r="A11983" s="1"/>
    </row>
    <row r="11984" spans="1:1">
      <c r="A11984" s="1"/>
    </row>
    <row r="11985" spans="1:1">
      <c r="A11985" s="1"/>
    </row>
    <row r="11986" spans="1:1">
      <c r="A11986" s="1"/>
    </row>
    <row r="11987" spans="1:1">
      <c r="A11987" s="1"/>
    </row>
    <row r="11988" spans="1:1">
      <c r="A11988" s="1"/>
    </row>
    <row r="11989" spans="1:1">
      <c r="A11989" s="1"/>
    </row>
    <row r="11990" spans="1:1">
      <c r="A11990" s="1"/>
    </row>
    <row r="11991" spans="1:1">
      <c r="A11991" s="1"/>
    </row>
    <row r="11992" spans="1:1">
      <c r="A11992" s="1"/>
    </row>
    <row r="11993" spans="1:1">
      <c r="A11993" s="1"/>
    </row>
    <row r="11994" spans="1:1">
      <c r="A11994" s="1"/>
    </row>
    <row r="11995" spans="1:1">
      <c r="A11995" s="1"/>
    </row>
    <row r="11996" spans="1:1">
      <c r="A11996" s="1"/>
    </row>
    <row r="11997" spans="1:1">
      <c r="A11997" s="1"/>
    </row>
    <row r="11998" spans="1:1">
      <c r="A11998" s="1"/>
    </row>
    <row r="11999" spans="1:1">
      <c r="A11999" s="1"/>
    </row>
    <row r="12000" spans="1:1">
      <c r="A12000" s="1"/>
    </row>
    <row r="12001" spans="1:1">
      <c r="A12001" s="1"/>
    </row>
    <row r="12002" spans="1:1">
      <c r="A12002" s="1"/>
    </row>
    <row r="12003" spans="1:1">
      <c r="A12003" s="1"/>
    </row>
    <row r="12004" spans="1:1">
      <c r="A12004" s="1"/>
    </row>
    <row r="12005" spans="1:1">
      <c r="A12005" s="1"/>
    </row>
    <row r="12006" spans="1:1">
      <c r="A12006" s="1"/>
    </row>
    <row r="12007" spans="1:1">
      <c r="A12007" s="1"/>
    </row>
    <row r="12008" spans="1:1">
      <c r="A12008" s="1"/>
    </row>
    <row r="12009" spans="1:1">
      <c r="A12009" s="1"/>
    </row>
    <row r="12010" spans="1:1">
      <c r="A12010" s="1"/>
    </row>
    <row r="12011" spans="1:1">
      <c r="A12011" s="1"/>
    </row>
    <row r="12012" spans="1:1">
      <c r="A12012" s="1"/>
    </row>
    <row r="12013" spans="1:1">
      <c r="A12013" s="1"/>
    </row>
    <row r="12014" spans="1:1">
      <c r="A12014" s="1"/>
    </row>
    <row r="12015" spans="1:1">
      <c r="A12015" s="1"/>
    </row>
    <row r="12016" spans="1:1">
      <c r="A12016" s="1"/>
    </row>
    <row r="12017" spans="1:1">
      <c r="A12017" s="1"/>
    </row>
    <row r="12018" spans="1:1">
      <c r="A12018" s="1"/>
    </row>
    <row r="12019" spans="1:1">
      <c r="A12019" s="1"/>
    </row>
    <row r="12020" spans="1:1">
      <c r="A12020" s="1"/>
    </row>
    <row r="12021" spans="1:1">
      <c r="A12021" s="1"/>
    </row>
    <row r="12022" spans="1:1">
      <c r="A12022" s="1"/>
    </row>
    <row r="12023" spans="1:1">
      <c r="A12023" s="1"/>
    </row>
    <row r="12024" spans="1:1">
      <c r="A12024" s="1"/>
    </row>
    <row r="12025" spans="1:1">
      <c r="A12025" s="1"/>
    </row>
    <row r="12026" spans="1:1">
      <c r="A12026" s="1"/>
    </row>
    <row r="12027" spans="1:1">
      <c r="A12027" s="1"/>
    </row>
    <row r="12028" spans="1:1">
      <c r="A12028" s="1"/>
    </row>
    <row r="12029" spans="1:1">
      <c r="A12029" s="1"/>
    </row>
    <row r="12030" spans="1:1">
      <c r="A12030" s="1"/>
    </row>
    <row r="12031" spans="1:1">
      <c r="A12031" s="1"/>
    </row>
    <row r="12032" spans="1:1">
      <c r="A12032" s="1"/>
    </row>
    <row r="12033" spans="1:1">
      <c r="A12033" s="1"/>
    </row>
    <row r="12034" spans="1:1">
      <c r="A12034" s="1"/>
    </row>
    <row r="12035" spans="1:1">
      <c r="A12035" s="1"/>
    </row>
    <row r="12036" spans="1:1">
      <c r="A12036" s="1"/>
    </row>
    <row r="12037" spans="1:1">
      <c r="A12037" s="1"/>
    </row>
    <row r="12038" spans="1:1">
      <c r="A12038" s="1"/>
    </row>
    <row r="12039" spans="1:1">
      <c r="A12039" s="1"/>
    </row>
    <row r="12040" spans="1:1">
      <c r="A12040" s="1"/>
    </row>
    <row r="12041" spans="1:1">
      <c r="A12041" s="1"/>
    </row>
    <row r="12042" spans="1:1">
      <c r="A12042" s="1"/>
    </row>
    <row r="12043" spans="1:1">
      <c r="A12043" s="1"/>
    </row>
    <row r="12044" spans="1:1">
      <c r="A12044" s="1"/>
    </row>
    <row r="12045" spans="1:1">
      <c r="A12045" s="1"/>
    </row>
    <row r="12046" spans="1:1">
      <c r="A12046" s="1"/>
    </row>
    <row r="12047" spans="1:1">
      <c r="A12047" s="1"/>
    </row>
    <row r="12048" spans="1:1">
      <c r="A12048" s="1"/>
    </row>
    <row r="12049" spans="1:1">
      <c r="A12049" s="1"/>
    </row>
    <row r="12050" spans="1:1">
      <c r="A12050" s="1"/>
    </row>
    <row r="12051" spans="1:1">
      <c r="A12051" s="1"/>
    </row>
    <row r="12052" spans="1:1">
      <c r="A12052" s="1"/>
    </row>
    <row r="12053" spans="1:1">
      <c r="A12053" s="1"/>
    </row>
    <row r="12054" spans="1:1">
      <c r="A12054" s="1"/>
    </row>
    <row r="12055" spans="1:1">
      <c r="A12055" s="1"/>
    </row>
    <row r="12056" spans="1:1">
      <c r="A12056" s="1"/>
    </row>
    <row r="12057" spans="1:1">
      <c r="A12057" s="1"/>
    </row>
    <row r="12058" spans="1:1">
      <c r="A12058" s="1"/>
    </row>
    <row r="12059" spans="1:1">
      <c r="A12059" s="1"/>
    </row>
    <row r="12060" spans="1:1">
      <c r="A12060" s="1"/>
    </row>
    <row r="12061" spans="1:1">
      <c r="A12061" s="1"/>
    </row>
    <row r="12062" spans="1:1">
      <c r="A12062" s="1"/>
    </row>
    <row r="12063" spans="1:1">
      <c r="A12063" s="1"/>
    </row>
    <row r="12064" spans="1:1">
      <c r="A12064" s="1"/>
    </row>
    <row r="12065" spans="1:1">
      <c r="A12065" s="1"/>
    </row>
    <row r="12066" spans="1:1">
      <c r="A12066" s="1"/>
    </row>
    <row r="12067" spans="1:1">
      <c r="A12067" s="1"/>
    </row>
    <row r="12068" spans="1:1">
      <c r="A12068" s="1"/>
    </row>
    <row r="12069" spans="1:1">
      <c r="A12069" s="1"/>
    </row>
    <row r="12070" spans="1:1">
      <c r="A12070" s="1"/>
    </row>
    <row r="12071" spans="1:1">
      <c r="A12071" s="1"/>
    </row>
    <row r="12072" spans="1:1">
      <c r="A12072" s="1"/>
    </row>
    <row r="12073" spans="1:1">
      <c r="A12073" s="1"/>
    </row>
    <row r="12074" spans="1:1">
      <c r="A12074" s="1"/>
    </row>
    <row r="12075" spans="1:1">
      <c r="A12075" s="1"/>
    </row>
    <row r="12076" spans="1:1">
      <c r="A12076" s="1"/>
    </row>
    <row r="12077" spans="1:1">
      <c r="A12077" s="1"/>
    </row>
    <row r="12078" spans="1:1">
      <c r="A12078" s="1"/>
    </row>
    <row r="12079" spans="1:1">
      <c r="A12079" s="1"/>
    </row>
    <row r="12080" spans="1:1">
      <c r="A12080" s="1"/>
    </row>
    <row r="12081" spans="1:1">
      <c r="A12081" s="1"/>
    </row>
    <row r="12082" spans="1:1">
      <c r="A12082" s="1"/>
    </row>
    <row r="12083" spans="1:1">
      <c r="A12083" s="1"/>
    </row>
    <row r="12084" spans="1:1">
      <c r="A12084" s="1"/>
    </row>
    <row r="12085" spans="1:1">
      <c r="A12085" s="1"/>
    </row>
    <row r="12086" spans="1:1">
      <c r="A12086" s="1"/>
    </row>
    <row r="12087" spans="1:1">
      <c r="A12087" s="1"/>
    </row>
    <row r="12088" spans="1:1">
      <c r="A12088" s="1"/>
    </row>
    <row r="12089" spans="1:1">
      <c r="A12089" s="1"/>
    </row>
    <row r="12090" spans="1:1">
      <c r="A12090" s="1"/>
    </row>
    <row r="12091" spans="1:1">
      <c r="A12091" s="1"/>
    </row>
    <row r="12092" spans="1:1">
      <c r="A12092" s="1"/>
    </row>
    <row r="12093" spans="1:1">
      <c r="A12093" s="1"/>
    </row>
    <row r="12094" spans="1:1">
      <c r="A12094" s="1"/>
    </row>
    <row r="12095" spans="1:1">
      <c r="A12095" s="1"/>
    </row>
    <row r="12096" spans="1:1">
      <c r="A12096" s="1"/>
    </row>
    <row r="12097" spans="1:1">
      <c r="A12097" s="1"/>
    </row>
    <row r="12098" spans="1:1">
      <c r="A12098" s="1"/>
    </row>
    <row r="12099" spans="1:1">
      <c r="A12099" s="1"/>
    </row>
    <row r="12100" spans="1:1">
      <c r="A12100" s="1"/>
    </row>
    <row r="12101" spans="1:1">
      <c r="A12101" s="1"/>
    </row>
    <row r="12102" spans="1:1">
      <c r="A12102" s="1"/>
    </row>
    <row r="12103" spans="1:1">
      <c r="A12103" s="1"/>
    </row>
    <row r="12104" spans="1:1">
      <c r="A12104" s="1"/>
    </row>
    <row r="12105" spans="1:1">
      <c r="A12105" s="1"/>
    </row>
    <row r="12106" spans="1:1">
      <c r="A12106" s="1"/>
    </row>
    <row r="12107" spans="1:1">
      <c r="A12107" s="1"/>
    </row>
    <row r="12108" spans="1:1">
      <c r="A12108" s="1"/>
    </row>
    <row r="12109" spans="1:1">
      <c r="A12109" s="1"/>
    </row>
    <row r="12110" spans="1:1">
      <c r="A12110" s="1"/>
    </row>
    <row r="12111" spans="1:1">
      <c r="A12111" s="1"/>
    </row>
    <row r="12112" spans="1:1">
      <c r="A12112" s="1"/>
    </row>
    <row r="12113" spans="1:1">
      <c r="A12113" s="1"/>
    </row>
    <row r="12114" spans="1:1">
      <c r="A12114" s="1"/>
    </row>
    <row r="12115" spans="1:1">
      <c r="A12115" s="1"/>
    </row>
    <row r="12116" spans="1:1">
      <c r="A12116" s="1"/>
    </row>
    <row r="12117" spans="1:1">
      <c r="A12117" s="1"/>
    </row>
    <row r="12118" spans="1:1">
      <c r="A12118" s="1"/>
    </row>
    <row r="12119" spans="1:1">
      <c r="A12119" s="1"/>
    </row>
    <row r="12120" spans="1:1">
      <c r="A12120" s="1"/>
    </row>
    <row r="12121" spans="1:1">
      <c r="A12121" s="1"/>
    </row>
    <row r="12122" spans="1:1">
      <c r="A12122" s="1"/>
    </row>
    <row r="12123" spans="1:1">
      <c r="A12123" s="1"/>
    </row>
    <row r="12124" spans="1:1">
      <c r="A12124" s="1"/>
    </row>
    <row r="12125" spans="1:1">
      <c r="A12125" s="1"/>
    </row>
    <row r="12126" spans="1:1">
      <c r="A12126" s="1"/>
    </row>
    <row r="12127" spans="1:1">
      <c r="A12127" s="1"/>
    </row>
    <row r="12128" spans="1:1">
      <c r="A12128" s="1"/>
    </row>
    <row r="12129" spans="1:1">
      <c r="A12129" s="1"/>
    </row>
    <row r="12130" spans="1:1">
      <c r="A12130" s="1"/>
    </row>
    <row r="12131" spans="1:1">
      <c r="A12131" s="1"/>
    </row>
    <row r="12132" spans="1:1">
      <c r="A12132" s="1"/>
    </row>
    <row r="12133" spans="1:1">
      <c r="A12133" s="1"/>
    </row>
    <row r="12134" spans="1:1">
      <c r="A12134" s="1"/>
    </row>
    <row r="12135" spans="1:1">
      <c r="A12135" s="1"/>
    </row>
    <row r="12136" spans="1:1">
      <c r="A12136" s="1"/>
    </row>
    <row r="12137" spans="1:1">
      <c r="A12137" s="1"/>
    </row>
    <row r="12138" spans="1:1">
      <c r="A12138" s="1"/>
    </row>
    <row r="12139" spans="1:1">
      <c r="A12139" s="1"/>
    </row>
    <row r="12140" spans="1:1">
      <c r="A12140" s="1"/>
    </row>
    <row r="12141" spans="1:1">
      <c r="A12141" s="1"/>
    </row>
    <row r="12142" spans="1:1">
      <c r="A12142" s="1"/>
    </row>
    <row r="12143" spans="1:1">
      <c r="A12143" s="1"/>
    </row>
    <row r="12144" spans="1:1">
      <c r="A12144" s="1"/>
    </row>
    <row r="12145" spans="1:1">
      <c r="A12145" s="1"/>
    </row>
    <row r="12146" spans="1:1">
      <c r="A12146" s="1"/>
    </row>
    <row r="12147" spans="1:1">
      <c r="A12147" s="1"/>
    </row>
    <row r="12148" spans="1:1">
      <c r="A12148" s="1"/>
    </row>
    <row r="12149" spans="1:1">
      <c r="A12149" s="1"/>
    </row>
    <row r="12150" spans="1:1">
      <c r="A12150" s="1"/>
    </row>
    <row r="12151" spans="1:1">
      <c r="A12151" s="1"/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  <row r="12177" spans="1:1">
      <c r="A12177" s="1"/>
    </row>
    <row r="12178" spans="1:1">
      <c r="A12178" s="1"/>
    </row>
    <row r="12179" spans="1:1">
      <c r="A12179" s="1"/>
    </row>
    <row r="12180" spans="1:1">
      <c r="A12180" s="1"/>
    </row>
    <row r="12181" spans="1:1">
      <c r="A12181" s="1"/>
    </row>
    <row r="12182" spans="1:1">
      <c r="A12182" s="1"/>
    </row>
    <row r="12183" spans="1:1">
      <c r="A12183" s="1"/>
    </row>
    <row r="12184" spans="1:1">
      <c r="A12184" s="1"/>
    </row>
    <row r="12185" spans="1:1">
      <c r="A12185" s="1"/>
    </row>
    <row r="12186" spans="1:1">
      <c r="A12186" s="1"/>
    </row>
    <row r="12187" spans="1:1">
      <c r="A12187" s="1"/>
    </row>
    <row r="12188" spans="1:1">
      <c r="A12188" s="1"/>
    </row>
    <row r="12189" spans="1:1">
      <c r="A12189" s="1"/>
    </row>
    <row r="12190" spans="1:1">
      <c r="A12190" s="1"/>
    </row>
    <row r="12191" spans="1:1">
      <c r="A12191" s="1"/>
    </row>
    <row r="12192" spans="1:1">
      <c r="A12192" s="1"/>
    </row>
    <row r="12193" spans="1:1">
      <c r="A12193" s="1"/>
    </row>
    <row r="12194" spans="1:1">
      <c r="A12194" s="1"/>
    </row>
    <row r="12195" spans="1:1">
      <c r="A12195" s="1"/>
    </row>
    <row r="12196" spans="1:1">
      <c r="A12196" s="1"/>
    </row>
    <row r="12197" spans="1:1">
      <c r="A12197" s="1"/>
    </row>
    <row r="12198" spans="1:1">
      <c r="A12198" s="1"/>
    </row>
    <row r="12199" spans="1:1">
      <c r="A12199" s="1"/>
    </row>
    <row r="12200" spans="1:1">
      <c r="A12200" s="1"/>
    </row>
    <row r="12201" spans="1:1">
      <c r="A12201" s="1"/>
    </row>
    <row r="12202" spans="1:1">
      <c r="A12202" s="1"/>
    </row>
    <row r="12203" spans="1:1">
      <c r="A12203" s="1"/>
    </row>
    <row r="12204" spans="1:1">
      <c r="A12204" s="1"/>
    </row>
    <row r="12205" spans="1:1">
      <c r="A12205" s="1"/>
    </row>
    <row r="12206" spans="1:1">
      <c r="A12206" s="1"/>
    </row>
    <row r="12207" spans="1:1">
      <c r="A12207" s="1"/>
    </row>
    <row r="12208" spans="1:1">
      <c r="A12208" s="1"/>
    </row>
    <row r="12209" spans="1:1">
      <c r="A12209" s="1"/>
    </row>
    <row r="12210" spans="1:1">
      <c r="A12210" s="1"/>
    </row>
    <row r="12211" spans="1:1">
      <c r="A12211" s="1"/>
    </row>
    <row r="12212" spans="1:1">
      <c r="A12212" s="1"/>
    </row>
    <row r="12213" spans="1:1">
      <c r="A12213" s="1"/>
    </row>
    <row r="12214" spans="1:1">
      <c r="A12214" s="1"/>
    </row>
    <row r="12215" spans="1:1">
      <c r="A12215" s="1"/>
    </row>
    <row r="12216" spans="1:1">
      <c r="A12216" s="1"/>
    </row>
    <row r="12217" spans="1:1">
      <c r="A12217" s="1"/>
    </row>
    <row r="12218" spans="1:1">
      <c r="A12218" s="1"/>
    </row>
    <row r="12219" spans="1:1">
      <c r="A12219" s="1"/>
    </row>
    <row r="12220" spans="1:1">
      <c r="A12220" s="1"/>
    </row>
    <row r="12221" spans="1:1">
      <c r="A12221" s="1"/>
    </row>
    <row r="12222" spans="1:1">
      <c r="A12222" s="1"/>
    </row>
    <row r="12223" spans="1:1">
      <c r="A12223" s="1"/>
    </row>
    <row r="12224" spans="1:1">
      <c r="A12224" s="1"/>
    </row>
    <row r="12225" spans="1:1">
      <c r="A12225" s="1"/>
    </row>
    <row r="12226" spans="1:1">
      <c r="A12226" s="1"/>
    </row>
    <row r="12227" spans="1:1">
      <c r="A12227" s="1"/>
    </row>
    <row r="12228" spans="1:1">
      <c r="A12228" s="1"/>
    </row>
    <row r="12229" spans="1:1">
      <c r="A12229" s="1"/>
    </row>
    <row r="12230" spans="1:1">
      <c r="A12230" s="1"/>
    </row>
    <row r="12231" spans="1:1">
      <c r="A12231" s="1"/>
    </row>
    <row r="12232" spans="1:1">
      <c r="A12232" s="1"/>
    </row>
    <row r="12233" spans="1:1">
      <c r="A12233" s="1"/>
    </row>
    <row r="12234" spans="1:1">
      <c r="A12234" s="1"/>
    </row>
    <row r="12235" spans="1:1">
      <c r="A12235" s="1"/>
    </row>
    <row r="12236" spans="1:1">
      <c r="A12236" s="1"/>
    </row>
    <row r="12237" spans="1:1">
      <c r="A12237" s="1"/>
    </row>
    <row r="12238" spans="1:1">
      <c r="A12238" s="1"/>
    </row>
    <row r="12239" spans="1:1">
      <c r="A12239" s="1"/>
    </row>
    <row r="12240" spans="1:1">
      <c r="A12240" s="1"/>
    </row>
    <row r="12241" spans="1:1">
      <c r="A12241" s="1"/>
    </row>
    <row r="12242" spans="1:1">
      <c r="A12242" s="1"/>
    </row>
    <row r="12243" spans="1:1">
      <c r="A12243" s="1"/>
    </row>
    <row r="12244" spans="1:1">
      <c r="A12244" s="1"/>
    </row>
    <row r="12245" spans="1:1">
      <c r="A12245" s="1"/>
    </row>
    <row r="12246" spans="1:1">
      <c r="A12246" s="1"/>
    </row>
    <row r="12247" spans="1:1">
      <c r="A12247" s="1"/>
    </row>
    <row r="12248" spans="1:1">
      <c r="A12248" s="1"/>
    </row>
    <row r="12249" spans="1:1">
      <c r="A12249" s="1"/>
    </row>
    <row r="12250" spans="1:1">
      <c r="A12250" s="1"/>
    </row>
    <row r="12251" spans="1:1">
      <c r="A12251" s="1"/>
    </row>
    <row r="12252" spans="1:1">
      <c r="A12252" s="1"/>
    </row>
    <row r="12253" spans="1:1">
      <c r="A12253" s="1"/>
    </row>
    <row r="12254" spans="1:1">
      <c r="A12254" s="1"/>
    </row>
    <row r="12255" spans="1:1">
      <c r="A12255" s="1"/>
    </row>
    <row r="12256" spans="1:1">
      <c r="A12256" s="1"/>
    </row>
    <row r="12257" spans="1:1">
      <c r="A12257" s="1"/>
    </row>
    <row r="12258" spans="1:1">
      <c r="A12258" s="1"/>
    </row>
    <row r="12259" spans="1:1">
      <c r="A12259" s="1"/>
    </row>
    <row r="12260" spans="1:1">
      <c r="A12260" s="1"/>
    </row>
    <row r="12261" spans="1:1">
      <c r="A12261" s="1"/>
    </row>
    <row r="12262" spans="1:1">
      <c r="A12262" s="1"/>
    </row>
    <row r="12263" spans="1:1">
      <c r="A12263" s="1"/>
    </row>
    <row r="12264" spans="1:1">
      <c r="A12264" s="1"/>
    </row>
    <row r="12265" spans="1:1">
      <c r="A12265" s="1"/>
    </row>
    <row r="12266" spans="1:1">
      <c r="A12266" s="1"/>
    </row>
    <row r="12267" spans="1:1">
      <c r="A12267" s="1"/>
    </row>
    <row r="12268" spans="1:1">
      <c r="A12268" s="1"/>
    </row>
    <row r="12269" spans="1:1">
      <c r="A12269" s="1"/>
    </row>
    <row r="12270" spans="1:1">
      <c r="A12270" s="1"/>
    </row>
    <row r="12271" spans="1:1">
      <c r="A12271" s="1"/>
    </row>
    <row r="12272" spans="1:1">
      <c r="A12272" s="1"/>
    </row>
    <row r="12273" spans="1:1">
      <c r="A12273" s="1"/>
    </row>
    <row r="12274" spans="1:1">
      <c r="A12274" s="1"/>
    </row>
    <row r="12275" spans="1:1">
      <c r="A12275" s="1"/>
    </row>
    <row r="12276" spans="1:1">
      <c r="A12276" s="1"/>
    </row>
    <row r="12277" spans="1:1">
      <c r="A12277" s="1"/>
    </row>
    <row r="12278" spans="1:1">
      <c r="A12278" s="1"/>
    </row>
    <row r="12279" spans="1:1">
      <c r="A12279" s="1"/>
    </row>
    <row r="12280" spans="1:1">
      <c r="A12280" s="1"/>
    </row>
    <row r="12281" spans="1:1">
      <c r="A12281" s="1"/>
    </row>
    <row r="12282" spans="1:1">
      <c r="A12282" s="1"/>
    </row>
    <row r="12283" spans="1:1">
      <c r="A12283" s="1"/>
    </row>
    <row r="12284" spans="1:1">
      <c r="A12284" s="1"/>
    </row>
    <row r="12285" spans="1:1">
      <c r="A12285" s="1"/>
    </row>
    <row r="12286" spans="1:1">
      <c r="A12286" s="1"/>
    </row>
    <row r="12287" spans="1:1">
      <c r="A12287" s="1"/>
    </row>
    <row r="12288" spans="1:1">
      <c r="A12288" s="1"/>
    </row>
    <row r="12289" spans="1:1">
      <c r="A12289" s="1"/>
    </row>
    <row r="12290" spans="1:1">
      <c r="A12290" s="1"/>
    </row>
    <row r="12291" spans="1:1">
      <c r="A12291" s="1"/>
    </row>
    <row r="12292" spans="1:1">
      <c r="A12292" s="1"/>
    </row>
    <row r="12293" spans="1:1">
      <c r="A12293" s="1"/>
    </row>
    <row r="12294" spans="1:1">
      <c r="A12294" s="1"/>
    </row>
    <row r="12295" spans="1:1">
      <c r="A12295" s="1"/>
    </row>
    <row r="12296" spans="1:1">
      <c r="A12296" s="1"/>
    </row>
    <row r="12297" spans="1:1">
      <c r="A12297" s="1"/>
    </row>
    <row r="12298" spans="1:1">
      <c r="A12298" s="1"/>
    </row>
    <row r="12299" spans="1:1">
      <c r="A12299" s="1"/>
    </row>
    <row r="12300" spans="1:1">
      <c r="A12300" s="1"/>
    </row>
    <row r="12301" spans="1:1">
      <c r="A12301" s="1"/>
    </row>
    <row r="12302" spans="1:1">
      <c r="A12302" s="1"/>
    </row>
    <row r="12303" spans="1:1">
      <c r="A12303" s="1"/>
    </row>
    <row r="12304" spans="1:1">
      <c r="A12304" s="1"/>
    </row>
    <row r="12305" spans="1:1">
      <c r="A12305" s="1"/>
    </row>
    <row r="12306" spans="1:1">
      <c r="A12306" s="1"/>
    </row>
    <row r="12307" spans="1:1">
      <c r="A12307" s="1"/>
    </row>
    <row r="12308" spans="1:1">
      <c r="A12308" s="1"/>
    </row>
    <row r="12309" spans="1:1">
      <c r="A12309" s="1"/>
    </row>
    <row r="12310" spans="1:1">
      <c r="A12310" s="1"/>
    </row>
    <row r="12311" spans="1:1">
      <c r="A12311" s="1"/>
    </row>
    <row r="12312" spans="1:1">
      <c r="A12312" s="1"/>
    </row>
    <row r="12313" spans="1:1">
      <c r="A12313" s="1"/>
    </row>
    <row r="12314" spans="1:1">
      <c r="A12314" s="1"/>
    </row>
    <row r="12315" spans="1:1">
      <c r="A12315" s="1"/>
    </row>
    <row r="12316" spans="1:1">
      <c r="A12316" s="1"/>
    </row>
    <row r="12317" spans="1:1">
      <c r="A12317" s="1"/>
    </row>
    <row r="12318" spans="1:1">
      <c r="A12318" s="1"/>
    </row>
    <row r="12319" spans="1:1">
      <c r="A12319" s="1"/>
    </row>
    <row r="12320" spans="1:1">
      <c r="A12320" s="1"/>
    </row>
    <row r="12321" spans="1:1">
      <c r="A12321" s="1"/>
    </row>
    <row r="12322" spans="1:1">
      <c r="A12322" s="1"/>
    </row>
    <row r="12323" spans="1:1">
      <c r="A12323" s="1"/>
    </row>
    <row r="12324" spans="1:1">
      <c r="A12324" s="1"/>
    </row>
    <row r="12325" spans="1:1">
      <c r="A12325" s="1"/>
    </row>
    <row r="12326" spans="1:1">
      <c r="A12326" s="1"/>
    </row>
    <row r="12327" spans="1:1">
      <c r="A12327" s="1"/>
    </row>
    <row r="12328" spans="1:1">
      <c r="A12328" s="1"/>
    </row>
    <row r="12329" spans="1:1">
      <c r="A12329" s="1"/>
    </row>
    <row r="12330" spans="1:1">
      <c r="A12330" s="1"/>
    </row>
    <row r="12331" spans="1:1">
      <c r="A12331" s="1"/>
    </row>
    <row r="12332" spans="1:1">
      <c r="A12332" s="1"/>
    </row>
    <row r="12333" spans="1:1">
      <c r="A12333" s="1"/>
    </row>
    <row r="12334" spans="1:1">
      <c r="A12334" s="1"/>
    </row>
    <row r="12335" spans="1:1">
      <c r="A12335" s="1"/>
    </row>
    <row r="12336" spans="1:1">
      <c r="A12336" s="1"/>
    </row>
    <row r="12337" spans="1:1">
      <c r="A12337" s="1"/>
    </row>
    <row r="12338" spans="1:1">
      <c r="A12338" s="1"/>
    </row>
    <row r="12339" spans="1:1">
      <c r="A12339" s="1"/>
    </row>
    <row r="12340" spans="1:1">
      <c r="A12340" s="1"/>
    </row>
    <row r="12341" spans="1:1">
      <c r="A12341" s="1"/>
    </row>
    <row r="12342" spans="1:1">
      <c r="A12342" s="1"/>
    </row>
    <row r="12343" spans="1:1">
      <c r="A12343" s="1"/>
    </row>
    <row r="12344" spans="1:1">
      <c r="A12344" s="1"/>
    </row>
    <row r="12345" spans="1:1">
      <c r="A12345" s="1"/>
    </row>
    <row r="12346" spans="1:1">
      <c r="A12346" s="1"/>
    </row>
    <row r="12347" spans="1:1">
      <c r="A12347" s="1"/>
    </row>
    <row r="12348" spans="1:1">
      <c r="A12348" s="1"/>
    </row>
    <row r="12349" spans="1:1">
      <c r="A12349" s="1"/>
    </row>
    <row r="12350" spans="1:1">
      <c r="A12350" s="1"/>
    </row>
    <row r="12351" spans="1:1">
      <c r="A12351" s="1"/>
    </row>
    <row r="12352" spans="1:1">
      <c r="A12352" s="1"/>
    </row>
    <row r="12353" spans="1:1">
      <c r="A12353" s="1"/>
    </row>
    <row r="12354" spans="1:1">
      <c r="A12354" s="1"/>
    </row>
    <row r="12355" spans="1:1">
      <c r="A12355" s="1"/>
    </row>
    <row r="12356" spans="1:1">
      <c r="A12356" s="1"/>
    </row>
    <row r="12357" spans="1:1">
      <c r="A12357" s="1"/>
    </row>
    <row r="12358" spans="1:1">
      <c r="A12358" s="1"/>
    </row>
    <row r="12359" spans="1:1">
      <c r="A12359" s="1"/>
    </row>
    <row r="12360" spans="1:1">
      <c r="A12360" s="1"/>
    </row>
    <row r="12361" spans="1:1">
      <c r="A12361" s="1"/>
    </row>
    <row r="12362" spans="1:1">
      <c r="A12362" s="1"/>
    </row>
    <row r="12363" spans="1:1">
      <c r="A12363" s="1"/>
    </row>
    <row r="12364" spans="1:1">
      <c r="A12364" s="1"/>
    </row>
    <row r="12365" spans="1:1">
      <c r="A12365" s="1"/>
    </row>
    <row r="12366" spans="1:1">
      <c r="A12366" s="1"/>
    </row>
    <row r="12367" spans="1:1">
      <c r="A12367" s="1"/>
    </row>
    <row r="12368" spans="1:1">
      <c r="A12368" s="1"/>
    </row>
    <row r="12369" spans="1:1">
      <c r="A12369" s="1"/>
    </row>
    <row r="12370" spans="1:1">
      <c r="A12370" s="1"/>
    </row>
    <row r="12371" spans="1:1">
      <c r="A12371" s="1"/>
    </row>
    <row r="12372" spans="1:1">
      <c r="A12372" s="1"/>
    </row>
    <row r="12373" spans="1:1">
      <c r="A12373" s="1"/>
    </row>
    <row r="12374" spans="1:1">
      <c r="A12374" s="1"/>
    </row>
    <row r="12375" spans="1:1">
      <c r="A12375" s="1"/>
    </row>
    <row r="12376" spans="1:1">
      <c r="A12376" s="1"/>
    </row>
    <row r="12377" spans="1:1">
      <c r="A12377" s="1"/>
    </row>
    <row r="12378" spans="1:1">
      <c r="A12378" s="1"/>
    </row>
    <row r="12379" spans="1:1">
      <c r="A12379" s="1"/>
    </row>
    <row r="12380" spans="1:1">
      <c r="A12380" s="1"/>
    </row>
    <row r="12381" spans="1:1">
      <c r="A12381" s="1"/>
    </row>
    <row r="12382" spans="1:1">
      <c r="A12382" s="1"/>
    </row>
    <row r="12383" spans="1:1">
      <c r="A12383" s="1"/>
    </row>
    <row r="12384" spans="1:1">
      <c r="A12384" s="1"/>
    </row>
    <row r="12385" spans="1:1">
      <c r="A12385" s="1"/>
    </row>
    <row r="12386" spans="1:1">
      <c r="A12386" s="1"/>
    </row>
    <row r="12387" spans="1:1">
      <c r="A12387" s="1"/>
    </row>
    <row r="12388" spans="1:1">
      <c r="A12388" s="1"/>
    </row>
    <row r="12389" spans="1:1">
      <c r="A12389" s="1"/>
    </row>
    <row r="12390" spans="1:1">
      <c r="A12390" s="1"/>
    </row>
    <row r="12391" spans="1:1">
      <c r="A12391" s="1"/>
    </row>
    <row r="12392" spans="1:1">
      <c r="A12392" s="1"/>
    </row>
    <row r="12393" spans="1:1">
      <c r="A12393" s="1"/>
    </row>
    <row r="12394" spans="1:1">
      <c r="A12394" s="1"/>
    </row>
    <row r="12395" spans="1:1">
      <c r="A12395" s="1"/>
    </row>
    <row r="12396" spans="1:1">
      <c r="A12396" s="1"/>
    </row>
    <row r="12397" spans="1:1">
      <c r="A12397" s="1"/>
    </row>
    <row r="12398" spans="1:1">
      <c r="A12398" s="1"/>
    </row>
    <row r="12399" spans="1:1">
      <c r="A12399" s="1"/>
    </row>
    <row r="12400" spans="1:1">
      <c r="A12400" s="1"/>
    </row>
    <row r="12401" spans="1:1">
      <c r="A12401" s="1"/>
    </row>
    <row r="12402" spans="1:1">
      <c r="A12402" s="1"/>
    </row>
    <row r="12403" spans="1:1">
      <c r="A12403" s="1"/>
    </row>
    <row r="12404" spans="1:1">
      <c r="A12404" s="1"/>
    </row>
    <row r="12405" spans="1:1">
      <c r="A12405" s="1"/>
    </row>
    <row r="12406" spans="1:1">
      <c r="A12406" s="1"/>
    </row>
    <row r="12407" spans="1:1">
      <c r="A12407" s="1"/>
    </row>
    <row r="12408" spans="1:1">
      <c r="A12408" s="1"/>
    </row>
    <row r="12409" spans="1:1">
      <c r="A12409" s="1"/>
    </row>
    <row r="12410" spans="1:1">
      <c r="A12410" s="1"/>
    </row>
    <row r="12411" spans="1:1">
      <c r="A12411" s="1"/>
    </row>
    <row r="12412" spans="1:1">
      <c r="A12412" s="1"/>
    </row>
    <row r="12413" spans="1:1">
      <c r="A12413" s="1"/>
    </row>
    <row r="12414" spans="1:1">
      <c r="A12414" s="1"/>
    </row>
    <row r="12415" spans="1:1">
      <c r="A12415" s="1"/>
    </row>
    <row r="12416" spans="1:1">
      <c r="A12416" s="1"/>
    </row>
    <row r="12417" spans="1:1">
      <c r="A12417" s="1"/>
    </row>
    <row r="12418" spans="1:1">
      <c r="A12418" s="1"/>
    </row>
    <row r="12419" spans="1:1">
      <c r="A12419" s="1"/>
    </row>
    <row r="12420" spans="1:1">
      <c r="A12420" s="1"/>
    </row>
    <row r="12421" spans="1:1">
      <c r="A12421" s="1"/>
    </row>
    <row r="12422" spans="1:1">
      <c r="A12422" s="1"/>
    </row>
    <row r="12423" spans="1:1">
      <c r="A12423" s="1"/>
    </row>
    <row r="12424" spans="1:1">
      <c r="A12424" s="1"/>
    </row>
    <row r="12425" spans="1:1">
      <c r="A12425" s="1"/>
    </row>
    <row r="12426" spans="1:1">
      <c r="A12426" s="1"/>
    </row>
    <row r="12427" spans="1:1">
      <c r="A12427" s="1"/>
    </row>
    <row r="12428" spans="1:1">
      <c r="A12428" s="1"/>
    </row>
    <row r="12429" spans="1:1">
      <c r="A12429" s="1"/>
    </row>
    <row r="12430" spans="1:1">
      <c r="A12430" s="1"/>
    </row>
    <row r="12431" spans="1:1">
      <c r="A12431" s="1"/>
    </row>
    <row r="12432" spans="1:1">
      <c r="A12432" s="1"/>
    </row>
    <row r="12433" spans="1:1">
      <c r="A12433" s="1"/>
    </row>
    <row r="12434" spans="1:1">
      <c r="A12434" s="1"/>
    </row>
    <row r="12435" spans="1:1">
      <c r="A12435" s="1"/>
    </row>
    <row r="12436" spans="1:1">
      <c r="A12436" s="1"/>
    </row>
    <row r="12437" spans="1:1">
      <c r="A12437" s="1"/>
    </row>
    <row r="12438" spans="1:1">
      <c r="A12438" s="1"/>
    </row>
    <row r="12439" spans="1:1">
      <c r="A12439" s="1"/>
    </row>
    <row r="12440" spans="1:1">
      <c r="A12440" s="1"/>
    </row>
    <row r="12441" spans="1:1">
      <c r="A12441" s="1"/>
    </row>
    <row r="12442" spans="1:1">
      <c r="A12442" s="1"/>
    </row>
    <row r="12443" spans="1:1">
      <c r="A12443" s="1"/>
    </row>
    <row r="12444" spans="1:1">
      <c r="A12444" s="1"/>
    </row>
    <row r="12445" spans="1:1">
      <c r="A12445" s="1"/>
    </row>
    <row r="12446" spans="1:1">
      <c r="A12446" s="1"/>
    </row>
    <row r="12447" spans="1:1">
      <c r="A12447" s="1"/>
    </row>
    <row r="12448" spans="1:1">
      <c r="A12448" s="1"/>
    </row>
    <row r="12449" spans="1:1">
      <c r="A12449" s="1"/>
    </row>
    <row r="12450" spans="1:1">
      <c r="A12450" s="1"/>
    </row>
    <row r="12451" spans="1:1">
      <c r="A12451" s="1"/>
    </row>
    <row r="12452" spans="1:1">
      <c r="A12452" s="1"/>
    </row>
    <row r="12453" spans="1:1">
      <c r="A12453" s="1"/>
    </row>
    <row r="12454" spans="1:1">
      <c r="A12454" s="1"/>
    </row>
    <row r="12455" spans="1:1">
      <c r="A12455" s="1"/>
    </row>
    <row r="12456" spans="1:1">
      <c r="A12456" s="1"/>
    </row>
    <row r="12457" spans="1:1">
      <c r="A12457" s="1"/>
    </row>
    <row r="12458" spans="1:1">
      <c r="A12458" s="1"/>
    </row>
    <row r="12459" spans="1:1">
      <c r="A12459" s="1"/>
    </row>
    <row r="12460" spans="1:1">
      <c r="A12460" s="1"/>
    </row>
    <row r="12461" spans="1:1">
      <c r="A12461" s="1"/>
    </row>
    <row r="12462" spans="1:1">
      <c r="A12462" s="1"/>
    </row>
    <row r="12463" spans="1:1">
      <c r="A12463" s="1"/>
    </row>
    <row r="12464" spans="1:1">
      <c r="A12464" s="1"/>
    </row>
    <row r="12465" spans="1:1">
      <c r="A12465" s="1"/>
    </row>
    <row r="12466" spans="1:1">
      <c r="A12466" s="1"/>
    </row>
    <row r="12467" spans="1:1">
      <c r="A12467" s="1"/>
    </row>
    <row r="12468" spans="1:1">
      <c r="A12468" s="1"/>
    </row>
    <row r="12469" spans="1:1">
      <c r="A12469" s="1"/>
    </row>
    <row r="12470" spans="1:1">
      <c r="A12470" s="1"/>
    </row>
    <row r="12471" spans="1:1">
      <c r="A12471" s="1"/>
    </row>
    <row r="12472" spans="1:1">
      <c r="A12472" s="1"/>
    </row>
    <row r="12473" spans="1:1">
      <c r="A12473" s="1"/>
    </row>
    <row r="12474" spans="1:1">
      <c r="A12474" s="1"/>
    </row>
    <row r="12475" spans="1:1">
      <c r="A12475" s="1"/>
    </row>
    <row r="12476" spans="1:1">
      <c r="A12476" s="1"/>
    </row>
    <row r="12477" spans="1:1">
      <c r="A12477" s="1"/>
    </row>
    <row r="12478" spans="1:1">
      <c r="A12478" s="1"/>
    </row>
    <row r="12479" spans="1:1">
      <c r="A12479" s="1"/>
    </row>
    <row r="12480" spans="1:1">
      <c r="A12480" s="1"/>
    </row>
    <row r="12481" spans="1:1">
      <c r="A12481" s="1"/>
    </row>
    <row r="12482" spans="1:1">
      <c r="A12482" s="1"/>
    </row>
    <row r="12483" spans="1:1">
      <c r="A12483" s="1"/>
    </row>
    <row r="12484" spans="1:1">
      <c r="A12484" s="1"/>
    </row>
    <row r="12485" spans="1:1">
      <c r="A12485" s="1"/>
    </row>
    <row r="12486" spans="1:1">
      <c r="A12486" s="1"/>
    </row>
    <row r="12487" spans="1:1">
      <c r="A12487" s="1"/>
    </row>
    <row r="12488" spans="1:1">
      <c r="A12488" s="1"/>
    </row>
    <row r="12489" spans="1:1">
      <c r="A12489" s="1"/>
    </row>
    <row r="12490" spans="1:1">
      <c r="A12490" s="1"/>
    </row>
    <row r="12491" spans="1:1">
      <c r="A12491" s="1"/>
    </row>
    <row r="12492" spans="1:1">
      <c r="A12492" s="1"/>
    </row>
    <row r="12493" spans="1:1">
      <c r="A12493" s="1"/>
    </row>
    <row r="12494" spans="1:1">
      <c r="A12494" s="1"/>
    </row>
    <row r="12495" spans="1:1">
      <c r="A12495" s="1"/>
    </row>
    <row r="12496" spans="1:1">
      <c r="A12496" s="1"/>
    </row>
    <row r="12497" spans="1:1">
      <c r="A12497" s="1"/>
    </row>
    <row r="12498" spans="1:1">
      <c r="A12498" s="1"/>
    </row>
    <row r="12499" spans="1:1">
      <c r="A12499" s="1"/>
    </row>
    <row r="12500" spans="1:1">
      <c r="A12500" s="1"/>
    </row>
    <row r="12501" spans="1:1">
      <c r="A12501" s="1"/>
    </row>
    <row r="12502" spans="1:1">
      <c r="A12502" s="1"/>
    </row>
    <row r="12503" spans="1:1">
      <c r="A12503" s="1"/>
    </row>
    <row r="12504" spans="1:1">
      <c r="A12504" s="1"/>
    </row>
    <row r="12505" spans="1:1">
      <c r="A12505" s="1"/>
    </row>
    <row r="12506" spans="1:1">
      <c r="A12506" s="1"/>
    </row>
    <row r="12507" spans="1:1">
      <c r="A12507" s="1"/>
    </row>
    <row r="12508" spans="1:1">
      <c r="A12508" s="1"/>
    </row>
    <row r="12509" spans="1:1">
      <c r="A12509" s="1"/>
    </row>
    <row r="12510" spans="1:1">
      <c r="A12510" s="1"/>
    </row>
    <row r="12511" spans="1:1">
      <c r="A12511" s="1"/>
    </row>
    <row r="12512" spans="1:1">
      <c r="A12512" s="1"/>
    </row>
    <row r="12513" spans="1:1">
      <c r="A12513" s="1"/>
    </row>
    <row r="12514" spans="1:1">
      <c r="A12514" s="1"/>
    </row>
    <row r="12515" spans="1:1">
      <c r="A12515" s="1"/>
    </row>
    <row r="12516" spans="1:1">
      <c r="A12516" s="1"/>
    </row>
    <row r="12517" spans="1:1">
      <c r="A12517" s="1"/>
    </row>
    <row r="12518" spans="1:1">
      <c r="A12518" s="1"/>
    </row>
    <row r="12519" spans="1:1">
      <c r="A12519" s="1"/>
    </row>
    <row r="12520" spans="1:1">
      <c r="A12520" s="1"/>
    </row>
    <row r="12521" spans="1:1">
      <c r="A12521" s="1"/>
    </row>
    <row r="12522" spans="1:1">
      <c r="A12522" s="1"/>
    </row>
    <row r="12523" spans="1:1">
      <c r="A12523" s="1"/>
    </row>
    <row r="12524" spans="1:1">
      <c r="A12524" s="1"/>
    </row>
    <row r="12525" spans="1:1">
      <c r="A12525" s="1"/>
    </row>
    <row r="12526" spans="1:1">
      <c r="A12526" s="1"/>
    </row>
    <row r="12527" spans="1:1">
      <c r="A12527" s="1"/>
    </row>
    <row r="12528" spans="1:1">
      <c r="A12528" s="1"/>
    </row>
    <row r="12529" spans="1:1">
      <c r="A12529" s="1"/>
    </row>
    <row r="12530" spans="1:1">
      <c r="A12530" s="1"/>
    </row>
    <row r="12531" spans="1:1">
      <c r="A12531" s="1"/>
    </row>
    <row r="12532" spans="1:1">
      <c r="A12532" s="1"/>
    </row>
    <row r="12533" spans="1:1">
      <c r="A12533" s="1"/>
    </row>
    <row r="12534" spans="1:1">
      <c r="A12534" s="1"/>
    </row>
    <row r="12535" spans="1:1">
      <c r="A12535" s="1"/>
    </row>
    <row r="12536" spans="1:1">
      <c r="A12536" s="1"/>
    </row>
    <row r="12537" spans="1:1">
      <c r="A12537" s="1"/>
    </row>
    <row r="12538" spans="1:1">
      <c r="A12538" s="1"/>
    </row>
    <row r="12539" spans="1:1">
      <c r="A12539" s="1"/>
    </row>
    <row r="12540" spans="1:1">
      <c r="A12540" s="1"/>
    </row>
    <row r="12541" spans="1:1">
      <c r="A12541" s="1"/>
    </row>
    <row r="12542" spans="1:1">
      <c r="A12542" s="1"/>
    </row>
    <row r="12543" spans="1:1">
      <c r="A12543" s="1"/>
    </row>
    <row r="12544" spans="1:1">
      <c r="A12544" s="1"/>
    </row>
    <row r="12545" spans="1:1">
      <c r="A12545" s="1"/>
    </row>
    <row r="12546" spans="1:1">
      <c r="A12546" s="1"/>
    </row>
    <row r="12547" spans="1:1">
      <c r="A12547" s="1"/>
    </row>
    <row r="12548" spans="1:1">
      <c r="A12548" s="1"/>
    </row>
    <row r="12549" spans="1:1">
      <c r="A12549" s="1"/>
    </row>
    <row r="12550" spans="1:1">
      <c r="A12550" s="1"/>
    </row>
    <row r="12551" spans="1:1">
      <c r="A12551" s="1"/>
    </row>
    <row r="12552" spans="1:1">
      <c r="A12552" s="1"/>
    </row>
    <row r="12553" spans="1:1">
      <c r="A12553" s="1"/>
    </row>
    <row r="12554" spans="1:1">
      <c r="A12554" s="1"/>
    </row>
    <row r="12555" spans="1:1">
      <c r="A12555" s="1"/>
    </row>
    <row r="12556" spans="1:1">
      <c r="A12556" s="1"/>
    </row>
    <row r="12557" spans="1:1">
      <c r="A12557" s="1"/>
    </row>
    <row r="12558" spans="1:1">
      <c r="A12558" s="1"/>
    </row>
    <row r="12559" spans="1:1">
      <c r="A12559" s="1"/>
    </row>
    <row r="12560" spans="1:1">
      <c r="A12560" s="1"/>
    </row>
    <row r="12561" spans="1:1">
      <c r="A12561" s="1"/>
    </row>
    <row r="12562" spans="1:1">
      <c r="A12562" s="1"/>
    </row>
    <row r="12563" spans="1:1">
      <c r="A12563" s="1"/>
    </row>
    <row r="12564" spans="1:1">
      <c r="A12564" s="1"/>
    </row>
    <row r="12565" spans="1:1">
      <c r="A12565" s="1"/>
    </row>
    <row r="12566" spans="1:1">
      <c r="A12566" s="1"/>
    </row>
    <row r="12567" spans="1:1">
      <c r="A12567" s="1"/>
    </row>
    <row r="12568" spans="1:1">
      <c r="A12568" s="1"/>
    </row>
    <row r="12569" spans="1:1">
      <c r="A12569" s="1"/>
    </row>
    <row r="12570" spans="1:1">
      <c r="A12570" s="1"/>
    </row>
    <row r="12571" spans="1:1">
      <c r="A12571" s="1"/>
    </row>
    <row r="12572" spans="1:1">
      <c r="A12572" s="1"/>
    </row>
    <row r="12573" spans="1:1">
      <c r="A12573" s="1"/>
    </row>
    <row r="12574" spans="1:1">
      <c r="A12574" s="1"/>
    </row>
    <row r="12575" spans="1:1">
      <c r="A12575" s="1"/>
    </row>
    <row r="12576" spans="1:1">
      <c r="A12576" s="1"/>
    </row>
    <row r="12577" spans="1:1">
      <c r="A12577" s="1"/>
    </row>
    <row r="12578" spans="1:1">
      <c r="A12578" s="1"/>
    </row>
    <row r="12579" spans="1:1">
      <c r="A12579" s="1"/>
    </row>
    <row r="12580" spans="1:1">
      <c r="A12580" s="1"/>
    </row>
    <row r="12581" spans="1:1">
      <c r="A12581" s="1"/>
    </row>
    <row r="12582" spans="1:1">
      <c r="A12582" s="1"/>
    </row>
    <row r="12583" spans="1:1">
      <c r="A12583" s="1"/>
    </row>
    <row r="12584" spans="1:1">
      <c r="A12584" s="1"/>
    </row>
    <row r="12585" spans="1:1">
      <c r="A12585" s="1"/>
    </row>
    <row r="12586" spans="1:1">
      <c r="A12586" s="1"/>
    </row>
    <row r="12587" spans="1:1">
      <c r="A12587" s="1"/>
    </row>
    <row r="12588" spans="1:1">
      <c r="A12588" s="1"/>
    </row>
    <row r="12589" spans="1:1">
      <c r="A12589" s="1"/>
    </row>
    <row r="12590" spans="1:1">
      <c r="A12590" s="1"/>
    </row>
    <row r="12591" spans="1:1">
      <c r="A12591" s="1"/>
    </row>
    <row r="12592" spans="1:1">
      <c r="A12592" s="1"/>
    </row>
    <row r="12593" spans="1:1">
      <c r="A12593" s="1"/>
    </row>
    <row r="12594" spans="1:1">
      <c r="A12594" s="1"/>
    </row>
    <row r="12595" spans="1:1">
      <c r="A12595" s="1"/>
    </row>
    <row r="12596" spans="1:1">
      <c r="A12596" s="1"/>
    </row>
    <row r="12597" spans="1:1">
      <c r="A12597" s="1"/>
    </row>
    <row r="12598" spans="1:1">
      <c r="A12598" s="1"/>
    </row>
    <row r="12599" spans="1:1">
      <c r="A12599" s="1"/>
    </row>
    <row r="12600" spans="1:1">
      <c r="A12600" s="1"/>
    </row>
    <row r="12601" spans="1:1">
      <c r="A12601" s="1"/>
    </row>
    <row r="12602" spans="1:1">
      <c r="A12602" s="1"/>
    </row>
    <row r="12603" spans="1:1">
      <c r="A12603" s="1"/>
    </row>
    <row r="12604" spans="1:1">
      <c r="A12604" s="1"/>
    </row>
    <row r="12605" spans="1:1">
      <c r="A12605" s="1"/>
    </row>
    <row r="12606" spans="1:1">
      <c r="A12606" s="1"/>
    </row>
    <row r="12607" spans="1:1">
      <c r="A12607" s="1"/>
    </row>
    <row r="12608" spans="1:1">
      <c r="A12608" s="1"/>
    </row>
    <row r="12609" spans="1:1">
      <c r="A12609" s="1"/>
    </row>
    <row r="12610" spans="1:1">
      <c r="A12610" s="1"/>
    </row>
    <row r="12611" spans="1:1">
      <c r="A12611" s="1"/>
    </row>
    <row r="12612" spans="1:1">
      <c r="A12612" s="1"/>
    </row>
    <row r="12613" spans="1:1">
      <c r="A12613" s="1"/>
    </row>
    <row r="12614" spans="1:1">
      <c r="A12614" s="1"/>
    </row>
    <row r="12615" spans="1:1">
      <c r="A12615" s="1"/>
    </row>
    <row r="12616" spans="1:1">
      <c r="A12616" s="1"/>
    </row>
    <row r="12617" spans="1:1">
      <c r="A12617" s="1"/>
    </row>
    <row r="12618" spans="1:1">
      <c r="A12618" s="1"/>
    </row>
    <row r="12619" spans="1:1">
      <c r="A12619" s="1"/>
    </row>
    <row r="12620" spans="1:1">
      <c r="A12620" s="1"/>
    </row>
    <row r="12621" spans="1:1">
      <c r="A12621" s="1"/>
    </row>
    <row r="12622" spans="1:1">
      <c r="A12622" s="1"/>
    </row>
    <row r="12623" spans="1:1">
      <c r="A12623" s="1"/>
    </row>
    <row r="12624" spans="1:1">
      <c r="A12624" s="1"/>
    </row>
    <row r="12625" spans="1:1">
      <c r="A12625" s="1"/>
    </row>
    <row r="12626" spans="1:1">
      <c r="A12626" s="1"/>
    </row>
    <row r="12627" spans="1:1">
      <c r="A12627" s="1"/>
    </row>
    <row r="12628" spans="1:1">
      <c r="A12628" s="1"/>
    </row>
    <row r="12629" spans="1:1">
      <c r="A12629" s="1"/>
    </row>
    <row r="12630" spans="1:1">
      <c r="A12630" s="1"/>
    </row>
    <row r="12631" spans="1:1">
      <c r="A12631" s="1"/>
    </row>
    <row r="12632" spans="1:1">
      <c r="A12632" s="1"/>
    </row>
    <row r="12633" spans="1:1">
      <c r="A12633" s="1"/>
    </row>
    <row r="12634" spans="1:1">
      <c r="A12634" s="1"/>
    </row>
    <row r="12635" spans="1:1">
      <c r="A12635" s="1"/>
    </row>
    <row r="12636" spans="1:1">
      <c r="A12636" s="1"/>
    </row>
    <row r="12637" spans="1:1">
      <c r="A12637" s="1"/>
    </row>
    <row r="12638" spans="1:1">
      <c r="A12638" s="1"/>
    </row>
    <row r="12639" spans="1:1">
      <c r="A12639" s="1"/>
    </row>
    <row r="12640" spans="1:1">
      <c r="A12640" s="1"/>
    </row>
    <row r="12641" spans="1:1">
      <c r="A12641" s="1"/>
    </row>
    <row r="12642" spans="1:1">
      <c r="A12642" s="1"/>
    </row>
    <row r="12643" spans="1:1">
      <c r="A12643" s="1"/>
    </row>
    <row r="12644" spans="1:1">
      <c r="A12644" s="1"/>
    </row>
    <row r="12645" spans="1:1">
      <c r="A12645" s="1"/>
    </row>
    <row r="12646" spans="1:1">
      <c r="A12646" s="1"/>
    </row>
    <row r="12647" spans="1:1">
      <c r="A12647" s="1"/>
    </row>
    <row r="12648" spans="1:1">
      <c r="A12648" s="1"/>
    </row>
    <row r="12649" spans="1:1">
      <c r="A12649" s="1"/>
    </row>
    <row r="12650" spans="1:1">
      <c r="A12650" s="1"/>
    </row>
    <row r="12651" spans="1:1">
      <c r="A12651" s="1"/>
    </row>
    <row r="12652" spans="1:1">
      <c r="A12652" s="1"/>
    </row>
    <row r="12653" spans="1:1">
      <c r="A12653" s="1"/>
    </row>
    <row r="12654" spans="1:1">
      <c r="A12654" s="1"/>
    </row>
    <row r="12655" spans="1:1">
      <c r="A12655" s="1"/>
    </row>
    <row r="12656" spans="1:1">
      <c r="A12656" s="1"/>
    </row>
    <row r="12657" spans="1:1">
      <c r="A12657" s="1"/>
    </row>
    <row r="12658" spans="1:1">
      <c r="A12658" s="1"/>
    </row>
    <row r="12659" spans="1:1">
      <c r="A12659" s="1"/>
    </row>
    <row r="12660" spans="1:1">
      <c r="A12660" s="1"/>
    </row>
    <row r="12661" spans="1:1">
      <c r="A12661" s="1"/>
    </row>
    <row r="12662" spans="1:1">
      <c r="A12662" s="1"/>
    </row>
    <row r="12663" spans="1:1">
      <c r="A12663" s="1"/>
    </row>
    <row r="12664" spans="1:1">
      <c r="A12664" s="1"/>
    </row>
    <row r="12665" spans="1:1">
      <c r="A12665" s="1"/>
    </row>
    <row r="12666" spans="1:1">
      <c r="A12666" s="1"/>
    </row>
    <row r="12667" spans="1:1">
      <c r="A12667" s="1"/>
    </row>
    <row r="12668" spans="1:1">
      <c r="A12668" s="1"/>
    </row>
    <row r="12669" spans="1:1">
      <c r="A12669" s="1"/>
    </row>
    <row r="12670" spans="1:1">
      <c r="A12670" s="1"/>
    </row>
    <row r="12671" spans="1:1">
      <c r="A12671" s="1"/>
    </row>
    <row r="12672" spans="1:1">
      <c r="A12672" s="1"/>
    </row>
    <row r="12673" spans="1:1">
      <c r="A12673" s="1"/>
    </row>
    <row r="12674" spans="1:1">
      <c r="A12674" s="1"/>
    </row>
    <row r="12675" spans="1:1">
      <c r="A12675" s="1"/>
    </row>
    <row r="12676" spans="1:1">
      <c r="A12676" s="1"/>
    </row>
    <row r="12677" spans="1:1">
      <c r="A12677" s="1"/>
    </row>
    <row r="12678" spans="1:1">
      <c r="A12678" s="1"/>
    </row>
    <row r="12679" spans="1:1">
      <c r="A12679" s="1"/>
    </row>
    <row r="12680" spans="1:1">
      <c r="A12680" s="1"/>
    </row>
    <row r="12681" spans="1:1">
      <c r="A12681" s="1"/>
    </row>
    <row r="12682" spans="1:1">
      <c r="A12682" s="1"/>
    </row>
    <row r="12683" spans="1:1">
      <c r="A12683" s="1"/>
    </row>
    <row r="12684" spans="1:1">
      <c r="A12684" s="1"/>
    </row>
    <row r="12685" spans="1:1">
      <c r="A12685" s="1"/>
    </row>
    <row r="12686" spans="1:1">
      <c r="A12686" s="1"/>
    </row>
    <row r="12687" spans="1:1">
      <c r="A12687" s="1"/>
    </row>
    <row r="12688" spans="1:1">
      <c r="A12688" s="1"/>
    </row>
    <row r="12689" spans="1:1">
      <c r="A12689" s="1"/>
    </row>
    <row r="12690" spans="1:1">
      <c r="A12690" s="1"/>
    </row>
    <row r="12691" spans="1:1">
      <c r="A12691" s="1"/>
    </row>
    <row r="12692" spans="1:1">
      <c r="A12692" s="1"/>
    </row>
    <row r="12693" spans="1:1">
      <c r="A12693" s="1"/>
    </row>
    <row r="12694" spans="1:1">
      <c r="A12694" s="1"/>
    </row>
    <row r="12695" spans="1:1">
      <c r="A12695" s="1"/>
    </row>
    <row r="12696" spans="1:1">
      <c r="A12696" s="1"/>
    </row>
    <row r="12697" spans="1:1">
      <c r="A12697" s="1"/>
    </row>
    <row r="12698" spans="1:1">
      <c r="A12698" s="1"/>
    </row>
    <row r="12699" spans="1:1">
      <c r="A12699" s="1"/>
    </row>
    <row r="12700" spans="1:1">
      <c r="A12700" s="1"/>
    </row>
    <row r="12701" spans="1:1">
      <c r="A12701" s="1"/>
    </row>
    <row r="12702" spans="1:1">
      <c r="A12702" s="1"/>
    </row>
    <row r="12703" spans="1:1">
      <c r="A12703" s="1"/>
    </row>
    <row r="12704" spans="1:1">
      <c r="A12704" s="1"/>
    </row>
    <row r="12705" spans="1:1">
      <c r="A12705" s="1"/>
    </row>
    <row r="12706" spans="1:1">
      <c r="A12706" s="1"/>
    </row>
    <row r="12707" spans="1:1">
      <c r="A12707" s="1"/>
    </row>
    <row r="12708" spans="1:1">
      <c r="A12708" s="1"/>
    </row>
    <row r="12709" spans="1:1">
      <c r="A12709" s="1"/>
    </row>
    <row r="12710" spans="1:1">
      <c r="A12710" s="1"/>
    </row>
    <row r="12711" spans="1:1">
      <c r="A12711" s="1"/>
    </row>
    <row r="12712" spans="1:1">
      <c r="A12712" s="1"/>
    </row>
    <row r="12713" spans="1:1">
      <c r="A12713" s="1"/>
    </row>
    <row r="12714" spans="1:1">
      <c r="A12714" s="1"/>
    </row>
    <row r="12715" spans="1:1">
      <c r="A12715" s="1"/>
    </row>
    <row r="12716" spans="1:1">
      <c r="A12716" s="1"/>
    </row>
    <row r="12717" spans="1:1">
      <c r="A12717" s="1"/>
    </row>
    <row r="12718" spans="1:1">
      <c r="A12718" s="1"/>
    </row>
    <row r="12719" spans="1:1">
      <c r="A12719" s="1"/>
    </row>
    <row r="12720" spans="1:1">
      <c r="A12720" s="1"/>
    </row>
    <row r="12721" spans="1:1">
      <c r="A12721" s="1"/>
    </row>
    <row r="12722" spans="1:1">
      <c r="A12722" s="1"/>
    </row>
    <row r="12723" spans="1:1">
      <c r="A12723" s="1"/>
    </row>
    <row r="12724" spans="1:1">
      <c r="A12724" s="1"/>
    </row>
    <row r="12725" spans="1:1">
      <c r="A12725" s="1"/>
    </row>
    <row r="12726" spans="1:1">
      <c r="A12726" s="1"/>
    </row>
    <row r="12727" spans="1:1">
      <c r="A12727" s="1"/>
    </row>
    <row r="12728" spans="1:1">
      <c r="A12728" s="1"/>
    </row>
    <row r="12729" spans="1:1">
      <c r="A12729" s="1"/>
    </row>
    <row r="12730" spans="1:1">
      <c r="A12730" s="1"/>
    </row>
    <row r="12731" spans="1:1">
      <c r="A12731" s="1"/>
    </row>
    <row r="12732" spans="1:1">
      <c r="A12732" s="1"/>
    </row>
    <row r="12733" spans="1:1">
      <c r="A12733" s="1"/>
    </row>
    <row r="12734" spans="1:1">
      <c r="A12734" s="1"/>
    </row>
    <row r="12735" spans="1:1">
      <c r="A12735" s="1"/>
    </row>
    <row r="12736" spans="1:1">
      <c r="A12736" s="1"/>
    </row>
    <row r="12737" spans="1:1">
      <c r="A12737" s="1"/>
    </row>
    <row r="12738" spans="1:1">
      <c r="A12738" s="1"/>
    </row>
    <row r="12739" spans="1:1">
      <c r="A12739" s="1"/>
    </row>
    <row r="12740" spans="1:1">
      <c r="A12740" s="1"/>
    </row>
    <row r="12741" spans="1:1">
      <c r="A12741" s="1"/>
    </row>
    <row r="12742" spans="1:1">
      <c r="A12742" s="1"/>
    </row>
    <row r="12743" spans="1:1">
      <c r="A12743" s="1"/>
    </row>
    <row r="12744" spans="1:1">
      <c r="A12744" s="1"/>
    </row>
    <row r="12745" spans="1:1">
      <c r="A12745" s="1"/>
    </row>
    <row r="12746" spans="1:1">
      <c r="A12746" s="1"/>
    </row>
    <row r="12747" spans="1:1">
      <c r="A12747" s="1"/>
    </row>
    <row r="12748" spans="1:1">
      <c r="A12748" s="1"/>
    </row>
    <row r="12749" spans="1:1">
      <c r="A12749" s="1"/>
    </row>
    <row r="12750" spans="1:1">
      <c r="A12750" s="1"/>
    </row>
    <row r="12751" spans="1:1">
      <c r="A12751" s="1"/>
    </row>
    <row r="12752" spans="1:1">
      <c r="A12752" s="1"/>
    </row>
    <row r="12753" spans="1:1">
      <c r="A12753" s="1"/>
    </row>
    <row r="12754" spans="1:1">
      <c r="A12754" s="1"/>
    </row>
    <row r="12755" spans="1:1">
      <c r="A12755" s="1"/>
    </row>
    <row r="12756" spans="1:1">
      <c r="A12756" s="1"/>
    </row>
    <row r="12757" spans="1:1">
      <c r="A12757" s="1"/>
    </row>
    <row r="12758" spans="1:1">
      <c r="A12758" s="1"/>
    </row>
    <row r="12759" spans="1:1">
      <c r="A12759" s="1"/>
    </row>
    <row r="12760" spans="1:1">
      <c r="A12760" s="1"/>
    </row>
    <row r="12761" spans="1:1">
      <c r="A12761" s="1"/>
    </row>
    <row r="12762" spans="1:1">
      <c r="A12762" s="1"/>
    </row>
    <row r="12763" spans="1:1">
      <c r="A12763" s="1"/>
    </row>
    <row r="12764" spans="1:1">
      <c r="A12764" s="1"/>
    </row>
    <row r="12765" spans="1:1">
      <c r="A12765" s="1"/>
    </row>
    <row r="12766" spans="1:1">
      <c r="A12766" s="1"/>
    </row>
    <row r="12767" spans="1:1">
      <c r="A12767" s="1"/>
    </row>
    <row r="12768" spans="1:1">
      <c r="A12768" s="1"/>
    </row>
    <row r="12769" spans="1:1">
      <c r="A12769" s="1"/>
    </row>
    <row r="12770" spans="1:1">
      <c r="A12770" s="1"/>
    </row>
    <row r="12771" spans="1:1">
      <c r="A12771" s="1"/>
    </row>
    <row r="12772" spans="1:1">
      <c r="A12772" s="1"/>
    </row>
    <row r="12773" spans="1:1">
      <c r="A12773" s="1"/>
    </row>
    <row r="12774" spans="1:1">
      <c r="A12774" s="1"/>
    </row>
    <row r="12775" spans="1:1">
      <c r="A12775" s="1"/>
    </row>
    <row r="12776" spans="1:1">
      <c r="A12776" s="1"/>
    </row>
    <row r="12777" spans="1:1">
      <c r="A12777" s="1"/>
    </row>
    <row r="12778" spans="1:1">
      <c r="A12778" s="1"/>
    </row>
    <row r="12779" spans="1:1">
      <c r="A12779" s="1"/>
    </row>
    <row r="12780" spans="1:1">
      <c r="A12780" s="1"/>
    </row>
    <row r="12781" spans="1:1">
      <c r="A12781" s="1"/>
    </row>
    <row r="12782" spans="1:1">
      <c r="A12782" s="1"/>
    </row>
    <row r="12783" spans="1:1">
      <c r="A12783" s="1"/>
    </row>
    <row r="12784" spans="1:1">
      <c r="A12784" s="1"/>
    </row>
    <row r="12785" spans="1:1">
      <c r="A12785" s="1"/>
    </row>
    <row r="12786" spans="1:1">
      <c r="A12786" s="1"/>
    </row>
    <row r="12787" spans="1:1">
      <c r="A12787" s="1"/>
    </row>
    <row r="12788" spans="1:1">
      <c r="A12788" s="1"/>
    </row>
    <row r="12789" spans="1:1">
      <c r="A12789" s="1"/>
    </row>
    <row r="12790" spans="1:1">
      <c r="A12790" s="1"/>
    </row>
    <row r="12791" spans="1:1">
      <c r="A12791" s="1"/>
    </row>
    <row r="12792" spans="1:1">
      <c r="A12792" s="1"/>
    </row>
    <row r="12793" spans="1:1">
      <c r="A12793" s="1"/>
    </row>
    <row r="12794" spans="1:1">
      <c r="A12794" s="1"/>
    </row>
    <row r="12795" spans="1:1">
      <c r="A12795" s="1"/>
    </row>
    <row r="12796" spans="1:1">
      <c r="A12796" s="1"/>
    </row>
    <row r="12797" spans="1:1">
      <c r="A12797" s="1"/>
    </row>
    <row r="12798" spans="1:1">
      <c r="A12798" s="1"/>
    </row>
    <row r="12799" spans="1:1">
      <c r="A12799" s="1"/>
    </row>
    <row r="12800" spans="1:1">
      <c r="A12800" s="1"/>
    </row>
    <row r="12801" spans="1:1">
      <c r="A12801" s="1"/>
    </row>
    <row r="12802" spans="1:1">
      <c r="A12802" s="1"/>
    </row>
    <row r="12803" spans="1:1">
      <c r="A12803" s="1"/>
    </row>
    <row r="12804" spans="1:1">
      <c r="A12804" s="1"/>
    </row>
    <row r="12805" spans="1:1">
      <c r="A12805" s="1"/>
    </row>
    <row r="12806" spans="1:1">
      <c r="A12806" s="1"/>
    </row>
    <row r="12807" spans="1:1">
      <c r="A12807" s="1"/>
    </row>
    <row r="12808" spans="1:1">
      <c r="A12808" s="1"/>
    </row>
    <row r="12809" spans="1:1">
      <c r="A12809" s="1"/>
    </row>
    <row r="12810" spans="1:1">
      <c r="A12810" s="1"/>
    </row>
    <row r="12811" spans="1:1">
      <c r="A12811" s="1"/>
    </row>
    <row r="12812" spans="1:1">
      <c r="A12812" s="1"/>
    </row>
    <row r="12813" spans="1:1">
      <c r="A12813" s="1"/>
    </row>
    <row r="12814" spans="1:1">
      <c r="A12814" s="1"/>
    </row>
    <row r="12815" spans="1:1">
      <c r="A12815" s="1"/>
    </row>
    <row r="12816" spans="1:1">
      <c r="A12816" s="1"/>
    </row>
    <row r="12817" spans="1:1">
      <c r="A12817" s="1"/>
    </row>
    <row r="12818" spans="1:1">
      <c r="A12818" s="1"/>
    </row>
    <row r="12819" spans="1:1">
      <c r="A12819" s="1"/>
    </row>
    <row r="12820" spans="1:1">
      <c r="A12820" s="1"/>
    </row>
    <row r="12821" spans="1:1">
      <c r="A12821" s="1"/>
    </row>
    <row r="12822" spans="1:1">
      <c r="A12822" s="1"/>
    </row>
    <row r="12823" spans="1:1">
      <c r="A12823" s="1"/>
    </row>
    <row r="12824" spans="1:1">
      <c r="A12824" s="1"/>
    </row>
    <row r="12825" spans="1:1">
      <c r="A12825" s="1"/>
    </row>
    <row r="12826" spans="1:1">
      <c r="A12826" s="1"/>
    </row>
    <row r="12827" spans="1:1">
      <c r="A12827" s="1"/>
    </row>
    <row r="12828" spans="1:1">
      <c r="A12828" s="1"/>
    </row>
    <row r="12829" spans="1:1">
      <c r="A12829" s="1"/>
    </row>
    <row r="12830" spans="1:1">
      <c r="A12830" s="1"/>
    </row>
    <row r="12831" spans="1:1">
      <c r="A12831" s="1"/>
    </row>
    <row r="12832" spans="1:1">
      <c r="A12832" s="1"/>
    </row>
    <row r="12833" spans="1:1">
      <c r="A12833" s="1"/>
    </row>
    <row r="12834" spans="1:1">
      <c r="A12834" s="1"/>
    </row>
    <row r="12835" spans="1:1">
      <c r="A12835" s="1"/>
    </row>
    <row r="12836" spans="1:1">
      <c r="A12836" s="1"/>
    </row>
    <row r="12837" spans="1:1">
      <c r="A12837" s="1"/>
    </row>
    <row r="12838" spans="1:1">
      <c r="A12838" s="1"/>
    </row>
    <row r="12839" spans="1:1">
      <c r="A12839" s="1"/>
    </row>
    <row r="12840" spans="1:1">
      <c r="A12840" s="1"/>
    </row>
    <row r="12841" spans="1:1">
      <c r="A12841" s="1"/>
    </row>
    <row r="12842" spans="1:1">
      <c r="A12842" s="1"/>
    </row>
    <row r="12843" spans="1:1">
      <c r="A12843" s="1"/>
    </row>
    <row r="12844" spans="1:1">
      <c r="A12844" s="1"/>
    </row>
    <row r="12845" spans="1:1">
      <c r="A12845" s="1"/>
    </row>
    <row r="12846" spans="1:1">
      <c r="A12846" s="1"/>
    </row>
    <row r="12847" spans="1:1">
      <c r="A12847" s="1"/>
    </row>
    <row r="12848" spans="1:1">
      <c r="A12848" s="1"/>
    </row>
    <row r="12849" spans="1:1">
      <c r="A12849" s="1"/>
    </row>
    <row r="12850" spans="1:1">
      <c r="A12850" s="1"/>
    </row>
    <row r="12851" spans="1:1">
      <c r="A12851" s="1"/>
    </row>
    <row r="12852" spans="1:1">
      <c r="A12852" s="1"/>
    </row>
    <row r="12853" spans="1:1">
      <c r="A12853" s="1"/>
    </row>
    <row r="12854" spans="1:1">
      <c r="A12854" s="1"/>
    </row>
    <row r="12855" spans="1:1">
      <c r="A12855" s="1"/>
    </row>
    <row r="12856" spans="1:1">
      <c r="A12856" s="1"/>
    </row>
    <row r="12857" spans="1:1">
      <c r="A12857" s="1"/>
    </row>
    <row r="12858" spans="1:1">
      <c r="A12858" s="1"/>
    </row>
    <row r="12859" spans="1:1">
      <c r="A12859" s="1"/>
    </row>
    <row r="12860" spans="1:1">
      <c r="A12860" s="1"/>
    </row>
    <row r="12861" spans="1:1">
      <c r="A12861" s="1"/>
    </row>
    <row r="12862" spans="1:1">
      <c r="A12862" s="1"/>
    </row>
    <row r="12863" spans="1:1">
      <c r="A12863" s="1"/>
    </row>
    <row r="12864" spans="1:1">
      <c r="A12864" s="1"/>
    </row>
    <row r="12865" spans="1:1">
      <c r="A12865" s="1"/>
    </row>
    <row r="12866" spans="1:1">
      <c r="A12866" s="1"/>
    </row>
    <row r="12867" spans="1:1">
      <c r="A12867" s="1"/>
    </row>
    <row r="12868" spans="1:1">
      <c r="A12868" s="1"/>
    </row>
    <row r="12869" spans="1:1">
      <c r="A12869" s="1"/>
    </row>
    <row r="12870" spans="1:1">
      <c r="A12870" s="1"/>
    </row>
    <row r="12871" spans="1:1">
      <c r="A12871" s="1"/>
    </row>
    <row r="12872" spans="1:1">
      <c r="A12872" s="1"/>
    </row>
    <row r="12873" spans="1:1">
      <c r="A12873" s="1"/>
    </row>
    <row r="12874" spans="1:1">
      <c r="A12874" s="1"/>
    </row>
    <row r="12875" spans="1:1">
      <c r="A12875" s="1"/>
    </row>
    <row r="12876" spans="1:1">
      <c r="A12876" s="1"/>
    </row>
    <row r="12877" spans="1:1">
      <c r="A12877" s="1"/>
    </row>
    <row r="12878" spans="1:1">
      <c r="A12878" s="1"/>
    </row>
    <row r="12879" spans="1:1">
      <c r="A12879" s="1"/>
    </row>
    <row r="12880" spans="1:1">
      <c r="A12880" s="1"/>
    </row>
    <row r="12881" spans="1:1">
      <c r="A12881" s="1"/>
    </row>
    <row r="12882" spans="1:1">
      <c r="A12882" s="1"/>
    </row>
    <row r="12883" spans="1:1">
      <c r="A12883" s="1"/>
    </row>
    <row r="12884" spans="1:1">
      <c r="A12884" s="1"/>
    </row>
    <row r="12885" spans="1:1">
      <c r="A12885" s="1"/>
    </row>
    <row r="12886" spans="1:1">
      <c r="A12886" s="1"/>
    </row>
    <row r="12887" spans="1:1">
      <c r="A12887" s="1"/>
    </row>
    <row r="12888" spans="1:1">
      <c r="A12888" s="1"/>
    </row>
    <row r="12889" spans="1:1">
      <c r="A12889" s="1"/>
    </row>
    <row r="12890" spans="1:1">
      <c r="A12890" s="1"/>
    </row>
    <row r="12891" spans="1:1">
      <c r="A12891" s="1"/>
    </row>
    <row r="12892" spans="1:1">
      <c r="A12892" s="1"/>
    </row>
    <row r="12893" spans="1:1">
      <c r="A12893" s="1"/>
    </row>
    <row r="12894" spans="1:1">
      <c r="A12894" s="1"/>
    </row>
    <row r="12895" spans="1:1">
      <c r="A12895" s="1"/>
    </row>
    <row r="12896" spans="1:1">
      <c r="A12896" s="1"/>
    </row>
    <row r="12897" spans="1:1">
      <c r="A12897" s="1"/>
    </row>
    <row r="12898" spans="1:1">
      <c r="A12898" s="1"/>
    </row>
    <row r="12899" spans="1:1">
      <c r="A12899" s="1"/>
    </row>
    <row r="12900" spans="1:1">
      <c r="A12900" s="1"/>
    </row>
    <row r="12901" spans="1:1">
      <c r="A12901" s="1"/>
    </row>
    <row r="12902" spans="1:1">
      <c r="A12902" s="1"/>
    </row>
    <row r="12903" spans="1:1">
      <c r="A12903" s="1"/>
    </row>
    <row r="12904" spans="1:1">
      <c r="A12904" s="1"/>
    </row>
    <row r="12905" spans="1:1">
      <c r="A12905" s="1"/>
    </row>
    <row r="12906" spans="1:1">
      <c r="A12906" s="1"/>
    </row>
    <row r="12907" spans="1:1">
      <c r="A12907" s="1"/>
    </row>
    <row r="12908" spans="1:1">
      <c r="A12908" s="1"/>
    </row>
    <row r="12909" spans="1:1">
      <c r="A12909" s="1"/>
    </row>
    <row r="12910" spans="1:1">
      <c r="A12910" s="1"/>
    </row>
    <row r="12911" spans="1:1">
      <c r="A12911" s="1"/>
    </row>
    <row r="12912" spans="1:1">
      <c r="A12912" s="1"/>
    </row>
    <row r="12913" spans="1:1">
      <c r="A12913" s="1"/>
    </row>
    <row r="12914" spans="1:1">
      <c r="A12914" s="1"/>
    </row>
    <row r="12915" spans="1:1">
      <c r="A12915" s="1"/>
    </row>
    <row r="12916" spans="1:1">
      <c r="A12916" s="1"/>
    </row>
    <row r="12917" spans="1:1">
      <c r="A12917" s="1"/>
    </row>
    <row r="12918" spans="1:1">
      <c r="A12918" s="1"/>
    </row>
    <row r="12919" spans="1:1">
      <c r="A12919" s="1"/>
    </row>
    <row r="12920" spans="1:1">
      <c r="A12920" s="1"/>
    </row>
    <row r="12921" spans="1:1">
      <c r="A12921" s="1"/>
    </row>
    <row r="12922" spans="1:1">
      <c r="A12922" s="1"/>
    </row>
    <row r="12923" spans="1:1">
      <c r="A12923" s="1"/>
    </row>
    <row r="12924" spans="1:1">
      <c r="A12924" s="1"/>
    </row>
    <row r="12925" spans="1:1">
      <c r="A12925" s="1"/>
    </row>
    <row r="12926" spans="1:1">
      <c r="A12926" s="1"/>
    </row>
    <row r="12927" spans="1:1">
      <c r="A12927" s="1"/>
    </row>
    <row r="12928" spans="1:1">
      <c r="A12928" s="1"/>
    </row>
    <row r="12929" spans="1:1">
      <c r="A12929" s="1"/>
    </row>
    <row r="12930" spans="1:1">
      <c r="A12930" s="1"/>
    </row>
    <row r="12931" spans="1:1">
      <c r="A12931" s="1"/>
    </row>
    <row r="12932" spans="1:1">
      <c r="A12932" s="1"/>
    </row>
    <row r="12933" spans="1:1">
      <c r="A12933" s="1"/>
    </row>
    <row r="12934" spans="1:1">
      <c r="A12934" s="1"/>
    </row>
    <row r="12935" spans="1:1">
      <c r="A12935" s="1"/>
    </row>
    <row r="12936" spans="1:1">
      <c r="A12936" s="1"/>
    </row>
    <row r="12937" spans="1:1">
      <c r="A12937" s="1"/>
    </row>
    <row r="12938" spans="1:1">
      <c r="A12938" s="1"/>
    </row>
    <row r="12939" spans="1:1">
      <c r="A12939" s="1"/>
    </row>
    <row r="12940" spans="1:1">
      <c r="A12940" s="1"/>
    </row>
    <row r="12941" spans="1:1">
      <c r="A12941" s="1"/>
    </row>
    <row r="12942" spans="1:1">
      <c r="A12942" s="1"/>
    </row>
    <row r="12943" spans="1:1">
      <c r="A12943" s="1"/>
    </row>
    <row r="12944" spans="1:1">
      <c r="A12944" s="1"/>
    </row>
    <row r="12945" spans="1:1">
      <c r="A12945" s="1"/>
    </row>
    <row r="12946" spans="1:1">
      <c r="A12946" s="1"/>
    </row>
    <row r="12947" spans="1:1">
      <c r="A12947" s="1"/>
    </row>
    <row r="12948" spans="1:1">
      <c r="A12948" s="1"/>
    </row>
    <row r="12949" spans="1:1">
      <c r="A12949" s="1"/>
    </row>
    <row r="12950" spans="1:1">
      <c r="A12950" s="1"/>
    </row>
    <row r="12951" spans="1:1">
      <c r="A12951" s="1"/>
    </row>
    <row r="12952" spans="1:1">
      <c r="A12952" s="1"/>
    </row>
    <row r="12953" spans="1:1">
      <c r="A12953" s="1"/>
    </row>
    <row r="12954" spans="1:1">
      <c r="A12954" s="1"/>
    </row>
    <row r="12955" spans="1:1">
      <c r="A12955" s="1"/>
    </row>
    <row r="12956" spans="1:1">
      <c r="A12956" s="1"/>
    </row>
    <row r="12957" spans="1:1">
      <c r="A12957" s="1"/>
    </row>
    <row r="12958" spans="1:1">
      <c r="A12958" s="1"/>
    </row>
    <row r="12959" spans="1:1">
      <c r="A12959" s="1"/>
    </row>
    <row r="12960" spans="1:1">
      <c r="A12960" s="1"/>
    </row>
    <row r="12961" spans="1:1">
      <c r="A12961" s="1"/>
    </row>
    <row r="12962" spans="1:1">
      <c r="A12962" s="1"/>
    </row>
    <row r="12963" spans="1:1">
      <c r="A12963" s="1"/>
    </row>
    <row r="12964" spans="1:1">
      <c r="A12964" s="1"/>
    </row>
    <row r="12965" spans="1:1">
      <c r="A12965" s="1"/>
    </row>
    <row r="12966" spans="1:1">
      <c r="A12966" s="1"/>
    </row>
    <row r="12967" spans="1:1">
      <c r="A12967" s="1"/>
    </row>
    <row r="12968" spans="1:1">
      <c r="A12968" s="1"/>
    </row>
    <row r="12969" spans="1:1">
      <c r="A12969" s="1"/>
    </row>
    <row r="12970" spans="1:1">
      <c r="A12970" s="1"/>
    </row>
    <row r="12971" spans="1:1">
      <c r="A12971" s="1"/>
    </row>
    <row r="12972" spans="1:1">
      <c r="A12972" s="1"/>
    </row>
    <row r="12973" spans="1:1">
      <c r="A12973" s="1"/>
    </row>
    <row r="12974" spans="1:1">
      <c r="A12974" s="1"/>
    </row>
    <row r="12975" spans="1:1">
      <c r="A12975" s="1"/>
    </row>
    <row r="12976" spans="1:1">
      <c r="A12976" s="1"/>
    </row>
    <row r="12977" spans="1:1">
      <c r="A12977" s="1"/>
    </row>
    <row r="12978" spans="1:1">
      <c r="A12978" s="1"/>
    </row>
    <row r="12979" spans="1:1">
      <c r="A12979" s="1"/>
    </row>
    <row r="12980" spans="1:1">
      <c r="A12980" s="1"/>
    </row>
    <row r="12981" spans="1:1">
      <c r="A12981" s="1"/>
    </row>
    <row r="12982" spans="1:1">
      <c r="A12982" s="1"/>
    </row>
    <row r="12983" spans="1:1">
      <c r="A12983" s="1"/>
    </row>
    <row r="12984" spans="1:1">
      <c r="A12984" s="1"/>
    </row>
    <row r="12985" spans="1:1">
      <c r="A12985" s="1"/>
    </row>
    <row r="12986" spans="1:1">
      <c r="A12986" s="1"/>
    </row>
    <row r="12987" spans="1:1">
      <c r="A12987" s="1"/>
    </row>
    <row r="12988" spans="1:1">
      <c r="A12988" s="1"/>
    </row>
    <row r="12989" spans="1:1">
      <c r="A12989" s="1"/>
    </row>
    <row r="12990" spans="1:1">
      <c r="A12990" s="1"/>
    </row>
    <row r="12991" spans="1:1">
      <c r="A12991" s="1"/>
    </row>
    <row r="12992" spans="1:1">
      <c r="A12992" s="1"/>
    </row>
    <row r="12993" spans="1:1">
      <c r="A12993" s="1"/>
    </row>
    <row r="12994" spans="1:1">
      <c r="A12994" s="1"/>
    </row>
    <row r="12995" spans="1:1">
      <c r="A12995" s="1"/>
    </row>
    <row r="12996" spans="1:1">
      <c r="A12996" s="1"/>
    </row>
    <row r="12997" spans="1:1">
      <c r="A12997" s="1"/>
    </row>
    <row r="12998" spans="1:1">
      <c r="A12998" s="1"/>
    </row>
    <row r="12999" spans="1:1">
      <c r="A12999" s="1"/>
    </row>
    <row r="13000" spans="1:1">
      <c r="A13000" s="1"/>
    </row>
    <row r="13001" spans="1:1">
      <c r="A13001" s="1"/>
    </row>
    <row r="13002" spans="1:1">
      <c r="A13002" s="1"/>
    </row>
    <row r="13003" spans="1:1">
      <c r="A13003" s="1"/>
    </row>
    <row r="13004" spans="1:1">
      <c r="A13004" s="1"/>
    </row>
    <row r="13005" spans="1:1">
      <c r="A13005" s="1"/>
    </row>
    <row r="13006" spans="1:1">
      <c r="A13006" s="1"/>
    </row>
    <row r="13007" spans="1:1">
      <c r="A13007" s="1"/>
    </row>
    <row r="13008" spans="1:1">
      <c r="A13008" s="1"/>
    </row>
    <row r="13009" spans="1:1">
      <c r="A13009" s="1"/>
    </row>
    <row r="13010" spans="1:1">
      <c r="A13010" s="1"/>
    </row>
    <row r="13011" spans="1:1">
      <c r="A13011" s="1"/>
    </row>
    <row r="13012" spans="1:1">
      <c r="A13012" s="1"/>
    </row>
    <row r="13013" spans="1:1">
      <c r="A13013" s="1"/>
    </row>
    <row r="13014" spans="1:1">
      <c r="A13014" s="1"/>
    </row>
    <row r="13015" spans="1:1">
      <c r="A13015" s="1"/>
    </row>
    <row r="13016" spans="1:1">
      <c r="A13016" s="1"/>
    </row>
    <row r="13017" spans="1:1">
      <c r="A13017" s="1"/>
    </row>
    <row r="13018" spans="1:1">
      <c r="A13018" s="1"/>
    </row>
    <row r="13019" spans="1:1">
      <c r="A13019" s="1"/>
    </row>
    <row r="13020" spans="1:1">
      <c r="A13020" s="1"/>
    </row>
    <row r="13021" spans="1:1">
      <c r="A13021" s="1"/>
    </row>
    <row r="13022" spans="1:1">
      <c r="A13022" s="1"/>
    </row>
    <row r="13023" spans="1:1">
      <c r="A13023" s="1"/>
    </row>
    <row r="13024" spans="1:1">
      <c r="A13024" s="1"/>
    </row>
    <row r="13025" spans="1:1">
      <c r="A13025" s="1"/>
    </row>
    <row r="13026" spans="1:1">
      <c r="A13026" s="1"/>
    </row>
    <row r="13027" spans="1:1">
      <c r="A13027" s="1"/>
    </row>
    <row r="13028" spans="1:1">
      <c r="A13028" s="1"/>
    </row>
    <row r="13029" spans="1:1">
      <c r="A13029" s="1"/>
    </row>
    <row r="13030" spans="1:1">
      <c r="A13030" s="1"/>
    </row>
    <row r="13031" spans="1:1">
      <c r="A13031" s="1"/>
    </row>
    <row r="13032" spans="1:1">
      <c r="A13032" s="1"/>
    </row>
    <row r="13033" spans="1:1">
      <c r="A13033" s="1"/>
    </row>
    <row r="13034" spans="1:1">
      <c r="A13034" s="1"/>
    </row>
    <row r="13035" spans="1:1">
      <c r="A13035" s="1"/>
    </row>
    <row r="13036" spans="1:1">
      <c r="A13036" s="1"/>
    </row>
    <row r="13037" spans="1:1">
      <c r="A13037" s="1"/>
    </row>
    <row r="13038" spans="1:1">
      <c r="A13038" s="1"/>
    </row>
    <row r="13039" spans="1:1">
      <c r="A13039" s="1"/>
    </row>
    <row r="13040" spans="1:1">
      <c r="A13040" s="1"/>
    </row>
    <row r="13041" spans="1:1">
      <c r="A13041" s="1"/>
    </row>
    <row r="13042" spans="1:1">
      <c r="A13042" s="1"/>
    </row>
    <row r="13043" spans="1:1">
      <c r="A13043" s="1"/>
    </row>
    <row r="13044" spans="1:1">
      <c r="A13044" s="1"/>
    </row>
    <row r="13045" spans="1:1">
      <c r="A13045" s="1"/>
    </row>
    <row r="13046" spans="1:1">
      <c r="A13046" s="1"/>
    </row>
    <row r="13047" spans="1:1">
      <c r="A13047" s="1"/>
    </row>
    <row r="13048" spans="1:1">
      <c r="A13048" s="1"/>
    </row>
    <row r="13049" spans="1:1">
      <c r="A13049" s="1"/>
    </row>
    <row r="13050" spans="1:1">
      <c r="A13050" s="1"/>
    </row>
    <row r="13051" spans="1:1">
      <c r="A13051" s="1"/>
    </row>
    <row r="13052" spans="1:1">
      <c r="A13052" s="1"/>
    </row>
    <row r="13053" spans="1:1">
      <c r="A13053" s="1"/>
    </row>
    <row r="13054" spans="1:1">
      <c r="A13054" s="1"/>
    </row>
    <row r="13055" spans="1:1">
      <c r="A13055" s="1"/>
    </row>
    <row r="13056" spans="1:1">
      <c r="A13056" s="1"/>
    </row>
    <row r="13057" spans="1:1">
      <c r="A13057" s="1"/>
    </row>
    <row r="13058" spans="1:1">
      <c r="A13058" s="1"/>
    </row>
    <row r="13059" spans="1:1">
      <c r="A13059" s="1"/>
    </row>
    <row r="13060" spans="1:1">
      <c r="A13060" s="1"/>
    </row>
    <row r="13061" spans="1:1">
      <c r="A13061" s="1"/>
    </row>
    <row r="13062" spans="1:1">
      <c r="A13062" s="1"/>
    </row>
    <row r="13063" spans="1:1">
      <c r="A13063" s="1"/>
    </row>
    <row r="13064" spans="1:1">
      <c r="A13064" s="1"/>
    </row>
    <row r="13065" spans="1:1">
      <c r="A13065" s="1"/>
    </row>
    <row r="13066" spans="1:1">
      <c r="A13066" s="1"/>
    </row>
    <row r="13067" spans="1:1">
      <c r="A13067" s="1"/>
    </row>
    <row r="13068" spans="1:1">
      <c r="A13068" s="1"/>
    </row>
    <row r="13069" spans="1:1">
      <c r="A13069" s="1"/>
    </row>
    <row r="13070" spans="1:1">
      <c r="A13070" s="1"/>
    </row>
    <row r="13071" spans="1:1">
      <c r="A13071" s="1"/>
    </row>
    <row r="13072" spans="1:1">
      <c r="A13072" s="1"/>
    </row>
    <row r="13073" spans="1:1">
      <c r="A13073" s="1"/>
    </row>
    <row r="13074" spans="1:1">
      <c r="A13074" s="1"/>
    </row>
    <row r="13075" spans="1:1">
      <c r="A13075" s="1"/>
    </row>
    <row r="13076" spans="1:1">
      <c r="A13076" s="1"/>
    </row>
    <row r="13077" spans="1:1">
      <c r="A13077" s="1"/>
    </row>
    <row r="13078" spans="1:1">
      <c r="A13078" s="1"/>
    </row>
    <row r="13079" spans="1:1">
      <c r="A13079" s="1"/>
    </row>
    <row r="13080" spans="1:1">
      <c r="A13080" s="1"/>
    </row>
    <row r="13081" spans="1:1">
      <c r="A13081" s="1"/>
    </row>
    <row r="13082" spans="1:1">
      <c r="A13082" s="1"/>
    </row>
    <row r="13083" spans="1:1">
      <c r="A13083" s="1"/>
    </row>
    <row r="13084" spans="1:1">
      <c r="A13084" s="1"/>
    </row>
    <row r="13085" spans="1:1">
      <c r="A13085" s="1"/>
    </row>
    <row r="13086" spans="1:1">
      <c r="A13086" s="1"/>
    </row>
    <row r="13087" spans="1:1">
      <c r="A13087" s="1"/>
    </row>
    <row r="13088" spans="1:1">
      <c r="A13088" s="1"/>
    </row>
    <row r="13089" spans="1:1">
      <c r="A13089" s="1"/>
    </row>
    <row r="13090" spans="1:1">
      <c r="A13090" s="1"/>
    </row>
    <row r="13091" spans="1:1">
      <c r="A13091" s="1"/>
    </row>
    <row r="13092" spans="1:1">
      <c r="A13092" s="1"/>
    </row>
    <row r="13093" spans="1:1">
      <c r="A13093" s="1"/>
    </row>
    <row r="13094" spans="1:1">
      <c r="A13094" s="1"/>
    </row>
    <row r="13095" spans="1:1">
      <c r="A13095" s="1"/>
    </row>
    <row r="13096" spans="1:1">
      <c r="A13096" s="1"/>
    </row>
    <row r="13097" spans="1:1">
      <c r="A13097" s="1"/>
    </row>
    <row r="13098" spans="1:1">
      <c r="A13098" s="1"/>
    </row>
    <row r="13099" spans="1:1">
      <c r="A13099" s="1"/>
    </row>
    <row r="13100" spans="1:1">
      <c r="A13100" s="1"/>
    </row>
    <row r="13101" spans="1:1">
      <c r="A13101" s="1"/>
    </row>
    <row r="13102" spans="1:1">
      <c r="A13102" s="1"/>
    </row>
    <row r="13103" spans="1:1">
      <c r="A13103" s="1"/>
    </row>
    <row r="13104" spans="1:1">
      <c r="A13104" s="1"/>
    </row>
    <row r="13105" spans="1:1">
      <c r="A13105" s="1"/>
    </row>
    <row r="13106" spans="1:1">
      <c r="A13106" s="1"/>
    </row>
    <row r="13107" spans="1:1">
      <c r="A13107" s="1"/>
    </row>
    <row r="13108" spans="1:1">
      <c r="A13108" s="1"/>
    </row>
    <row r="13109" spans="1:1">
      <c r="A13109" s="1"/>
    </row>
    <row r="13110" spans="1:1">
      <c r="A13110" s="1"/>
    </row>
    <row r="13111" spans="1:1">
      <c r="A13111" s="1"/>
    </row>
    <row r="13112" spans="1:1">
      <c r="A13112" s="1"/>
    </row>
    <row r="13113" spans="1:1">
      <c r="A13113" s="1"/>
    </row>
    <row r="13114" spans="1:1">
      <c r="A13114" s="1"/>
    </row>
    <row r="13115" spans="1:1">
      <c r="A13115" s="1"/>
    </row>
    <row r="13116" spans="1:1">
      <c r="A13116" s="1"/>
    </row>
    <row r="13117" spans="1:1">
      <c r="A13117" s="1"/>
    </row>
    <row r="13118" spans="1:1">
      <c r="A13118" s="1"/>
    </row>
    <row r="13119" spans="1:1">
      <c r="A13119" s="1"/>
    </row>
    <row r="13120" spans="1:1">
      <c r="A13120" s="1"/>
    </row>
    <row r="13121" spans="1:1">
      <c r="A13121" s="1"/>
    </row>
    <row r="13122" spans="1:1">
      <c r="A13122" s="1"/>
    </row>
    <row r="13123" spans="1:1">
      <c r="A13123" s="1"/>
    </row>
    <row r="13124" spans="1:1">
      <c r="A13124" s="1"/>
    </row>
    <row r="13125" spans="1:1">
      <c r="A13125" s="1"/>
    </row>
    <row r="13126" spans="1:1">
      <c r="A13126" s="1"/>
    </row>
    <row r="13127" spans="1:1">
      <c r="A13127" s="1"/>
    </row>
    <row r="13128" spans="1:1">
      <c r="A13128" s="1"/>
    </row>
    <row r="13129" spans="1:1">
      <c r="A13129" s="1"/>
    </row>
    <row r="13130" spans="1:1">
      <c r="A13130" s="1"/>
    </row>
    <row r="13131" spans="1:1">
      <c r="A13131" s="1"/>
    </row>
    <row r="13132" spans="1:1">
      <c r="A13132" s="1"/>
    </row>
    <row r="13133" spans="1:1">
      <c r="A13133" s="1"/>
    </row>
    <row r="13134" spans="1:1">
      <c r="A13134" s="1"/>
    </row>
    <row r="13135" spans="1:1">
      <c r="A13135" s="1"/>
    </row>
    <row r="13136" spans="1:1">
      <c r="A13136" s="1"/>
    </row>
    <row r="13137" spans="1:1">
      <c r="A13137" s="1"/>
    </row>
    <row r="13138" spans="1:1">
      <c r="A13138" s="1"/>
    </row>
    <row r="13139" spans="1:1">
      <c r="A13139" s="1"/>
    </row>
    <row r="13140" spans="1:1">
      <c r="A13140" s="1"/>
    </row>
    <row r="13141" spans="1:1">
      <c r="A13141" s="1"/>
    </row>
    <row r="13142" spans="1:1">
      <c r="A13142" s="1"/>
    </row>
    <row r="13143" spans="1:1">
      <c r="A13143" s="1"/>
    </row>
    <row r="13144" spans="1:1">
      <c r="A13144" s="1"/>
    </row>
    <row r="13145" spans="1:1">
      <c r="A13145" s="1"/>
    </row>
    <row r="13146" spans="1:1">
      <c r="A13146" s="1"/>
    </row>
    <row r="13147" spans="1:1">
      <c r="A13147" s="1"/>
    </row>
    <row r="13148" spans="1:1">
      <c r="A13148" s="1"/>
    </row>
    <row r="13149" spans="1:1">
      <c r="A13149" s="1"/>
    </row>
    <row r="13150" spans="1:1">
      <c r="A13150" s="1"/>
    </row>
    <row r="13151" spans="1:1">
      <c r="A13151" s="1"/>
    </row>
    <row r="13152" spans="1:1">
      <c r="A13152" s="1"/>
    </row>
    <row r="13153" spans="1:1">
      <c r="A13153" s="1"/>
    </row>
    <row r="13154" spans="1:1">
      <c r="A13154" s="1"/>
    </row>
    <row r="13155" spans="1:1">
      <c r="A13155" s="1"/>
    </row>
    <row r="13156" spans="1:1">
      <c r="A13156" s="1"/>
    </row>
    <row r="13157" spans="1:1">
      <c r="A13157" s="1"/>
    </row>
    <row r="13158" spans="1:1">
      <c r="A13158" s="1"/>
    </row>
    <row r="13159" spans="1:1">
      <c r="A13159" s="1"/>
    </row>
    <row r="13160" spans="1:1">
      <c r="A13160" s="1"/>
    </row>
    <row r="13161" spans="1:1">
      <c r="A13161" s="1"/>
    </row>
    <row r="13162" spans="1:1">
      <c r="A13162" s="1"/>
    </row>
    <row r="13163" spans="1:1">
      <c r="A13163" s="1"/>
    </row>
    <row r="13164" spans="1:1">
      <c r="A13164" s="1"/>
    </row>
    <row r="13165" spans="1:1">
      <c r="A13165" s="1"/>
    </row>
    <row r="13166" spans="1:1">
      <c r="A13166" s="1"/>
    </row>
    <row r="13167" spans="1:1">
      <c r="A13167" s="1"/>
    </row>
    <row r="13168" spans="1:1">
      <c r="A13168" s="1"/>
    </row>
    <row r="13169" spans="1:1">
      <c r="A13169" s="1"/>
    </row>
    <row r="13170" spans="1:1">
      <c r="A13170" s="1"/>
    </row>
    <row r="13171" spans="1:1">
      <c r="A13171" s="1"/>
    </row>
    <row r="13172" spans="1:1">
      <c r="A13172" s="1"/>
    </row>
    <row r="13173" spans="1:1">
      <c r="A13173" s="1"/>
    </row>
    <row r="13174" spans="1:1">
      <c r="A13174" s="1"/>
    </row>
    <row r="13175" spans="1:1">
      <c r="A13175" s="1"/>
    </row>
    <row r="13176" spans="1:1">
      <c r="A13176" s="1"/>
    </row>
    <row r="13177" spans="1:1">
      <c r="A13177" s="1"/>
    </row>
    <row r="13178" spans="1:1">
      <c r="A13178" s="1"/>
    </row>
    <row r="13179" spans="1:1">
      <c r="A13179" s="1"/>
    </row>
    <row r="13180" spans="1:1">
      <c r="A13180" s="1"/>
    </row>
    <row r="13181" spans="1:1">
      <c r="A13181" s="1"/>
    </row>
    <row r="13182" spans="1:1">
      <c r="A13182" s="1"/>
    </row>
    <row r="13183" spans="1:1">
      <c r="A13183" s="1"/>
    </row>
    <row r="13184" spans="1:1">
      <c r="A13184" s="1"/>
    </row>
    <row r="13185" spans="1:1">
      <c r="A13185" s="1"/>
    </row>
    <row r="13186" spans="1:1">
      <c r="A13186" s="1"/>
    </row>
    <row r="13187" spans="1:1">
      <c r="A13187" s="1"/>
    </row>
    <row r="13188" spans="1:1">
      <c r="A13188" s="1"/>
    </row>
    <row r="13189" spans="1:1">
      <c r="A13189" s="1"/>
    </row>
    <row r="13190" spans="1:1">
      <c r="A13190" s="1"/>
    </row>
    <row r="13191" spans="1:1">
      <c r="A13191" s="1"/>
    </row>
    <row r="13192" spans="1:1">
      <c r="A13192" s="1"/>
    </row>
    <row r="13193" spans="1:1">
      <c r="A13193" s="1"/>
    </row>
    <row r="13194" spans="1:1">
      <c r="A13194" s="1"/>
    </row>
    <row r="13195" spans="1:1">
      <c r="A13195" s="1"/>
    </row>
    <row r="13196" spans="1:1">
      <c r="A13196" s="1"/>
    </row>
    <row r="13197" spans="1:1">
      <c r="A13197" s="1"/>
    </row>
    <row r="13198" spans="1:1">
      <c r="A13198" s="1"/>
    </row>
    <row r="13199" spans="1:1">
      <c r="A13199" s="1"/>
    </row>
    <row r="13200" spans="1:1">
      <c r="A13200" s="1"/>
    </row>
    <row r="13201" spans="1:1">
      <c r="A13201" s="1"/>
    </row>
    <row r="13202" spans="1:1">
      <c r="A13202" s="1"/>
    </row>
    <row r="13203" spans="1:1">
      <c r="A13203" s="1"/>
    </row>
    <row r="13204" spans="1:1">
      <c r="A13204" s="1"/>
    </row>
    <row r="13205" spans="1:1">
      <c r="A13205" s="1"/>
    </row>
    <row r="13206" spans="1:1">
      <c r="A13206" s="1"/>
    </row>
    <row r="13207" spans="1:1">
      <c r="A13207" s="1"/>
    </row>
    <row r="13208" spans="1:1">
      <c r="A13208" s="1"/>
    </row>
    <row r="13209" spans="1:1">
      <c r="A13209" s="1"/>
    </row>
    <row r="13210" spans="1:1">
      <c r="A13210" s="1"/>
    </row>
    <row r="13211" spans="1:1">
      <c r="A13211" s="1"/>
    </row>
    <row r="13212" spans="1:1">
      <c r="A13212" s="1"/>
    </row>
    <row r="13213" spans="1:1">
      <c r="A13213" s="1"/>
    </row>
    <row r="13214" spans="1:1">
      <c r="A13214" s="1"/>
    </row>
    <row r="13215" spans="1:1">
      <c r="A13215" s="1"/>
    </row>
    <row r="13216" spans="1:1">
      <c r="A13216" s="1"/>
    </row>
    <row r="13217" spans="1:1">
      <c r="A13217" s="1"/>
    </row>
    <row r="13218" spans="1:1">
      <c r="A13218" s="1"/>
    </row>
    <row r="13219" spans="1:1">
      <c r="A13219" s="1"/>
    </row>
    <row r="13220" spans="1:1">
      <c r="A13220" s="1"/>
    </row>
    <row r="13221" spans="1:1">
      <c r="A13221" s="1"/>
    </row>
    <row r="13222" spans="1:1">
      <c r="A13222" s="1"/>
    </row>
    <row r="13223" spans="1:1">
      <c r="A13223" s="1"/>
    </row>
    <row r="13224" spans="1:1">
      <c r="A13224" s="1"/>
    </row>
    <row r="13225" spans="1:1">
      <c r="A13225" s="1"/>
    </row>
    <row r="13226" spans="1:1">
      <c r="A13226" s="1"/>
    </row>
    <row r="13227" spans="1:1">
      <c r="A13227" s="1"/>
    </row>
    <row r="13228" spans="1:1">
      <c r="A13228" s="1"/>
    </row>
    <row r="13229" spans="1:1">
      <c r="A13229" s="1"/>
    </row>
    <row r="13230" spans="1:1">
      <c r="A13230" s="1"/>
    </row>
    <row r="13231" spans="1:1">
      <c r="A13231" s="1"/>
    </row>
    <row r="13232" spans="1:1">
      <c r="A13232" s="1"/>
    </row>
    <row r="13233" spans="1:1">
      <c r="A13233" s="1"/>
    </row>
    <row r="13234" spans="1:1">
      <c r="A13234" s="1"/>
    </row>
    <row r="13235" spans="1:1">
      <c r="A13235" s="1"/>
    </row>
    <row r="13236" spans="1:1">
      <c r="A13236" s="1"/>
    </row>
    <row r="13237" spans="1:1">
      <c r="A13237" s="1"/>
    </row>
    <row r="13238" spans="1:1">
      <c r="A13238" s="1"/>
    </row>
    <row r="13239" spans="1:1">
      <c r="A13239" s="1"/>
    </row>
    <row r="13240" spans="1:1">
      <c r="A13240" s="1"/>
    </row>
    <row r="13241" spans="1:1">
      <c r="A13241" s="1"/>
    </row>
    <row r="13242" spans="1:1">
      <c r="A13242" s="1"/>
    </row>
    <row r="13243" spans="1:1">
      <c r="A13243" s="1"/>
    </row>
    <row r="13244" spans="1:1">
      <c r="A13244" s="1"/>
    </row>
    <row r="13245" spans="1:1">
      <c r="A13245" s="1"/>
    </row>
    <row r="13246" spans="1:1">
      <c r="A13246" s="1"/>
    </row>
    <row r="13247" spans="1:1">
      <c r="A13247" s="1"/>
    </row>
    <row r="13248" spans="1:1">
      <c r="A13248" s="1"/>
    </row>
    <row r="13249" spans="1:1">
      <c r="A13249" s="1"/>
    </row>
    <row r="13250" spans="1:1">
      <c r="A13250" s="1"/>
    </row>
    <row r="13251" spans="1:1">
      <c r="A13251" s="1"/>
    </row>
    <row r="13252" spans="1:1">
      <c r="A13252" s="1"/>
    </row>
    <row r="13253" spans="1:1">
      <c r="A13253" s="1"/>
    </row>
    <row r="13254" spans="1:1">
      <c r="A13254" s="1"/>
    </row>
    <row r="13255" spans="1:1">
      <c r="A13255" s="1"/>
    </row>
    <row r="13256" spans="1:1">
      <c r="A13256" s="1"/>
    </row>
    <row r="13257" spans="1:1">
      <c r="A13257" s="1"/>
    </row>
    <row r="13258" spans="1:1">
      <c r="A13258" s="1"/>
    </row>
    <row r="13259" spans="1:1">
      <c r="A13259" s="1"/>
    </row>
    <row r="13260" spans="1:1">
      <c r="A13260" s="1"/>
    </row>
    <row r="13261" spans="1:1">
      <c r="A13261" s="1"/>
    </row>
    <row r="13262" spans="1:1">
      <c r="A13262" s="1"/>
    </row>
    <row r="13263" spans="1:1">
      <c r="A13263" s="1"/>
    </row>
    <row r="13264" spans="1:1">
      <c r="A13264" s="1"/>
    </row>
    <row r="13265" spans="1:1">
      <c r="A13265" s="1"/>
    </row>
    <row r="13266" spans="1:1">
      <c r="A13266" s="1"/>
    </row>
    <row r="13267" spans="1:1">
      <c r="A13267" s="1"/>
    </row>
    <row r="13268" spans="1:1">
      <c r="A13268" s="1"/>
    </row>
    <row r="13269" spans="1:1">
      <c r="A13269" s="1"/>
    </row>
    <row r="13270" spans="1:1">
      <c r="A13270" s="1"/>
    </row>
    <row r="13271" spans="1:1">
      <c r="A13271" s="1"/>
    </row>
    <row r="13272" spans="1:1">
      <c r="A13272" s="1"/>
    </row>
    <row r="13273" spans="1:1">
      <c r="A13273" s="1"/>
    </row>
    <row r="13274" spans="1:1">
      <c r="A13274" s="1"/>
    </row>
    <row r="13275" spans="1:1">
      <c r="A13275" s="1"/>
    </row>
    <row r="13276" spans="1:1">
      <c r="A13276" s="1"/>
    </row>
    <row r="13277" spans="1:1">
      <c r="A13277" s="1"/>
    </row>
    <row r="13278" spans="1:1">
      <c r="A13278" s="1"/>
    </row>
    <row r="13279" spans="1:1">
      <c r="A13279" s="1"/>
    </row>
    <row r="13280" spans="1:1">
      <c r="A13280" s="1"/>
    </row>
    <row r="13281" spans="1:1">
      <c r="A13281" s="1"/>
    </row>
    <row r="13282" spans="1:1">
      <c r="A13282" s="1"/>
    </row>
    <row r="13283" spans="1:1">
      <c r="A13283" s="1"/>
    </row>
    <row r="13284" spans="1:1">
      <c r="A13284" s="1"/>
    </row>
    <row r="13285" spans="1:1">
      <c r="A13285" s="1"/>
    </row>
    <row r="13286" spans="1:1">
      <c r="A13286" s="1"/>
    </row>
    <row r="13287" spans="1:1">
      <c r="A13287" s="1"/>
    </row>
    <row r="13288" spans="1:1">
      <c r="A13288" s="1"/>
    </row>
    <row r="13289" spans="1:1">
      <c r="A13289" s="1"/>
    </row>
    <row r="13290" spans="1:1">
      <c r="A13290" s="1"/>
    </row>
    <row r="13291" spans="1:1">
      <c r="A13291" s="1"/>
    </row>
    <row r="13292" spans="1:1">
      <c r="A13292" s="1"/>
    </row>
    <row r="13293" spans="1:1">
      <c r="A13293" s="1"/>
    </row>
    <row r="13294" spans="1:1">
      <c r="A13294" s="1"/>
    </row>
    <row r="13295" spans="1:1">
      <c r="A13295" s="1"/>
    </row>
    <row r="13296" spans="1:1">
      <c r="A13296" s="1"/>
    </row>
    <row r="13297" spans="1:1">
      <c r="A13297" s="1"/>
    </row>
    <row r="13298" spans="1:1">
      <c r="A13298" s="1"/>
    </row>
    <row r="13299" spans="1:1">
      <c r="A13299" s="1"/>
    </row>
    <row r="13300" spans="1:1">
      <c r="A13300" s="1"/>
    </row>
    <row r="13301" spans="1:1">
      <c r="A13301" s="1"/>
    </row>
    <row r="13302" spans="1:1">
      <c r="A13302" s="1"/>
    </row>
    <row r="13303" spans="1:1">
      <c r="A13303" s="1"/>
    </row>
    <row r="13304" spans="1:1">
      <c r="A13304" s="1"/>
    </row>
    <row r="13305" spans="1:1">
      <c r="A13305" s="1"/>
    </row>
    <row r="13306" spans="1:1">
      <c r="A13306" s="1"/>
    </row>
    <row r="13307" spans="1:1">
      <c r="A13307" s="1"/>
    </row>
    <row r="13308" spans="1:1">
      <c r="A13308" s="1"/>
    </row>
    <row r="13309" spans="1:1">
      <c r="A13309" s="1"/>
    </row>
    <row r="13310" spans="1:1">
      <c r="A13310" s="1"/>
    </row>
    <row r="13311" spans="1:1">
      <c r="A13311" s="1"/>
    </row>
    <row r="13312" spans="1:1">
      <c r="A13312" s="1"/>
    </row>
    <row r="13313" spans="1:1">
      <c r="A13313" s="1"/>
    </row>
    <row r="13314" spans="1:1">
      <c r="A13314" s="1"/>
    </row>
    <row r="13315" spans="1:1">
      <c r="A13315" s="1"/>
    </row>
    <row r="13316" spans="1:1">
      <c r="A13316" s="1"/>
    </row>
    <row r="13317" spans="1:1">
      <c r="A13317" s="1"/>
    </row>
    <row r="13318" spans="1:1">
      <c r="A13318" s="1"/>
    </row>
    <row r="13319" spans="1:1">
      <c r="A13319" s="1"/>
    </row>
    <row r="13320" spans="1:1">
      <c r="A13320" s="1"/>
    </row>
    <row r="13321" spans="1:1">
      <c r="A13321" s="1"/>
    </row>
    <row r="13322" spans="1:1">
      <c r="A13322" s="1"/>
    </row>
    <row r="13323" spans="1:1">
      <c r="A13323" s="1"/>
    </row>
    <row r="13324" spans="1:1">
      <c r="A13324" s="1"/>
    </row>
    <row r="13325" spans="1:1">
      <c r="A13325" s="1"/>
    </row>
    <row r="13326" spans="1:1">
      <c r="A13326" s="1"/>
    </row>
    <row r="13327" spans="1:1">
      <c r="A13327" s="1"/>
    </row>
    <row r="13328" spans="1:1">
      <c r="A13328" s="1"/>
    </row>
    <row r="13329" spans="1:1">
      <c r="A13329" s="1"/>
    </row>
    <row r="13330" spans="1:1">
      <c r="A13330" s="1"/>
    </row>
    <row r="13331" spans="1:1">
      <c r="A13331" s="1"/>
    </row>
    <row r="13332" spans="1:1">
      <c r="A13332" s="1"/>
    </row>
    <row r="13333" spans="1:1">
      <c r="A13333" s="1"/>
    </row>
    <row r="13334" spans="1:1">
      <c r="A13334" s="1"/>
    </row>
    <row r="13335" spans="1:1">
      <c r="A13335" s="1"/>
    </row>
    <row r="13336" spans="1:1">
      <c r="A13336" s="1"/>
    </row>
    <row r="13337" spans="1:1">
      <c r="A13337" s="1"/>
    </row>
    <row r="13338" spans="1:1">
      <c r="A13338" s="1"/>
    </row>
    <row r="13339" spans="1:1">
      <c r="A13339" s="1"/>
    </row>
    <row r="13340" spans="1:1">
      <c r="A13340" s="1"/>
    </row>
    <row r="13341" spans="1:1">
      <c r="A13341" s="1"/>
    </row>
    <row r="13342" spans="1:1">
      <c r="A13342" s="1"/>
    </row>
    <row r="13343" spans="1:1">
      <c r="A13343" s="1"/>
    </row>
    <row r="13344" spans="1:1">
      <c r="A13344" s="1"/>
    </row>
    <row r="13345" spans="1:1">
      <c r="A13345" s="1"/>
    </row>
    <row r="13346" spans="1:1">
      <c r="A13346" s="1"/>
    </row>
    <row r="13347" spans="1:1">
      <c r="A13347" s="1"/>
    </row>
    <row r="13348" spans="1:1">
      <c r="A13348" s="1"/>
    </row>
    <row r="13349" spans="1:1">
      <c r="A13349" s="1"/>
    </row>
    <row r="13350" spans="1:1">
      <c r="A13350" s="1"/>
    </row>
    <row r="13351" spans="1:1">
      <c r="A13351" s="1"/>
    </row>
    <row r="13352" spans="1:1">
      <c r="A13352" s="1"/>
    </row>
    <row r="13353" spans="1:1">
      <c r="A13353" s="1"/>
    </row>
    <row r="13354" spans="1:1">
      <c r="A13354" s="1"/>
    </row>
    <row r="13355" spans="1:1">
      <c r="A13355" s="1"/>
    </row>
    <row r="13356" spans="1:1">
      <c r="A13356" s="1"/>
    </row>
    <row r="13357" spans="1:1">
      <c r="A13357" s="1"/>
    </row>
    <row r="13358" spans="1:1">
      <c r="A13358" s="1"/>
    </row>
    <row r="13359" spans="1:1">
      <c r="A13359" s="1"/>
    </row>
    <row r="13360" spans="1:1">
      <c r="A13360" s="1"/>
    </row>
    <row r="13361" spans="1:1">
      <c r="A13361" s="1"/>
    </row>
    <row r="13362" spans="1:1">
      <c r="A13362" s="1"/>
    </row>
    <row r="13363" spans="1:1">
      <c r="A13363" s="1"/>
    </row>
    <row r="13364" spans="1:1">
      <c r="A13364" s="1"/>
    </row>
    <row r="13365" spans="1:1">
      <c r="A13365" s="1"/>
    </row>
    <row r="13366" spans="1:1">
      <c r="A13366" s="1"/>
    </row>
    <row r="13367" spans="1:1">
      <c r="A13367" s="1"/>
    </row>
    <row r="13368" spans="1:1">
      <c r="A13368" s="1"/>
    </row>
    <row r="13369" spans="1:1">
      <c r="A13369" s="1"/>
    </row>
    <row r="13370" spans="1:1">
      <c r="A13370" s="1"/>
    </row>
    <row r="13371" spans="1:1">
      <c r="A13371" s="1"/>
    </row>
    <row r="13372" spans="1:1">
      <c r="A13372" s="1"/>
    </row>
    <row r="13373" spans="1:1">
      <c r="A13373" s="1"/>
    </row>
    <row r="13374" spans="1:1">
      <c r="A13374" s="1"/>
    </row>
    <row r="13375" spans="1:1">
      <c r="A13375" s="1"/>
    </row>
    <row r="13376" spans="1:1">
      <c r="A13376" s="1"/>
    </row>
    <row r="13377" spans="1:1">
      <c r="A13377" s="1"/>
    </row>
    <row r="13378" spans="1:1">
      <c r="A13378" s="1"/>
    </row>
    <row r="13379" spans="1:1">
      <c r="A13379" s="1"/>
    </row>
    <row r="13380" spans="1:1">
      <c r="A13380" s="1"/>
    </row>
    <row r="13381" spans="1:1">
      <c r="A13381" s="1"/>
    </row>
    <row r="13382" spans="1:1">
      <c r="A13382" s="1"/>
    </row>
    <row r="13383" spans="1:1">
      <c r="A13383" s="1"/>
    </row>
    <row r="13384" spans="1:1">
      <c r="A13384" s="1"/>
    </row>
    <row r="13385" spans="1:1">
      <c r="A13385" s="1"/>
    </row>
    <row r="13386" spans="1:1">
      <c r="A13386" s="1"/>
    </row>
    <row r="13387" spans="1:1">
      <c r="A13387" s="1"/>
    </row>
    <row r="13388" spans="1:1">
      <c r="A13388" s="1"/>
    </row>
    <row r="13389" spans="1:1">
      <c r="A13389" s="1"/>
    </row>
    <row r="13390" spans="1:1">
      <c r="A13390" s="1"/>
    </row>
    <row r="13391" spans="1:1">
      <c r="A13391" s="1"/>
    </row>
    <row r="13392" spans="1:1">
      <c r="A13392" s="1"/>
    </row>
    <row r="13393" spans="1:1">
      <c r="A13393" s="1"/>
    </row>
    <row r="13394" spans="1:1">
      <c r="A13394" s="1"/>
    </row>
    <row r="13395" spans="1:1">
      <c r="A13395" s="1"/>
    </row>
    <row r="13396" spans="1:1">
      <c r="A13396" s="1"/>
    </row>
    <row r="13397" spans="1:1">
      <c r="A13397" s="1"/>
    </row>
    <row r="13398" spans="1:1">
      <c r="A13398" s="1"/>
    </row>
    <row r="13399" spans="1:1">
      <c r="A13399" s="1"/>
    </row>
    <row r="13400" spans="1:1">
      <c r="A13400" s="1"/>
    </row>
    <row r="13401" spans="1:1">
      <c r="A13401" s="1"/>
    </row>
    <row r="13402" spans="1:1">
      <c r="A13402" s="1"/>
    </row>
    <row r="13403" spans="1:1">
      <c r="A13403" s="1"/>
    </row>
    <row r="13404" spans="1:1">
      <c r="A13404" s="1"/>
    </row>
    <row r="13405" spans="1:1">
      <c r="A13405" s="1"/>
    </row>
    <row r="13406" spans="1:1">
      <c r="A13406" s="1"/>
    </row>
    <row r="13407" spans="1:1">
      <c r="A13407" s="1"/>
    </row>
    <row r="13408" spans="1:1">
      <c r="A13408" s="1"/>
    </row>
    <row r="13409" spans="1:1">
      <c r="A13409" s="1"/>
    </row>
    <row r="13410" spans="1:1">
      <c r="A13410" s="1"/>
    </row>
    <row r="13411" spans="1:1">
      <c r="A13411" s="1"/>
    </row>
    <row r="13412" spans="1:1">
      <c r="A13412" s="1"/>
    </row>
    <row r="13413" spans="1:1">
      <c r="A13413" s="1"/>
    </row>
    <row r="13414" spans="1:1">
      <c r="A13414" s="1"/>
    </row>
    <row r="13415" spans="1:1">
      <c r="A13415" s="1"/>
    </row>
    <row r="13416" spans="1:1">
      <c r="A13416" s="1"/>
    </row>
    <row r="13417" spans="1:1">
      <c r="A13417" s="1"/>
    </row>
    <row r="13418" spans="1:1">
      <c r="A13418" s="1"/>
    </row>
    <row r="13419" spans="1:1">
      <c r="A13419" s="1"/>
    </row>
    <row r="13420" spans="1:1">
      <c r="A13420" s="1"/>
    </row>
    <row r="13421" spans="1:1">
      <c r="A13421" s="1"/>
    </row>
    <row r="13422" spans="1:1">
      <c r="A13422" s="1"/>
    </row>
    <row r="13423" spans="1:1">
      <c r="A13423" s="1"/>
    </row>
    <row r="13424" spans="1:1">
      <c r="A13424" s="1"/>
    </row>
    <row r="13425" spans="1:1">
      <c r="A13425" s="1"/>
    </row>
    <row r="13426" spans="1:1">
      <c r="A13426" s="1"/>
    </row>
    <row r="13427" spans="1:1">
      <c r="A13427" s="1"/>
    </row>
    <row r="13428" spans="1:1">
      <c r="A13428" s="1"/>
    </row>
    <row r="13429" spans="1:1">
      <c r="A13429" s="1"/>
    </row>
    <row r="13430" spans="1:1">
      <c r="A13430" s="1"/>
    </row>
    <row r="13431" spans="1:1">
      <c r="A13431" s="1"/>
    </row>
    <row r="13432" spans="1:1">
      <c r="A13432" s="1"/>
    </row>
    <row r="13433" spans="1:1">
      <c r="A13433" s="1"/>
    </row>
    <row r="13434" spans="1:1">
      <c r="A13434" s="1"/>
    </row>
    <row r="13435" spans="1:1">
      <c r="A13435" s="1"/>
    </row>
    <row r="13436" spans="1:1">
      <c r="A13436" s="1"/>
    </row>
    <row r="13437" spans="1:1">
      <c r="A13437" s="1"/>
    </row>
    <row r="13438" spans="1:1">
      <c r="A13438" s="1"/>
    </row>
    <row r="13439" spans="1:1">
      <c r="A13439" s="1"/>
    </row>
    <row r="13440" spans="1:1">
      <c r="A13440" s="1"/>
    </row>
    <row r="13441" spans="1:1">
      <c r="A13441" s="1"/>
    </row>
    <row r="13442" spans="1:1">
      <c r="A13442" s="1"/>
    </row>
    <row r="13443" spans="1:1">
      <c r="A13443" s="1"/>
    </row>
    <row r="13444" spans="1:1">
      <c r="A13444" s="1"/>
    </row>
    <row r="13445" spans="1:1">
      <c r="A13445" s="1"/>
    </row>
    <row r="13446" spans="1:1">
      <c r="A13446" s="1"/>
    </row>
    <row r="13447" spans="1:1">
      <c r="A13447" s="1"/>
    </row>
    <row r="13448" spans="1:1">
      <c r="A13448" s="1"/>
    </row>
    <row r="13449" spans="1:1">
      <c r="A13449" s="1"/>
    </row>
    <row r="13450" spans="1:1">
      <c r="A13450" s="1"/>
    </row>
    <row r="13451" spans="1:1">
      <c r="A13451" s="1"/>
    </row>
    <row r="13452" spans="1:1">
      <c r="A13452" s="1"/>
    </row>
    <row r="13453" spans="1:1">
      <c r="A13453" s="1"/>
    </row>
    <row r="13454" spans="1:1">
      <c r="A13454" s="1"/>
    </row>
    <row r="13455" spans="1:1">
      <c r="A13455" s="1"/>
    </row>
    <row r="13456" spans="1:1">
      <c r="A13456" s="1"/>
    </row>
    <row r="13457" spans="1:1">
      <c r="A13457" s="1"/>
    </row>
    <row r="13458" spans="1:1">
      <c r="A13458" s="1"/>
    </row>
    <row r="13459" spans="1:1">
      <c r="A13459" s="1"/>
    </row>
    <row r="13460" spans="1:1">
      <c r="A13460" s="1"/>
    </row>
    <row r="13461" spans="1:1">
      <c r="A13461" s="1"/>
    </row>
    <row r="13462" spans="1:1">
      <c r="A13462" s="1"/>
    </row>
    <row r="13463" spans="1:1">
      <c r="A13463" s="1"/>
    </row>
    <row r="13464" spans="1:1">
      <c r="A13464" s="1"/>
    </row>
    <row r="13465" spans="1:1">
      <c r="A13465" s="1"/>
    </row>
    <row r="13466" spans="1:1">
      <c r="A13466" s="1"/>
    </row>
    <row r="13467" spans="1:1">
      <c r="A13467" s="1"/>
    </row>
    <row r="13468" spans="1:1">
      <c r="A13468" s="1"/>
    </row>
    <row r="13469" spans="1:1">
      <c r="A13469" s="1"/>
    </row>
    <row r="13470" spans="1:1">
      <c r="A13470" s="1"/>
    </row>
    <row r="13471" spans="1:1">
      <c r="A13471" s="1"/>
    </row>
    <row r="13472" spans="1:1">
      <c r="A13472" s="1"/>
    </row>
    <row r="13473" spans="1:1">
      <c r="A13473" s="1"/>
    </row>
    <row r="13474" spans="1:1">
      <c r="A13474" s="1"/>
    </row>
    <row r="13475" spans="1:1">
      <c r="A13475" s="1"/>
    </row>
    <row r="13476" spans="1:1">
      <c r="A13476" s="1"/>
    </row>
    <row r="13477" spans="1:1">
      <c r="A13477" s="1"/>
    </row>
    <row r="13478" spans="1:1">
      <c r="A13478" s="1"/>
    </row>
    <row r="13479" spans="1:1">
      <c r="A13479" s="1"/>
    </row>
    <row r="13480" spans="1:1">
      <c r="A13480" s="1"/>
    </row>
    <row r="13481" spans="1:1">
      <c r="A13481" s="1"/>
    </row>
    <row r="13482" spans="1:1">
      <c r="A13482" s="1"/>
    </row>
    <row r="13483" spans="1:1">
      <c r="A13483" s="1"/>
    </row>
    <row r="13484" spans="1:1">
      <c r="A13484" s="1"/>
    </row>
    <row r="13485" spans="1:1">
      <c r="A13485" s="1"/>
    </row>
    <row r="13486" spans="1:1">
      <c r="A13486" s="1"/>
    </row>
    <row r="13487" spans="1:1">
      <c r="A13487" s="1"/>
    </row>
    <row r="13488" spans="1:1">
      <c r="A13488" s="1"/>
    </row>
    <row r="13489" spans="1:1">
      <c r="A13489" s="1"/>
    </row>
    <row r="13490" spans="1:1">
      <c r="A13490" s="1"/>
    </row>
    <row r="13491" spans="1:1">
      <c r="A13491" s="1"/>
    </row>
    <row r="13492" spans="1:1">
      <c r="A13492" s="1"/>
    </row>
    <row r="13493" spans="1:1">
      <c r="A13493" s="1"/>
    </row>
    <row r="13494" spans="1:1">
      <c r="A13494" s="1"/>
    </row>
    <row r="13495" spans="1:1">
      <c r="A13495" s="1"/>
    </row>
    <row r="13496" spans="1:1">
      <c r="A13496" s="1"/>
    </row>
    <row r="13497" spans="1:1">
      <c r="A13497" s="1"/>
    </row>
    <row r="13498" spans="1:1">
      <c r="A13498" s="1"/>
    </row>
    <row r="13499" spans="1:1">
      <c r="A13499" s="1"/>
    </row>
    <row r="13500" spans="1:1">
      <c r="A13500" s="1"/>
    </row>
    <row r="13501" spans="1:1">
      <c r="A13501" s="1"/>
    </row>
    <row r="13502" spans="1:1">
      <c r="A13502" s="1"/>
    </row>
    <row r="13503" spans="1:1">
      <c r="A13503" s="1"/>
    </row>
    <row r="13504" spans="1:1">
      <c r="A13504" s="1"/>
    </row>
    <row r="13505" spans="1:1">
      <c r="A13505" s="1"/>
    </row>
    <row r="13506" spans="1:1">
      <c r="A13506" s="1"/>
    </row>
    <row r="13507" spans="1:1">
      <c r="A13507" s="1"/>
    </row>
    <row r="13508" spans="1:1">
      <c r="A13508" s="1"/>
    </row>
    <row r="13509" spans="1:1">
      <c r="A13509" s="1"/>
    </row>
    <row r="13510" spans="1:1">
      <c r="A13510" s="1"/>
    </row>
    <row r="13511" spans="1:1">
      <c r="A13511" s="1"/>
    </row>
    <row r="13512" spans="1:1">
      <c r="A13512" s="1"/>
    </row>
    <row r="13513" spans="1:1">
      <c r="A13513" s="1"/>
    </row>
    <row r="13514" spans="1:1">
      <c r="A13514" s="1"/>
    </row>
    <row r="13515" spans="1:1">
      <c r="A13515" s="1"/>
    </row>
    <row r="13516" spans="1:1">
      <c r="A13516" s="1"/>
    </row>
    <row r="13517" spans="1:1">
      <c r="A13517" s="1"/>
    </row>
    <row r="13518" spans="1:1">
      <c r="A13518" s="1"/>
    </row>
    <row r="13519" spans="1:1">
      <c r="A13519" s="1"/>
    </row>
    <row r="13520" spans="1:1">
      <c r="A13520" s="1"/>
    </row>
    <row r="13521" spans="1:1">
      <c r="A13521" s="1"/>
    </row>
    <row r="13522" spans="1:1">
      <c r="A13522" s="1"/>
    </row>
    <row r="13523" spans="1:1">
      <c r="A13523" s="1"/>
    </row>
    <row r="13524" spans="1:1">
      <c r="A13524" s="1"/>
    </row>
    <row r="13525" spans="1:1">
      <c r="A13525" s="1"/>
    </row>
    <row r="13526" spans="1:1">
      <c r="A13526" s="1"/>
    </row>
    <row r="13527" spans="1:1">
      <c r="A13527" s="1"/>
    </row>
    <row r="13528" spans="1:1">
      <c r="A13528" s="1"/>
    </row>
    <row r="13529" spans="1:1">
      <c r="A13529" s="1"/>
    </row>
    <row r="13530" spans="1:1">
      <c r="A13530" s="1"/>
    </row>
    <row r="13531" spans="1:1">
      <c r="A13531" s="1"/>
    </row>
    <row r="13532" spans="1:1">
      <c r="A13532" s="1"/>
    </row>
    <row r="13533" spans="1:1">
      <c r="A13533" s="1"/>
    </row>
    <row r="13534" spans="1:1">
      <c r="A13534" s="1"/>
    </row>
    <row r="13535" spans="1:1">
      <c r="A13535" s="1"/>
    </row>
    <row r="13536" spans="1:1">
      <c r="A13536" s="1"/>
    </row>
    <row r="13537" spans="1:1">
      <c r="A13537" s="1"/>
    </row>
    <row r="13538" spans="1:1">
      <c r="A13538" s="1"/>
    </row>
    <row r="13539" spans="1:1">
      <c r="A13539" s="1"/>
    </row>
    <row r="13540" spans="1:1">
      <c r="A13540" s="1"/>
    </row>
    <row r="13541" spans="1:1">
      <c r="A13541" s="1"/>
    </row>
    <row r="13542" spans="1:1">
      <c r="A13542" s="1"/>
    </row>
    <row r="13543" spans="1:1">
      <c r="A13543" s="1"/>
    </row>
    <row r="13544" spans="1:1">
      <c r="A13544" s="1"/>
    </row>
    <row r="13545" spans="1:1">
      <c r="A13545" s="1"/>
    </row>
    <row r="13546" spans="1:1">
      <c r="A13546" s="1"/>
    </row>
    <row r="13547" spans="1:1">
      <c r="A13547" s="1"/>
    </row>
    <row r="13548" spans="1:1">
      <c r="A13548" s="1"/>
    </row>
    <row r="13549" spans="1:1">
      <c r="A13549" s="1"/>
    </row>
    <row r="13550" spans="1:1">
      <c r="A13550" s="1"/>
    </row>
    <row r="13551" spans="1:1">
      <c r="A13551" s="1"/>
    </row>
    <row r="13552" spans="1:1">
      <c r="A13552" s="1"/>
    </row>
    <row r="13553" spans="1:1">
      <c r="A13553" s="1"/>
    </row>
    <row r="13554" spans="1:1">
      <c r="A13554" s="1"/>
    </row>
    <row r="13555" spans="1:1">
      <c r="A13555" s="1"/>
    </row>
    <row r="13556" spans="1:1">
      <c r="A13556" s="1"/>
    </row>
    <row r="13557" spans="1:1">
      <c r="A13557" s="1"/>
    </row>
    <row r="13558" spans="1:1">
      <c r="A13558" s="1"/>
    </row>
    <row r="13559" spans="1:1">
      <c r="A13559" s="1"/>
    </row>
    <row r="13560" spans="1:1">
      <c r="A13560" s="1"/>
    </row>
    <row r="13561" spans="1:1">
      <c r="A13561" s="1"/>
    </row>
    <row r="13562" spans="1:1">
      <c r="A13562" s="1"/>
    </row>
    <row r="13563" spans="1:1">
      <c r="A13563" s="1"/>
    </row>
    <row r="13564" spans="1:1">
      <c r="A13564" s="1"/>
    </row>
    <row r="13565" spans="1:1">
      <c r="A13565" s="1"/>
    </row>
    <row r="13566" spans="1:1">
      <c r="A13566" s="1"/>
    </row>
    <row r="13567" spans="1:1">
      <c r="A13567" s="1"/>
    </row>
    <row r="13568" spans="1:1">
      <c r="A13568" s="1"/>
    </row>
    <row r="13569" spans="1:1">
      <c r="A13569" s="1"/>
    </row>
    <row r="13570" spans="1:1">
      <c r="A13570" s="1"/>
    </row>
    <row r="13571" spans="1:1">
      <c r="A13571" s="1"/>
    </row>
    <row r="13572" spans="1:1">
      <c r="A13572" s="1"/>
    </row>
    <row r="13573" spans="1:1">
      <c r="A13573" s="1"/>
    </row>
    <row r="13574" spans="1:1">
      <c r="A13574" s="1"/>
    </row>
    <row r="13575" spans="1:1">
      <c r="A13575" s="1"/>
    </row>
    <row r="13576" spans="1:1">
      <c r="A13576" s="1"/>
    </row>
    <row r="13577" spans="1:1">
      <c r="A13577" s="1"/>
    </row>
    <row r="13578" spans="1:1">
      <c r="A13578" s="1"/>
    </row>
    <row r="13579" spans="1:1">
      <c r="A13579" s="1"/>
    </row>
    <row r="13580" spans="1:1">
      <c r="A13580" s="1"/>
    </row>
    <row r="13581" spans="1:1">
      <c r="A13581" s="1"/>
    </row>
    <row r="13582" spans="1:1">
      <c r="A13582" s="1"/>
    </row>
    <row r="13583" spans="1:1">
      <c r="A13583" s="1"/>
    </row>
    <row r="13584" spans="1:1">
      <c r="A13584" s="1"/>
    </row>
    <row r="13585" spans="1:1">
      <c r="A13585" s="1"/>
    </row>
    <row r="13586" spans="1:1">
      <c r="A13586" s="1"/>
    </row>
    <row r="13587" spans="1:1">
      <c r="A13587" s="1"/>
    </row>
    <row r="13588" spans="1:1">
      <c r="A13588" s="1"/>
    </row>
    <row r="13589" spans="1:1">
      <c r="A13589" s="1"/>
    </row>
    <row r="13590" spans="1:1">
      <c r="A13590" s="1"/>
    </row>
    <row r="13591" spans="1:1">
      <c r="A13591" s="1"/>
    </row>
    <row r="13592" spans="1:1">
      <c r="A13592" s="1"/>
    </row>
    <row r="13593" spans="1:1">
      <c r="A13593" s="1"/>
    </row>
    <row r="13594" spans="1:1">
      <c r="A13594" s="1"/>
    </row>
    <row r="13595" spans="1:1">
      <c r="A13595" s="1"/>
    </row>
    <row r="13596" spans="1:1">
      <c r="A13596" s="1"/>
    </row>
    <row r="13597" spans="1:1">
      <c r="A13597" s="1"/>
    </row>
    <row r="13598" spans="1:1">
      <c r="A13598" s="1"/>
    </row>
    <row r="13599" spans="1:1">
      <c r="A13599" s="1"/>
    </row>
    <row r="13600" spans="1:1">
      <c r="A13600" s="1"/>
    </row>
    <row r="13601" spans="1:1">
      <c r="A13601" s="1"/>
    </row>
    <row r="13602" spans="1:1">
      <c r="A13602" s="1"/>
    </row>
    <row r="13603" spans="1:1">
      <c r="A13603" s="1"/>
    </row>
    <row r="13604" spans="1:1">
      <c r="A13604" s="1"/>
    </row>
    <row r="13605" spans="1:1">
      <c r="A13605" s="1"/>
    </row>
    <row r="13606" spans="1:1">
      <c r="A13606" s="1"/>
    </row>
    <row r="13607" spans="1:1">
      <c r="A13607" s="1"/>
    </row>
    <row r="13608" spans="1:1">
      <c r="A13608" s="1"/>
    </row>
    <row r="13609" spans="1:1">
      <c r="A13609" s="1"/>
    </row>
    <row r="13610" spans="1:1">
      <c r="A13610" s="1"/>
    </row>
    <row r="13611" spans="1:1">
      <c r="A13611" s="1"/>
    </row>
    <row r="13612" spans="1:1">
      <c r="A13612" s="1"/>
    </row>
    <row r="13613" spans="1:1">
      <c r="A13613" s="1"/>
    </row>
    <row r="13614" spans="1:1">
      <c r="A13614" s="1"/>
    </row>
    <row r="13615" spans="1:1">
      <c r="A13615" s="1"/>
    </row>
    <row r="13616" spans="1:1">
      <c r="A13616" s="1"/>
    </row>
    <row r="13617" spans="1:1">
      <c r="A13617" s="1"/>
    </row>
    <row r="13618" spans="1:1">
      <c r="A13618" s="1"/>
    </row>
    <row r="13619" spans="1:1">
      <c r="A13619" s="1"/>
    </row>
    <row r="13620" spans="1:1">
      <c r="A13620" s="1"/>
    </row>
    <row r="13621" spans="1:1">
      <c r="A13621" s="1"/>
    </row>
    <row r="13622" spans="1:1">
      <c r="A13622" s="1"/>
    </row>
    <row r="13623" spans="1:1">
      <c r="A13623" s="1"/>
    </row>
    <row r="13624" spans="1:1">
      <c r="A13624" s="1"/>
    </row>
    <row r="13625" spans="1:1">
      <c r="A13625" s="1"/>
    </row>
    <row r="13626" spans="1:1">
      <c r="A13626" s="1"/>
    </row>
    <row r="13627" spans="1:1">
      <c r="A13627" s="1"/>
    </row>
    <row r="13628" spans="1:1">
      <c r="A13628" s="1"/>
    </row>
    <row r="13629" spans="1:1">
      <c r="A13629" s="1"/>
    </row>
    <row r="13630" spans="1:1">
      <c r="A13630" s="1"/>
    </row>
    <row r="13631" spans="1:1">
      <c r="A13631" s="1"/>
    </row>
    <row r="13632" spans="1:1">
      <c r="A13632" s="1"/>
    </row>
    <row r="13633" spans="1:1">
      <c r="A13633" s="1"/>
    </row>
    <row r="13634" spans="1:1">
      <c r="A13634" s="1"/>
    </row>
    <row r="13635" spans="1:1">
      <c r="A13635" s="1"/>
    </row>
    <row r="13636" spans="1:1">
      <c r="A13636" s="1"/>
    </row>
    <row r="13637" spans="1:1">
      <c r="A13637" s="1"/>
    </row>
    <row r="13638" spans="1:1">
      <c r="A13638" s="1"/>
    </row>
    <row r="13639" spans="1:1">
      <c r="A13639" s="1"/>
    </row>
    <row r="13640" spans="1:1">
      <c r="A13640" s="1"/>
    </row>
    <row r="13641" spans="1:1">
      <c r="A13641" s="1"/>
    </row>
    <row r="13642" spans="1:1">
      <c r="A13642" s="1"/>
    </row>
    <row r="13643" spans="1:1">
      <c r="A13643" s="1"/>
    </row>
    <row r="13644" spans="1:1">
      <c r="A13644" s="1"/>
    </row>
    <row r="13645" spans="1:1">
      <c r="A13645" s="1"/>
    </row>
    <row r="13646" spans="1:1">
      <c r="A13646" s="1"/>
    </row>
    <row r="13647" spans="1:1">
      <c r="A13647" s="1"/>
    </row>
    <row r="13648" spans="1:1">
      <c r="A13648" s="1"/>
    </row>
    <row r="13649" spans="1:1">
      <c r="A13649" s="1"/>
    </row>
    <row r="13650" spans="1:1">
      <c r="A13650" s="1"/>
    </row>
    <row r="13651" spans="1:1">
      <c r="A13651" s="1"/>
    </row>
    <row r="13652" spans="1:1">
      <c r="A13652" s="1"/>
    </row>
    <row r="13653" spans="1:1">
      <c r="A13653" s="1"/>
    </row>
    <row r="13654" spans="1:1">
      <c r="A13654" s="1"/>
    </row>
    <row r="13655" spans="1:1">
      <c r="A13655" s="1"/>
    </row>
    <row r="13656" spans="1:1">
      <c r="A13656" s="1"/>
    </row>
    <row r="13657" spans="1:1">
      <c r="A13657" s="1"/>
    </row>
    <row r="13658" spans="1:1">
      <c r="A13658" s="1"/>
    </row>
    <row r="13659" spans="1:1">
      <c r="A13659" s="1"/>
    </row>
    <row r="13660" spans="1:1">
      <c r="A13660" s="1"/>
    </row>
    <row r="13661" spans="1:1">
      <c r="A13661" s="1"/>
    </row>
    <row r="13662" spans="1:1">
      <c r="A13662" s="1"/>
    </row>
    <row r="13663" spans="1:1">
      <c r="A13663" s="1"/>
    </row>
    <row r="13664" spans="1:1">
      <c r="A13664" s="1"/>
    </row>
    <row r="13665" spans="1:1">
      <c r="A13665" s="1"/>
    </row>
    <row r="13666" spans="1:1">
      <c r="A13666" s="1"/>
    </row>
    <row r="13667" spans="1:1">
      <c r="A13667" s="1"/>
    </row>
    <row r="13668" spans="1:1">
      <c r="A13668" s="1"/>
    </row>
    <row r="13669" spans="1:1">
      <c r="A13669" s="1"/>
    </row>
    <row r="13670" spans="1:1">
      <c r="A13670" s="1"/>
    </row>
    <row r="13671" spans="1:1">
      <c r="A13671" s="1"/>
    </row>
    <row r="13672" spans="1:1">
      <c r="A13672" s="1"/>
    </row>
    <row r="13673" spans="1:1">
      <c r="A13673" s="1"/>
    </row>
    <row r="13674" spans="1:1">
      <c r="A13674" s="1"/>
    </row>
    <row r="13675" spans="1:1">
      <c r="A13675" s="1"/>
    </row>
    <row r="13676" spans="1:1">
      <c r="A13676" s="1"/>
    </row>
    <row r="13677" spans="1:1">
      <c r="A13677" s="1"/>
    </row>
    <row r="13678" spans="1:1">
      <c r="A13678" s="1"/>
    </row>
    <row r="13679" spans="1:1">
      <c r="A13679" s="1"/>
    </row>
    <row r="13680" spans="1:1">
      <c r="A13680" s="1"/>
    </row>
    <row r="13681" spans="1:1">
      <c r="A13681" s="1"/>
    </row>
    <row r="13682" spans="1:1">
      <c r="A13682" s="1"/>
    </row>
    <row r="13683" spans="1:1">
      <c r="A13683" s="1"/>
    </row>
    <row r="13684" spans="1:1">
      <c r="A13684" s="1"/>
    </row>
    <row r="13685" spans="1:1">
      <c r="A13685" s="1"/>
    </row>
    <row r="13686" spans="1:1">
      <c r="A13686" s="1"/>
    </row>
    <row r="13687" spans="1:1">
      <c r="A13687" s="1"/>
    </row>
    <row r="13688" spans="1:1">
      <c r="A13688" s="1"/>
    </row>
    <row r="13689" spans="1:1">
      <c r="A13689" s="1"/>
    </row>
    <row r="13690" spans="1:1">
      <c r="A13690" s="1"/>
    </row>
    <row r="13691" spans="1:1">
      <c r="A13691" s="1"/>
    </row>
    <row r="13692" spans="1:1">
      <c r="A13692" s="1"/>
    </row>
    <row r="13693" spans="1:1">
      <c r="A13693" s="1"/>
    </row>
    <row r="13694" spans="1:1">
      <c r="A13694" s="1"/>
    </row>
    <row r="13695" spans="1:1">
      <c r="A13695" s="1"/>
    </row>
    <row r="13696" spans="1:1">
      <c r="A13696" s="1"/>
    </row>
    <row r="13697" spans="1:1">
      <c r="A13697" s="1"/>
    </row>
    <row r="13698" spans="1:1">
      <c r="A13698" s="1"/>
    </row>
    <row r="13699" spans="1:1">
      <c r="A13699" s="1"/>
    </row>
    <row r="13700" spans="1:1">
      <c r="A13700" s="1"/>
    </row>
    <row r="13701" spans="1:1">
      <c r="A13701" s="1"/>
    </row>
    <row r="13702" spans="1:1">
      <c r="A13702" s="1"/>
    </row>
    <row r="13703" spans="1:1">
      <c r="A13703" s="1"/>
    </row>
    <row r="13704" spans="1:1">
      <c r="A13704" s="1"/>
    </row>
    <row r="13705" spans="1:1">
      <c r="A13705" s="1"/>
    </row>
    <row r="13706" spans="1:1">
      <c r="A13706" s="1"/>
    </row>
    <row r="13707" spans="1:1">
      <c r="A13707" s="1"/>
    </row>
    <row r="13708" spans="1:1">
      <c r="A13708" s="1"/>
    </row>
    <row r="13709" spans="1:1">
      <c r="A13709" s="1"/>
    </row>
    <row r="13710" spans="1:1">
      <c r="A13710" s="1"/>
    </row>
    <row r="13711" spans="1:1">
      <c r="A13711" s="1"/>
    </row>
    <row r="13712" spans="1:1">
      <c r="A13712" s="1"/>
    </row>
    <row r="13713" spans="1:1">
      <c r="A13713" s="1"/>
    </row>
    <row r="13714" spans="1:1">
      <c r="A13714" s="1"/>
    </row>
    <row r="13715" spans="1:1">
      <c r="A13715" s="1"/>
    </row>
    <row r="13716" spans="1:1">
      <c r="A13716" s="1"/>
    </row>
    <row r="13717" spans="1:1">
      <c r="A13717" s="1"/>
    </row>
    <row r="13718" spans="1:1">
      <c r="A13718" s="1"/>
    </row>
    <row r="13719" spans="1:1">
      <c r="A13719" s="1"/>
    </row>
    <row r="13720" spans="1:1">
      <c r="A13720" s="1"/>
    </row>
    <row r="13721" spans="1:1">
      <c r="A13721" s="1"/>
    </row>
    <row r="13722" spans="1:1">
      <c r="A13722" s="1"/>
    </row>
    <row r="13723" spans="1:1">
      <c r="A13723" s="1"/>
    </row>
    <row r="13724" spans="1:1">
      <c r="A13724" s="1"/>
    </row>
    <row r="13725" spans="1:1">
      <c r="A13725" s="1"/>
    </row>
    <row r="13726" spans="1:1">
      <c r="A13726" s="1"/>
    </row>
    <row r="13727" spans="1:1">
      <c r="A13727" s="1"/>
    </row>
    <row r="13728" spans="1:1">
      <c r="A13728" s="1"/>
    </row>
    <row r="13729" spans="1:1">
      <c r="A13729" s="1"/>
    </row>
    <row r="13730" spans="1:1">
      <c r="A13730" s="1"/>
    </row>
    <row r="13731" spans="1:1">
      <c r="A13731" s="1"/>
    </row>
    <row r="13732" spans="1:1">
      <c r="A13732" s="1"/>
    </row>
    <row r="13733" spans="1:1">
      <c r="A13733" s="1"/>
    </row>
    <row r="13734" spans="1:1">
      <c r="A13734" s="1"/>
    </row>
    <row r="13735" spans="1:1">
      <c r="A13735" s="1"/>
    </row>
    <row r="13736" spans="1:1">
      <c r="A13736" s="1"/>
    </row>
    <row r="13737" spans="1:1">
      <c r="A13737" s="1"/>
    </row>
    <row r="13738" spans="1:1">
      <c r="A13738" s="1"/>
    </row>
    <row r="13739" spans="1:1">
      <c r="A13739" s="1"/>
    </row>
    <row r="13740" spans="1:1">
      <c r="A13740" s="1"/>
    </row>
    <row r="13741" spans="1:1">
      <c r="A13741" s="1"/>
    </row>
    <row r="13742" spans="1:1">
      <c r="A13742" s="1"/>
    </row>
    <row r="13743" spans="1:1">
      <c r="A13743" s="1"/>
    </row>
    <row r="13744" spans="1:1">
      <c r="A13744" s="1"/>
    </row>
    <row r="13745" spans="1:1">
      <c r="A13745" s="1"/>
    </row>
    <row r="13746" spans="1:1">
      <c r="A13746" s="1"/>
    </row>
    <row r="13747" spans="1:1">
      <c r="A13747" s="1"/>
    </row>
    <row r="13748" spans="1:1">
      <c r="A13748" s="1"/>
    </row>
    <row r="13749" spans="1:1">
      <c r="A13749" s="1"/>
    </row>
    <row r="13750" spans="1:1">
      <c r="A13750" s="1"/>
    </row>
    <row r="13751" spans="1:1">
      <c r="A13751" s="1"/>
    </row>
    <row r="13752" spans="1:1">
      <c r="A13752" s="1"/>
    </row>
    <row r="13753" spans="1:1">
      <c r="A13753" s="1"/>
    </row>
    <row r="13754" spans="1:1">
      <c r="A13754" s="1"/>
    </row>
    <row r="13755" spans="1:1">
      <c r="A13755" s="1"/>
    </row>
    <row r="13756" spans="1:1">
      <c r="A13756" s="1"/>
    </row>
    <row r="13757" spans="1:1">
      <c r="A13757" s="1"/>
    </row>
    <row r="13758" spans="1:1">
      <c r="A13758" s="1"/>
    </row>
    <row r="13759" spans="1:1">
      <c r="A13759" s="1"/>
    </row>
    <row r="13760" spans="1:1">
      <c r="A13760" s="1"/>
    </row>
    <row r="13761" spans="1:1">
      <c r="A13761" s="1"/>
    </row>
    <row r="13762" spans="1:1">
      <c r="A13762" s="1"/>
    </row>
    <row r="13763" spans="1:1">
      <c r="A13763" s="1"/>
    </row>
    <row r="13764" spans="1:1">
      <c r="A13764" s="1"/>
    </row>
    <row r="13765" spans="1:1">
      <c r="A13765" s="1"/>
    </row>
    <row r="13766" spans="1:1">
      <c r="A13766" s="1"/>
    </row>
    <row r="13767" spans="1:1">
      <c r="A13767" s="1"/>
    </row>
    <row r="13768" spans="1:1">
      <c r="A13768" s="1"/>
    </row>
    <row r="13769" spans="1:1">
      <c r="A13769" s="1"/>
    </row>
    <row r="13770" spans="1:1">
      <c r="A13770" s="1"/>
    </row>
    <row r="13771" spans="1:1">
      <c r="A13771" s="1"/>
    </row>
    <row r="13772" spans="1:1">
      <c r="A13772" s="1"/>
    </row>
    <row r="13773" spans="1:1">
      <c r="A13773" s="1"/>
    </row>
    <row r="13774" spans="1:1">
      <c r="A13774" s="1"/>
    </row>
    <row r="13775" spans="1:1">
      <c r="A13775" s="1"/>
    </row>
    <row r="13776" spans="1:1">
      <c r="A13776" s="1"/>
    </row>
    <row r="13777" spans="1:1">
      <c r="A13777" s="1"/>
    </row>
    <row r="13778" spans="1:1">
      <c r="A13778" s="1"/>
    </row>
    <row r="13779" spans="1:1">
      <c r="A13779" s="1"/>
    </row>
    <row r="13780" spans="1:1">
      <c r="A13780" s="1"/>
    </row>
    <row r="13781" spans="1:1">
      <c r="A13781" s="1"/>
    </row>
    <row r="13782" spans="1:1">
      <c r="A13782" s="1"/>
    </row>
    <row r="13783" spans="1:1">
      <c r="A13783" s="1"/>
    </row>
    <row r="13784" spans="1:1">
      <c r="A13784" s="1"/>
    </row>
    <row r="13785" spans="1:1">
      <c r="A13785" s="1"/>
    </row>
    <row r="13786" spans="1:1">
      <c r="A13786" s="1"/>
    </row>
    <row r="13787" spans="1:1">
      <c r="A13787" s="1"/>
    </row>
    <row r="13788" spans="1:1">
      <c r="A13788" s="1"/>
    </row>
    <row r="13789" spans="1:1">
      <c r="A13789" s="1"/>
    </row>
    <row r="13790" spans="1:1">
      <c r="A13790" s="1"/>
    </row>
    <row r="13791" spans="1:1">
      <c r="A13791" s="1"/>
    </row>
    <row r="13792" spans="1:1">
      <c r="A13792" s="1"/>
    </row>
    <row r="13793" spans="1:1">
      <c r="A13793" s="1"/>
    </row>
    <row r="13794" spans="1:1">
      <c r="A13794" s="1"/>
    </row>
    <row r="13795" spans="1:1">
      <c r="A13795" s="1"/>
    </row>
    <row r="13796" spans="1:1">
      <c r="A13796" s="1"/>
    </row>
    <row r="13797" spans="1:1">
      <c r="A13797" s="1"/>
    </row>
    <row r="13798" spans="1:1">
      <c r="A13798" s="1"/>
    </row>
    <row r="13799" spans="1:1">
      <c r="A13799" s="1"/>
    </row>
    <row r="13800" spans="1:1">
      <c r="A13800" s="1"/>
    </row>
    <row r="13801" spans="1:1">
      <c r="A13801" s="1"/>
    </row>
    <row r="13802" spans="1:1">
      <c r="A13802" s="1"/>
    </row>
    <row r="13803" spans="1:1">
      <c r="A13803" s="1"/>
    </row>
    <row r="13804" spans="1:1">
      <c r="A13804" s="1"/>
    </row>
    <row r="13805" spans="1:1">
      <c r="A13805" s="1"/>
    </row>
    <row r="13806" spans="1:1">
      <c r="A13806" s="1"/>
    </row>
    <row r="13807" spans="1:1">
      <c r="A13807" s="1"/>
    </row>
    <row r="13808" spans="1:1">
      <c r="A13808" s="1"/>
    </row>
    <row r="13809" spans="1:1">
      <c r="A13809" s="1"/>
    </row>
    <row r="13810" spans="1:1">
      <c r="A13810" s="1"/>
    </row>
    <row r="13811" spans="1:1">
      <c r="A13811" s="1"/>
    </row>
    <row r="13812" spans="1:1">
      <c r="A13812" s="1"/>
    </row>
    <row r="13813" spans="1:1">
      <c r="A13813" s="1"/>
    </row>
    <row r="13814" spans="1:1">
      <c r="A13814" s="1"/>
    </row>
    <row r="13815" spans="1:1">
      <c r="A13815" s="1"/>
    </row>
    <row r="13816" spans="1:1">
      <c r="A13816" s="1"/>
    </row>
    <row r="13817" spans="1:1">
      <c r="A13817" s="1"/>
    </row>
    <row r="13818" spans="1:1">
      <c r="A13818" s="1"/>
    </row>
    <row r="13819" spans="1:1">
      <c r="A13819" s="1"/>
    </row>
    <row r="13820" spans="1:1">
      <c r="A13820" s="1"/>
    </row>
    <row r="13821" spans="1:1">
      <c r="A13821" s="1"/>
    </row>
    <row r="13822" spans="1:1">
      <c r="A13822" s="1"/>
    </row>
    <row r="13823" spans="1:1">
      <c r="A13823" s="1"/>
    </row>
    <row r="13824" spans="1:1">
      <c r="A13824" s="1"/>
    </row>
    <row r="13825" spans="1:1">
      <c r="A13825" s="1"/>
    </row>
    <row r="13826" spans="1:1">
      <c r="A13826" s="1"/>
    </row>
    <row r="13827" spans="1:1">
      <c r="A13827" s="1"/>
    </row>
    <row r="13828" spans="1:1">
      <c r="A13828" s="1"/>
    </row>
    <row r="13829" spans="1:1">
      <c r="A13829" s="1"/>
    </row>
    <row r="13830" spans="1:1">
      <c r="A13830" s="1"/>
    </row>
    <row r="13831" spans="1:1">
      <c r="A13831" s="1"/>
    </row>
    <row r="13832" spans="1:1">
      <c r="A13832" s="1"/>
    </row>
    <row r="13833" spans="1:1">
      <c r="A13833" s="1"/>
    </row>
    <row r="13834" spans="1:1">
      <c r="A13834" s="1"/>
    </row>
    <row r="13835" spans="1:1">
      <c r="A13835" s="1"/>
    </row>
    <row r="13836" spans="1:1">
      <c r="A13836" s="1"/>
    </row>
    <row r="13837" spans="1:1">
      <c r="A13837" s="1"/>
    </row>
    <row r="13838" spans="1:1">
      <c r="A13838" s="1"/>
    </row>
    <row r="13839" spans="1:1">
      <c r="A13839" s="1"/>
    </row>
    <row r="13840" spans="1:1">
      <c r="A13840" s="1"/>
    </row>
    <row r="13841" spans="1:1">
      <c r="A13841" s="1"/>
    </row>
    <row r="13842" spans="1:1">
      <c r="A13842" s="1"/>
    </row>
    <row r="13843" spans="1:1">
      <c r="A13843" s="1"/>
    </row>
    <row r="13844" spans="1:1">
      <c r="A13844" s="1"/>
    </row>
    <row r="13845" spans="1:1">
      <c r="A13845" s="1"/>
    </row>
    <row r="13846" spans="1:1">
      <c r="A13846" s="1"/>
    </row>
    <row r="13847" spans="1:1">
      <c r="A13847" s="1"/>
    </row>
    <row r="13848" spans="1:1">
      <c r="A13848" s="1"/>
    </row>
    <row r="13849" spans="1:1">
      <c r="A13849" s="1"/>
    </row>
    <row r="13850" spans="1:1">
      <c r="A13850" s="1"/>
    </row>
    <row r="13851" spans="1:1">
      <c r="A13851" s="1"/>
    </row>
    <row r="13852" spans="1:1">
      <c r="A13852" s="1"/>
    </row>
    <row r="13853" spans="1:1">
      <c r="A13853" s="1"/>
    </row>
    <row r="13854" spans="1:1">
      <c r="A13854" s="1"/>
    </row>
    <row r="13855" spans="1:1">
      <c r="A13855" s="1"/>
    </row>
    <row r="13856" spans="1:1">
      <c r="A13856" s="1"/>
    </row>
    <row r="13857" spans="1:1">
      <c r="A13857" s="1"/>
    </row>
    <row r="13858" spans="1:1">
      <c r="A13858" s="1"/>
    </row>
    <row r="13859" spans="1:1">
      <c r="A13859" s="1"/>
    </row>
    <row r="13860" spans="1:1">
      <c r="A13860" s="1"/>
    </row>
    <row r="13861" spans="1:1">
      <c r="A13861" s="1"/>
    </row>
    <row r="13862" spans="1:1">
      <c r="A13862" s="1"/>
    </row>
    <row r="13863" spans="1:1">
      <c r="A13863" s="1"/>
    </row>
    <row r="13864" spans="1:1">
      <c r="A13864" s="1"/>
    </row>
    <row r="13865" spans="1:1">
      <c r="A13865" s="1"/>
    </row>
    <row r="13866" spans="1:1">
      <c r="A13866" s="1"/>
    </row>
    <row r="13867" spans="1:1">
      <c r="A13867" s="1"/>
    </row>
    <row r="13868" spans="1:1">
      <c r="A13868" s="1"/>
    </row>
    <row r="13869" spans="1:1">
      <c r="A13869" s="1"/>
    </row>
    <row r="13870" spans="1:1">
      <c r="A13870" s="1"/>
    </row>
    <row r="13871" spans="1:1">
      <c r="A13871" s="1"/>
    </row>
    <row r="13872" spans="1:1">
      <c r="A13872" s="1"/>
    </row>
    <row r="13873" spans="1:1">
      <c r="A13873" s="1"/>
    </row>
    <row r="13874" spans="1:1">
      <c r="A13874" s="1"/>
    </row>
    <row r="13875" spans="1:1">
      <c r="A13875" s="1"/>
    </row>
    <row r="13876" spans="1:1">
      <c r="A13876" s="1"/>
    </row>
    <row r="13877" spans="1:1">
      <c r="A13877" s="1"/>
    </row>
    <row r="13878" spans="1:1">
      <c r="A13878" s="1"/>
    </row>
    <row r="13879" spans="1:1">
      <c r="A13879" s="1"/>
    </row>
    <row r="13880" spans="1:1">
      <c r="A13880" s="1"/>
    </row>
    <row r="13881" spans="1:1">
      <c r="A13881" s="1"/>
    </row>
    <row r="13882" spans="1:1">
      <c r="A13882" s="1"/>
    </row>
    <row r="13883" spans="1:1">
      <c r="A13883" s="1"/>
    </row>
    <row r="13884" spans="1:1">
      <c r="A13884" s="1"/>
    </row>
    <row r="13885" spans="1:1">
      <c r="A13885" s="1"/>
    </row>
    <row r="13886" spans="1:1">
      <c r="A13886" s="1"/>
    </row>
    <row r="13887" spans="1:1">
      <c r="A13887" s="1"/>
    </row>
    <row r="13888" spans="1:1">
      <c r="A13888" s="1"/>
    </row>
    <row r="13889" spans="1:1">
      <c r="A13889" s="1"/>
    </row>
    <row r="13890" spans="1:1">
      <c r="A13890" s="1"/>
    </row>
    <row r="13891" spans="1:1">
      <c r="A13891" s="1"/>
    </row>
    <row r="13892" spans="1:1">
      <c r="A13892" s="1"/>
    </row>
    <row r="13893" spans="1:1">
      <c r="A13893" s="1"/>
    </row>
    <row r="13894" spans="1:1">
      <c r="A13894" s="1"/>
    </row>
    <row r="13895" spans="1:1">
      <c r="A13895" s="1"/>
    </row>
    <row r="13896" spans="1:1">
      <c r="A13896" s="1"/>
    </row>
    <row r="13897" spans="1:1">
      <c r="A13897" s="1"/>
    </row>
    <row r="13898" spans="1:1">
      <c r="A13898" s="1"/>
    </row>
    <row r="13899" spans="1:1">
      <c r="A13899" s="1"/>
    </row>
    <row r="13900" spans="1:1">
      <c r="A13900" s="1"/>
    </row>
    <row r="13901" spans="1:1">
      <c r="A13901" s="1"/>
    </row>
    <row r="13902" spans="1:1">
      <c r="A13902" s="1"/>
    </row>
    <row r="13903" spans="1:1">
      <c r="A13903" s="1"/>
    </row>
    <row r="13904" spans="1:1">
      <c r="A13904" s="1"/>
    </row>
    <row r="13905" spans="1:1">
      <c r="A13905" s="1"/>
    </row>
    <row r="13906" spans="1:1">
      <c r="A13906" s="1"/>
    </row>
    <row r="13907" spans="1:1">
      <c r="A13907" s="1"/>
    </row>
    <row r="13908" spans="1:1">
      <c r="A13908" s="1"/>
    </row>
    <row r="13909" spans="1:1">
      <c r="A13909" s="1"/>
    </row>
    <row r="13910" spans="1:1">
      <c r="A13910" s="1"/>
    </row>
    <row r="13911" spans="1:1">
      <c r="A13911" s="1"/>
    </row>
    <row r="13912" spans="1:1">
      <c r="A13912" s="1"/>
    </row>
    <row r="13913" spans="1:1">
      <c r="A13913" s="1"/>
    </row>
    <row r="13914" spans="1:1">
      <c r="A13914" s="1"/>
    </row>
    <row r="13915" spans="1:1">
      <c r="A13915" s="1"/>
    </row>
    <row r="13916" spans="1:1">
      <c r="A13916" s="1"/>
    </row>
    <row r="13917" spans="1:1">
      <c r="A13917" s="1"/>
    </row>
    <row r="13918" spans="1:1">
      <c r="A13918" s="1"/>
    </row>
    <row r="13919" spans="1:1">
      <c r="A13919" s="1"/>
    </row>
    <row r="13920" spans="1:1">
      <c r="A13920" s="1"/>
    </row>
    <row r="13921" spans="1:1">
      <c r="A13921" s="1"/>
    </row>
    <row r="13922" spans="1:1">
      <c r="A13922" s="1"/>
    </row>
    <row r="13923" spans="1:1">
      <c r="A13923" s="1"/>
    </row>
    <row r="13924" spans="1:1">
      <c r="A13924" s="1"/>
    </row>
    <row r="13925" spans="1:1">
      <c r="A13925" s="1"/>
    </row>
    <row r="13926" spans="1:1">
      <c r="A13926" s="1"/>
    </row>
    <row r="13927" spans="1:1">
      <c r="A13927" s="1"/>
    </row>
    <row r="13928" spans="1:1">
      <c r="A13928" s="1"/>
    </row>
    <row r="13929" spans="1:1">
      <c r="A13929" s="1"/>
    </row>
    <row r="13930" spans="1:1">
      <c r="A13930" s="1"/>
    </row>
    <row r="13931" spans="1:1">
      <c r="A13931" s="1"/>
    </row>
    <row r="13932" spans="1:1">
      <c r="A13932" s="1"/>
    </row>
    <row r="13933" spans="1:1">
      <c r="A13933" s="1"/>
    </row>
    <row r="13934" spans="1:1">
      <c r="A13934" s="1"/>
    </row>
    <row r="13935" spans="1:1">
      <c r="A13935" s="1"/>
    </row>
    <row r="13936" spans="1:1">
      <c r="A13936" s="1"/>
    </row>
    <row r="13937" spans="1:1">
      <c r="A13937" s="1"/>
    </row>
    <row r="13938" spans="1:1">
      <c r="A13938" s="1"/>
    </row>
    <row r="13939" spans="1:1">
      <c r="A13939" s="1"/>
    </row>
    <row r="13940" spans="1:1">
      <c r="A13940" s="1"/>
    </row>
    <row r="13941" spans="1:1">
      <c r="A13941" s="1"/>
    </row>
    <row r="13942" spans="1:1">
      <c r="A13942" s="1"/>
    </row>
    <row r="13943" spans="1:1">
      <c r="A13943" s="1"/>
    </row>
    <row r="13944" spans="1:1">
      <c r="A13944" s="1"/>
    </row>
    <row r="13945" spans="1:1">
      <c r="A13945" s="1"/>
    </row>
    <row r="13946" spans="1:1">
      <c r="A13946" s="1"/>
    </row>
    <row r="13947" spans="1:1">
      <c r="A13947" s="1"/>
    </row>
    <row r="13948" spans="1:1">
      <c r="A13948" s="1"/>
    </row>
    <row r="13949" spans="1:1">
      <c r="A13949" s="1"/>
    </row>
    <row r="13950" spans="1:1">
      <c r="A13950" s="1"/>
    </row>
    <row r="13951" spans="1:1">
      <c r="A13951" s="1"/>
    </row>
    <row r="13952" spans="1:1">
      <c r="A13952" s="1"/>
    </row>
    <row r="13953" spans="1:1">
      <c r="A13953" s="1"/>
    </row>
    <row r="13954" spans="1:1">
      <c r="A13954" s="1"/>
    </row>
    <row r="13955" spans="1:1">
      <c r="A13955" s="1"/>
    </row>
    <row r="13956" spans="1:1">
      <c r="A13956" s="1"/>
    </row>
    <row r="13957" spans="1:1">
      <c r="A13957" s="1"/>
    </row>
    <row r="13958" spans="1:1">
      <c r="A13958" s="1"/>
    </row>
    <row r="13959" spans="1:1">
      <c r="A13959" s="1"/>
    </row>
    <row r="13960" spans="1:1">
      <c r="A13960" s="1"/>
    </row>
    <row r="13961" spans="1:1">
      <c r="A13961" s="1"/>
    </row>
    <row r="13962" spans="1:1">
      <c r="A13962" s="1"/>
    </row>
    <row r="13963" spans="1:1">
      <c r="A13963" s="1"/>
    </row>
    <row r="13964" spans="1:1">
      <c r="A13964" s="1"/>
    </row>
    <row r="13965" spans="1:1">
      <c r="A13965" s="1"/>
    </row>
    <row r="13966" spans="1:1">
      <c r="A13966" s="1"/>
    </row>
    <row r="13967" spans="1:1">
      <c r="A13967" s="1"/>
    </row>
    <row r="13968" spans="1:1">
      <c r="A13968" s="1"/>
    </row>
    <row r="13969" spans="1:1">
      <c r="A13969" s="1"/>
    </row>
    <row r="13970" spans="1:1">
      <c r="A13970" s="1"/>
    </row>
    <row r="13971" spans="1:1">
      <c r="A13971" s="1"/>
    </row>
    <row r="13972" spans="1:1">
      <c r="A13972" s="1"/>
    </row>
    <row r="13973" spans="1:1">
      <c r="A13973" s="1"/>
    </row>
    <row r="13974" spans="1:1">
      <c r="A13974" s="1"/>
    </row>
    <row r="13975" spans="1:1">
      <c r="A13975" s="1"/>
    </row>
    <row r="13976" spans="1:1">
      <c r="A13976" s="1"/>
    </row>
    <row r="13977" spans="1:1">
      <c r="A13977" s="1"/>
    </row>
    <row r="13978" spans="1:1">
      <c r="A13978" s="1"/>
    </row>
    <row r="13979" spans="1:1">
      <c r="A13979" s="1"/>
    </row>
    <row r="13980" spans="1:1">
      <c r="A13980" s="1"/>
    </row>
    <row r="13981" spans="1:1">
      <c r="A13981" s="1"/>
    </row>
    <row r="13982" spans="1:1">
      <c r="A13982" s="1"/>
    </row>
    <row r="13983" spans="1:1">
      <c r="A13983" s="1"/>
    </row>
    <row r="13984" spans="1:1">
      <c r="A13984" s="1"/>
    </row>
    <row r="13985" spans="1:1">
      <c r="A13985" s="1"/>
    </row>
    <row r="13986" spans="1:1">
      <c r="A13986" s="1"/>
    </row>
    <row r="13987" spans="1:1">
      <c r="A13987" s="1"/>
    </row>
    <row r="13988" spans="1:1">
      <c r="A13988" s="1"/>
    </row>
    <row r="13989" spans="1:1">
      <c r="A13989" s="1"/>
    </row>
    <row r="13990" spans="1:1">
      <c r="A13990" s="1"/>
    </row>
    <row r="13991" spans="1:1">
      <c r="A13991" s="1"/>
    </row>
    <row r="13992" spans="1:1">
      <c r="A13992" s="1"/>
    </row>
    <row r="13993" spans="1:1">
      <c r="A13993" s="1"/>
    </row>
    <row r="13994" spans="1:1">
      <c r="A13994" s="1"/>
    </row>
    <row r="13995" spans="1:1">
      <c r="A13995" s="1"/>
    </row>
    <row r="13996" spans="1:1">
      <c r="A13996" s="1"/>
    </row>
    <row r="13997" spans="1:1">
      <c r="A13997" s="1"/>
    </row>
    <row r="13998" spans="1:1">
      <c r="A13998" s="1"/>
    </row>
    <row r="13999" spans="1:1">
      <c r="A13999" s="1"/>
    </row>
    <row r="14000" spans="1:1">
      <c r="A14000" s="1"/>
    </row>
    <row r="14001" spans="1:1">
      <c r="A14001" s="1"/>
    </row>
    <row r="14002" spans="1:1">
      <c r="A14002" s="1"/>
    </row>
    <row r="14003" spans="1:1">
      <c r="A14003" s="1"/>
    </row>
    <row r="14004" spans="1:1">
      <c r="A14004" s="1"/>
    </row>
    <row r="14005" spans="1:1">
      <c r="A14005" s="1"/>
    </row>
    <row r="14006" spans="1:1">
      <c r="A14006" s="1"/>
    </row>
    <row r="14007" spans="1:1">
      <c r="A14007" s="1"/>
    </row>
    <row r="14008" spans="1:1">
      <c r="A14008" s="1"/>
    </row>
    <row r="14009" spans="1:1">
      <c r="A14009" s="1"/>
    </row>
    <row r="14010" spans="1:1">
      <c r="A14010" s="1"/>
    </row>
    <row r="14011" spans="1:1">
      <c r="A14011" s="1"/>
    </row>
    <row r="14012" spans="1:1">
      <c r="A14012" s="1"/>
    </row>
    <row r="14013" spans="1:1">
      <c r="A14013" s="1"/>
    </row>
    <row r="14014" spans="1:1">
      <c r="A14014" s="1"/>
    </row>
    <row r="14015" spans="1:1">
      <c r="A14015" s="1"/>
    </row>
    <row r="14016" spans="1:1">
      <c r="A14016" s="1"/>
    </row>
    <row r="14017" spans="1:1">
      <c r="A14017" s="1"/>
    </row>
    <row r="14018" spans="1:1">
      <c r="A14018" s="1"/>
    </row>
    <row r="14019" spans="1:1">
      <c r="A14019" s="1"/>
    </row>
    <row r="14020" spans="1:1">
      <c r="A14020" s="1"/>
    </row>
    <row r="14021" spans="1:1">
      <c r="A14021" s="1"/>
    </row>
    <row r="14022" spans="1:1">
      <c r="A14022" s="1"/>
    </row>
    <row r="14023" spans="1:1">
      <c r="A14023" s="1"/>
    </row>
    <row r="14024" spans="1:1">
      <c r="A14024" s="1"/>
    </row>
    <row r="14025" spans="1:1">
      <c r="A14025" s="1"/>
    </row>
    <row r="14026" spans="1:1">
      <c r="A14026" s="1"/>
    </row>
    <row r="14027" spans="1:1">
      <c r="A14027" s="1"/>
    </row>
    <row r="14028" spans="1:1">
      <c r="A14028" s="1"/>
    </row>
    <row r="14029" spans="1:1">
      <c r="A14029" s="1"/>
    </row>
    <row r="14030" spans="1:1">
      <c r="A14030" s="1"/>
    </row>
    <row r="14031" spans="1:1">
      <c r="A14031" s="1"/>
    </row>
    <row r="14032" spans="1:1">
      <c r="A14032" s="1"/>
    </row>
    <row r="14033" spans="1:1">
      <c r="A14033" s="1"/>
    </row>
    <row r="14034" spans="1:1">
      <c r="A14034" s="1"/>
    </row>
    <row r="14035" spans="1:1">
      <c r="A14035" s="1"/>
    </row>
    <row r="14036" spans="1:1">
      <c r="A14036" s="1"/>
    </row>
    <row r="14037" spans="1:1">
      <c r="A14037" s="1"/>
    </row>
    <row r="14038" spans="1:1">
      <c r="A14038" s="1"/>
    </row>
    <row r="14039" spans="1:1">
      <c r="A14039" s="1"/>
    </row>
    <row r="14040" spans="1:1">
      <c r="A14040" s="1"/>
    </row>
    <row r="14041" spans="1:1">
      <c r="A14041" s="1"/>
    </row>
    <row r="14042" spans="1:1">
      <c r="A14042" s="1"/>
    </row>
    <row r="14043" spans="1:1">
      <c r="A14043" s="1"/>
    </row>
    <row r="14044" spans="1:1">
      <c r="A14044" s="1"/>
    </row>
    <row r="14045" spans="1:1">
      <c r="A14045" s="1"/>
    </row>
    <row r="14046" spans="1:1">
      <c r="A14046" s="1"/>
    </row>
    <row r="14047" spans="1:1">
      <c r="A14047" s="1"/>
    </row>
    <row r="14048" spans="1:1">
      <c r="A14048" s="1"/>
    </row>
    <row r="14049" spans="1:1">
      <c r="A14049" s="1"/>
    </row>
    <row r="14050" spans="1:1">
      <c r="A14050" s="1"/>
    </row>
    <row r="14051" spans="1:1">
      <c r="A14051" s="1"/>
    </row>
    <row r="14052" spans="1:1">
      <c r="A14052" s="1"/>
    </row>
    <row r="14053" spans="1:1">
      <c r="A14053" s="1"/>
    </row>
    <row r="14054" spans="1:1">
      <c r="A14054" s="1"/>
    </row>
    <row r="14055" spans="1:1">
      <c r="A14055" s="1"/>
    </row>
    <row r="14056" spans="1:1">
      <c r="A14056" s="1"/>
    </row>
    <row r="14057" spans="1:1">
      <c r="A14057" s="1"/>
    </row>
    <row r="14058" spans="1:1">
      <c r="A14058" s="1"/>
    </row>
    <row r="14059" spans="1:1">
      <c r="A14059" s="1"/>
    </row>
    <row r="14060" spans="1:1">
      <c r="A14060" s="1"/>
    </row>
    <row r="14061" spans="1:1">
      <c r="A14061" s="1"/>
    </row>
    <row r="14062" spans="1:1">
      <c r="A14062" s="1"/>
    </row>
    <row r="14063" spans="1:1">
      <c r="A14063" s="1"/>
    </row>
    <row r="14064" spans="1:1">
      <c r="A14064" s="1"/>
    </row>
    <row r="14065" spans="1:1">
      <c r="A14065" s="1"/>
    </row>
    <row r="14066" spans="1:1">
      <c r="A14066" s="1"/>
    </row>
    <row r="14067" spans="1:1">
      <c r="A14067" s="1"/>
    </row>
    <row r="14068" spans="1:1">
      <c r="A14068" s="1"/>
    </row>
    <row r="14069" spans="1:1">
      <c r="A14069" s="1"/>
    </row>
    <row r="14070" spans="1:1">
      <c r="A14070" s="1"/>
    </row>
    <row r="14071" spans="1:1">
      <c r="A14071" s="1"/>
    </row>
    <row r="14072" spans="1:1">
      <c r="A14072" s="1"/>
    </row>
    <row r="14073" spans="1:1">
      <c r="A14073" s="1"/>
    </row>
    <row r="14074" spans="1:1">
      <c r="A14074" s="1"/>
    </row>
    <row r="14075" spans="1:1">
      <c r="A14075" s="1"/>
    </row>
    <row r="14076" spans="1:1">
      <c r="A14076" s="1"/>
    </row>
    <row r="14077" spans="1:1">
      <c r="A14077" s="1"/>
    </row>
    <row r="14078" spans="1:1">
      <c r="A14078" s="1"/>
    </row>
    <row r="14079" spans="1:1">
      <c r="A14079" s="1"/>
    </row>
    <row r="14080" spans="1:1">
      <c r="A14080" s="1"/>
    </row>
    <row r="14081" spans="1:1">
      <c r="A14081" s="1"/>
    </row>
    <row r="14082" spans="1:1">
      <c r="A14082" s="1"/>
    </row>
    <row r="14083" spans="1:1">
      <c r="A14083" s="1"/>
    </row>
    <row r="14084" spans="1:1">
      <c r="A14084" s="1"/>
    </row>
    <row r="14085" spans="1:1">
      <c r="A14085" s="1"/>
    </row>
    <row r="14086" spans="1:1">
      <c r="A14086" s="1"/>
    </row>
    <row r="14087" spans="1:1">
      <c r="A14087" s="1"/>
    </row>
    <row r="14088" spans="1:1">
      <c r="A14088" s="1"/>
    </row>
    <row r="14089" spans="1:1">
      <c r="A14089" s="1"/>
    </row>
    <row r="14090" spans="1:1">
      <c r="A14090" s="1"/>
    </row>
    <row r="14091" spans="1:1">
      <c r="A14091" s="1"/>
    </row>
    <row r="14092" spans="1:1">
      <c r="A14092" s="1"/>
    </row>
    <row r="14093" spans="1:1">
      <c r="A14093" s="1"/>
    </row>
    <row r="14094" spans="1:1">
      <c r="A14094" s="1"/>
    </row>
    <row r="14095" spans="1:1">
      <c r="A14095" s="1"/>
    </row>
    <row r="14096" spans="1:1">
      <c r="A14096" s="1"/>
    </row>
    <row r="14097" spans="1:1">
      <c r="A14097" s="1"/>
    </row>
    <row r="14098" spans="1:1">
      <c r="A14098" s="1"/>
    </row>
    <row r="14099" spans="1:1">
      <c r="A14099" s="1"/>
    </row>
    <row r="14100" spans="1:1">
      <c r="A14100" s="1"/>
    </row>
    <row r="14101" spans="1:1">
      <c r="A14101" s="1"/>
    </row>
    <row r="14102" spans="1:1">
      <c r="A14102" s="1"/>
    </row>
    <row r="14103" spans="1:1">
      <c r="A14103" s="1"/>
    </row>
    <row r="14104" spans="1:1">
      <c r="A14104" s="1"/>
    </row>
    <row r="14105" spans="1:1">
      <c r="A14105" s="1"/>
    </row>
    <row r="14106" spans="1:1">
      <c r="A14106" s="1"/>
    </row>
    <row r="14107" spans="1:1">
      <c r="A14107" s="1"/>
    </row>
    <row r="14108" spans="1:1">
      <c r="A14108" s="1"/>
    </row>
    <row r="14109" spans="1:1">
      <c r="A14109" s="1"/>
    </row>
    <row r="14110" spans="1:1">
      <c r="A14110" s="1"/>
    </row>
    <row r="14111" spans="1:1">
      <c r="A14111" s="1"/>
    </row>
    <row r="14112" spans="1:1">
      <c r="A14112" s="1"/>
    </row>
    <row r="14113" spans="1:1">
      <c r="A14113" s="1"/>
    </row>
    <row r="14114" spans="1:1">
      <c r="A14114" s="1"/>
    </row>
    <row r="14115" spans="1:1">
      <c r="A14115" s="1"/>
    </row>
    <row r="14116" spans="1:1">
      <c r="A14116" s="1"/>
    </row>
    <row r="14117" spans="1:1">
      <c r="A14117" s="1"/>
    </row>
    <row r="14118" spans="1:1">
      <c r="A14118" s="1"/>
    </row>
    <row r="14119" spans="1:1">
      <c r="A14119" s="1"/>
    </row>
    <row r="14120" spans="1:1">
      <c r="A14120" s="1"/>
    </row>
    <row r="14121" spans="1:1">
      <c r="A14121" s="1"/>
    </row>
    <row r="14122" spans="1:1">
      <c r="A14122" s="1"/>
    </row>
    <row r="14123" spans="1:1">
      <c r="A14123" s="1"/>
    </row>
    <row r="14124" spans="1:1">
      <c r="A14124" s="1"/>
    </row>
    <row r="14125" spans="1:1">
      <c r="A14125" s="1"/>
    </row>
    <row r="14126" spans="1:1">
      <c r="A14126" s="1"/>
    </row>
    <row r="14127" spans="1:1">
      <c r="A14127" s="1"/>
    </row>
    <row r="14128" spans="1:1">
      <c r="A14128" s="1"/>
    </row>
    <row r="14129" spans="1:1">
      <c r="A14129" s="1"/>
    </row>
    <row r="14130" spans="1:1">
      <c r="A14130" s="1"/>
    </row>
    <row r="14131" spans="1:1">
      <c r="A14131" s="1"/>
    </row>
    <row r="14132" spans="1:1">
      <c r="A14132" s="1"/>
    </row>
    <row r="14133" spans="1:1">
      <c r="A14133" s="1"/>
    </row>
    <row r="14134" spans="1:1">
      <c r="A14134" s="1"/>
    </row>
    <row r="14135" spans="1:1">
      <c r="A14135" s="1"/>
    </row>
    <row r="14136" spans="1:1">
      <c r="A14136" s="1"/>
    </row>
    <row r="14137" spans="1:1">
      <c r="A14137" s="1"/>
    </row>
    <row r="14138" spans="1:1">
      <c r="A14138" s="1"/>
    </row>
    <row r="14139" spans="1:1">
      <c r="A14139" s="1"/>
    </row>
    <row r="14140" spans="1:1">
      <c r="A14140" s="1"/>
    </row>
    <row r="14141" spans="1:1">
      <c r="A14141" s="1"/>
    </row>
    <row r="14142" spans="1:1">
      <c r="A14142" s="1"/>
    </row>
    <row r="14143" spans="1:1">
      <c r="A14143" s="1"/>
    </row>
    <row r="14144" spans="1:1">
      <c r="A14144" s="1"/>
    </row>
    <row r="14145" spans="1:1">
      <c r="A14145" s="1"/>
    </row>
    <row r="14146" spans="1:1">
      <c r="A14146" s="1"/>
    </row>
    <row r="14147" spans="1:1">
      <c r="A14147" s="1"/>
    </row>
    <row r="14148" spans="1:1">
      <c r="A14148" s="1"/>
    </row>
    <row r="14149" spans="1:1">
      <c r="A14149" s="1"/>
    </row>
    <row r="14150" spans="1:1">
      <c r="A14150" s="1"/>
    </row>
    <row r="14151" spans="1:1">
      <c r="A14151" s="1"/>
    </row>
    <row r="14152" spans="1:1">
      <c r="A14152" s="1"/>
    </row>
    <row r="14153" spans="1:1">
      <c r="A14153" s="1"/>
    </row>
    <row r="14154" spans="1:1">
      <c r="A14154" s="1"/>
    </row>
    <row r="14155" spans="1:1">
      <c r="A14155" s="1"/>
    </row>
    <row r="14156" spans="1:1">
      <c r="A14156" s="1"/>
    </row>
    <row r="14157" spans="1:1">
      <c r="A14157" s="1"/>
    </row>
    <row r="14158" spans="1:1">
      <c r="A14158" s="1"/>
    </row>
    <row r="14159" spans="1:1">
      <c r="A14159" s="1"/>
    </row>
    <row r="14160" spans="1:1">
      <c r="A14160" s="1"/>
    </row>
    <row r="14161" spans="1:1">
      <c r="A14161" s="1"/>
    </row>
    <row r="14162" spans="1:1">
      <c r="A14162" s="1"/>
    </row>
    <row r="14163" spans="1:1">
      <c r="A14163" s="1"/>
    </row>
    <row r="14164" spans="1:1">
      <c r="A14164" s="1"/>
    </row>
    <row r="14165" spans="1:1">
      <c r="A14165" s="1"/>
    </row>
    <row r="14166" spans="1:1">
      <c r="A14166" s="1"/>
    </row>
    <row r="14167" spans="1:1">
      <c r="A14167" s="1"/>
    </row>
    <row r="14168" spans="1:1">
      <c r="A14168" s="1"/>
    </row>
    <row r="14169" spans="1:1">
      <c r="A14169" s="1"/>
    </row>
    <row r="14170" spans="1:1">
      <c r="A14170" s="1"/>
    </row>
    <row r="14171" spans="1:1">
      <c r="A14171" s="1"/>
    </row>
    <row r="14172" spans="1:1">
      <c r="A14172" s="1"/>
    </row>
    <row r="14173" spans="1:1">
      <c r="A14173" s="1"/>
    </row>
    <row r="14174" spans="1:1">
      <c r="A14174" s="1"/>
    </row>
    <row r="14175" spans="1:1">
      <c r="A14175" s="1"/>
    </row>
    <row r="14176" spans="1:1">
      <c r="A14176" s="1"/>
    </row>
    <row r="14177" spans="1:1">
      <c r="A14177" s="1"/>
    </row>
    <row r="14178" spans="1:1">
      <c r="A14178" s="1"/>
    </row>
    <row r="14179" spans="1:1">
      <c r="A14179" s="1"/>
    </row>
    <row r="14180" spans="1:1">
      <c r="A14180" s="1"/>
    </row>
    <row r="14181" spans="1:1">
      <c r="A14181" s="1"/>
    </row>
    <row r="14182" spans="1:1">
      <c r="A14182" s="1"/>
    </row>
    <row r="14183" spans="1:1">
      <c r="A14183" s="1"/>
    </row>
    <row r="14184" spans="1:1">
      <c r="A14184" s="1"/>
    </row>
    <row r="14185" spans="1:1">
      <c r="A14185" s="1"/>
    </row>
    <row r="14186" spans="1:1">
      <c r="A14186" s="1"/>
    </row>
    <row r="14187" spans="1:1">
      <c r="A14187" s="1"/>
    </row>
    <row r="14188" spans="1:1">
      <c r="A14188" s="1"/>
    </row>
    <row r="14189" spans="1:1">
      <c r="A14189" s="1"/>
    </row>
    <row r="14190" spans="1:1">
      <c r="A14190" s="1"/>
    </row>
    <row r="14191" spans="1:1">
      <c r="A14191" s="1"/>
    </row>
    <row r="14192" spans="1:1">
      <c r="A14192" s="1"/>
    </row>
    <row r="14193" spans="1:1">
      <c r="A14193" s="1"/>
    </row>
    <row r="14194" spans="1:1">
      <c r="A14194" s="1"/>
    </row>
    <row r="14195" spans="1:1">
      <c r="A14195" s="1"/>
    </row>
    <row r="14196" spans="1:1">
      <c r="A14196" s="1"/>
    </row>
    <row r="14197" spans="1:1">
      <c r="A14197" s="1"/>
    </row>
    <row r="14198" spans="1:1">
      <c r="A14198" s="1"/>
    </row>
    <row r="14199" spans="1:1">
      <c r="A14199" s="1"/>
    </row>
    <row r="14200" spans="1:1">
      <c r="A14200" s="1"/>
    </row>
    <row r="14201" spans="1:1">
      <c r="A14201" s="1"/>
    </row>
    <row r="14202" spans="1:1">
      <c r="A14202" s="1"/>
    </row>
    <row r="14203" spans="1:1">
      <c r="A14203" s="1"/>
    </row>
    <row r="14204" spans="1:1">
      <c r="A14204" s="1"/>
    </row>
    <row r="14205" spans="1:1">
      <c r="A14205" s="1"/>
    </row>
    <row r="14206" spans="1:1">
      <c r="A14206" s="1"/>
    </row>
    <row r="14207" spans="1:1">
      <c r="A14207" s="1"/>
    </row>
    <row r="14208" spans="1:1">
      <c r="A14208" s="1"/>
    </row>
    <row r="14209" spans="1:1">
      <c r="A14209" s="1"/>
    </row>
    <row r="14210" spans="1:1">
      <c r="A14210" s="1"/>
    </row>
    <row r="14211" spans="1:1">
      <c r="A14211" s="1"/>
    </row>
    <row r="14212" spans="1:1">
      <c r="A14212" s="1"/>
    </row>
    <row r="14213" spans="1:1">
      <c r="A14213" s="1"/>
    </row>
    <row r="14214" spans="1:1">
      <c r="A14214" s="1"/>
    </row>
    <row r="14215" spans="1:1">
      <c r="A14215" s="1"/>
    </row>
    <row r="14216" spans="1:1">
      <c r="A14216" s="1"/>
    </row>
    <row r="14217" spans="1:1">
      <c r="A14217" s="1"/>
    </row>
    <row r="14218" spans="1:1">
      <c r="A14218" s="1"/>
    </row>
    <row r="14219" spans="1:1">
      <c r="A14219" s="1"/>
    </row>
    <row r="14220" spans="1:1">
      <c r="A14220" s="1"/>
    </row>
    <row r="14221" spans="1:1">
      <c r="A14221" s="1"/>
    </row>
    <row r="14222" spans="1:1">
      <c r="A14222" s="1"/>
    </row>
    <row r="14223" spans="1:1">
      <c r="A14223" s="1"/>
    </row>
    <row r="14224" spans="1:1">
      <c r="A14224" s="1"/>
    </row>
    <row r="14225" spans="1:1">
      <c r="A14225" s="1"/>
    </row>
    <row r="14226" spans="1:1">
      <c r="A14226" s="1"/>
    </row>
    <row r="14227" spans="1:1">
      <c r="A14227" s="1"/>
    </row>
    <row r="14228" spans="1:1">
      <c r="A14228" s="1"/>
    </row>
    <row r="14229" spans="1:1">
      <c r="A14229" s="1"/>
    </row>
    <row r="14230" spans="1:1">
      <c r="A14230" s="1"/>
    </row>
    <row r="14231" spans="1:1">
      <c r="A14231" s="1"/>
    </row>
    <row r="14232" spans="1:1">
      <c r="A14232" s="1"/>
    </row>
    <row r="14233" spans="1:1">
      <c r="A14233" s="1"/>
    </row>
    <row r="14234" spans="1:1">
      <c r="A14234" s="1"/>
    </row>
    <row r="14235" spans="1:1">
      <c r="A14235" s="1"/>
    </row>
    <row r="14236" spans="1:1">
      <c r="A14236" s="1"/>
    </row>
    <row r="14237" spans="1:1">
      <c r="A14237" s="1"/>
    </row>
    <row r="14238" spans="1:1">
      <c r="A14238" s="1"/>
    </row>
    <row r="14239" spans="1:1">
      <c r="A14239" s="1"/>
    </row>
    <row r="14240" spans="1:1">
      <c r="A14240" s="1"/>
    </row>
    <row r="14241" spans="1:1">
      <c r="A14241" s="1"/>
    </row>
    <row r="14242" spans="1:1">
      <c r="A14242" s="1"/>
    </row>
    <row r="14243" spans="1:1">
      <c r="A14243" s="1"/>
    </row>
    <row r="14244" spans="1:1">
      <c r="A14244" s="1"/>
    </row>
    <row r="14245" spans="1:1">
      <c r="A14245" s="1"/>
    </row>
    <row r="14246" spans="1:1">
      <c r="A14246" s="1"/>
    </row>
    <row r="14247" spans="1:1">
      <c r="A14247" s="1"/>
    </row>
    <row r="14248" spans="1:1">
      <c r="A14248" s="1"/>
    </row>
    <row r="14249" spans="1:1">
      <c r="A14249" s="1"/>
    </row>
    <row r="14250" spans="1:1">
      <c r="A14250" s="1"/>
    </row>
    <row r="14251" spans="1:1">
      <c r="A14251" s="1"/>
    </row>
    <row r="14252" spans="1:1">
      <c r="A14252" s="1"/>
    </row>
    <row r="14253" spans="1:1">
      <c r="A14253" s="1"/>
    </row>
    <row r="14254" spans="1:1">
      <c r="A14254" s="1"/>
    </row>
    <row r="14255" spans="1:1">
      <c r="A14255" s="1"/>
    </row>
    <row r="14256" spans="1:1">
      <c r="A14256" s="1"/>
    </row>
    <row r="14257" spans="1:1">
      <c r="A14257" s="1"/>
    </row>
    <row r="14258" spans="1:1">
      <c r="A14258" s="1"/>
    </row>
    <row r="14259" spans="1:1">
      <c r="A14259" s="1"/>
    </row>
    <row r="14260" spans="1:1">
      <c r="A14260" s="1"/>
    </row>
    <row r="14261" spans="1:1">
      <c r="A14261" s="1"/>
    </row>
    <row r="14262" spans="1:1">
      <c r="A14262" s="1"/>
    </row>
    <row r="14263" spans="1:1">
      <c r="A14263" s="1"/>
    </row>
    <row r="14264" spans="1:1">
      <c r="A14264" s="1"/>
    </row>
    <row r="14265" spans="1:1">
      <c r="A14265" s="1"/>
    </row>
    <row r="14266" spans="1:1">
      <c r="A14266" s="1"/>
    </row>
    <row r="14267" spans="1:1">
      <c r="A14267" s="1"/>
    </row>
    <row r="14268" spans="1:1">
      <c r="A14268" s="1"/>
    </row>
    <row r="14269" spans="1:1">
      <c r="A14269" s="1"/>
    </row>
    <row r="14270" spans="1:1">
      <c r="A14270" s="1"/>
    </row>
    <row r="14271" spans="1:1">
      <c r="A14271" s="1"/>
    </row>
    <row r="14272" spans="1:1">
      <c r="A14272" s="1"/>
    </row>
    <row r="14273" spans="1:1">
      <c r="A14273" s="1"/>
    </row>
    <row r="14274" spans="1:1">
      <c r="A14274" s="1"/>
    </row>
    <row r="14275" spans="1:1">
      <c r="A14275" s="1"/>
    </row>
    <row r="14276" spans="1:1">
      <c r="A14276" s="1"/>
    </row>
    <row r="14277" spans="1:1">
      <c r="A14277" s="1"/>
    </row>
    <row r="14278" spans="1:1">
      <c r="A14278" s="1"/>
    </row>
    <row r="14279" spans="1:1">
      <c r="A14279" s="1"/>
    </row>
    <row r="14280" spans="1:1">
      <c r="A14280" s="1"/>
    </row>
    <row r="14281" spans="1:1">
      <c r="A14281" s="1"/>
    </row>
    <row r="14282" spans="1:1">
      <c r="A14282" s="1"/>
    </row>
    <row r="14283" spans="1:1">
      <c r="A14283" s="1"/>
    </row>
    <row r="14284" spans="1:1">
      <c r="A14284" s="1"/>
    </row>
    <row r="14285" spans="1:1">
      <c r="A14285" s="1"/>
    </row>
    <row r="14286" spans="1:1">
      <c r="A14286" s="1"/>
    </row>
    <row r="14287" spans="1:1">
      <c r="A14287" s="1"/>
    </row>
    <row r="14288" spans="1:1">
      <c r="A14288" s="1"/>
    </row>
    <row r="14289" spans="1:1">
      <c r="A14289" s="1"/>
    </row>
    <row r="14290" spans="1:1">
      <c r="A14290" s="1"/>
    </row>
    <row r="14291" spans="1:1">
      <c r="A14291" s="1"/>
    </row>
    <row r="14292" spans="1:1">
      <c r="A14292" s="1"/>
    </row>
    <row r="14293" spans="1:1">
      <c r="A14293" s="1"/>
    </row>
    <row r="14294" spans="1:1">
      <c r="A14294" s="1"/>
    </row>
    <row r="14295" spans="1:1">
      <c r="A14295" s="1"/>
    </row>
    <row r="14296" spans="1:1">
      <c r="A14296" s="1"/>
    </row>
    <row r="14297" spans="1:1">
      <c r="A14297" s="1"/>
    </row>
    <row r="14298" spans="1:1">
      <c r="A14298" s="1"/>
    </row>
    <row r="14299" spans="1:1">
      <c r="A14299" s="1"/>
    </row>
    <row r="14300" spans="1:1">
      <c r="A14300" s="1"/>
    </row>
    <row r="14301" spans="1:1">
      <c r="A14301" s="1"/>
    </row>
    <row r="14302" spans="1:1">
      <c r="A14302" s="1"/>
    </row>
    <row r="14303" spans="1:1">
      <c r="A14303" s="1"/>
    </row>
    <row r="14304" spans="1:1">
      <c r="A14304" s="1"/>
    </row>
    <row r="14305" spans="1:1">
      <c r="A14305" s="1"/>
    </row>
    <row r="14306" spans="1:1">
      <c r="A14306" s="1"/>
    </row>
    <row r="14307" spans="1:1">
      <c r="A14307" s="1"/>
    </row>
    <row r="14308" spans="1:1">
      <c r="A14308" s="1"/>
    </row>
    <row r="14309" spans="1:1">
      <c r="A14309" s="1"/>
    </row>
    <row r="14310" spans="1:1">
      <c r="A14310" s="1"/>
    </row>
    <row r="14311" spans="1:1">
      <c r="A14311" s="1"/>
    </row>
    <row r="14312" spans="1:1">
      <c r="A14312" s="1"/>
    </row>
    <row r="14313" spans="1:1">
      <c r="A14313" s="1"/>
    </row>
    <row r="14314" spans="1:1">
      <c r="A14314" s="1"/>
    </row>
    <row r="14315" spans="1:1">
      <c r="A14315" s="1"/>
    </row>
    <row r="14316" spans="1:1">
      <c r="A14316" s="1"/>
    </row>
    <row r="14317" spans="1:1">
      <c r="A14317" s="1"/>
    </row>
    <row r="14318" spans="1:1">
      <c r="A14318" s="1"/>
    </row>
    <row r="14319" spans="1:1">
      <c r="A14319" s="1"/>
    </row>
    <row r="14320" spans="1:1">
      <c r="A14320" s="1"/>
    </row>
    <row r="14321" spans="1:1">
      <c r="A14321" s="1"/>
    </row>
    <row r="14322" spans="1:1">
      <c r="A14322" s="1"/>
    </row>
    <row r="14323" spans="1:1">
      <c r="A14323" s="1"/>
    </row>
    <row r="14324" spans="1:1">
      <c r="A14324" s="1"/>
    </row>
    <row r="14325" spans="1:1">
      <c r="A14325" s="1"/>
    </row>
    <row r="14326" spans="1:1">
      <c r="A14326" s="1"/>
    </row>
    <row r="14327" spans="1:1">
      <c r="A14327" s="1"/>
    </row>
    <row r="14328" spans="1:1">
      <c r="A14328" s="1"/>
    </row>
    <row r="14329" spans="1:1">
      <c r="A14329" s="1"/>
    </row>
    <row r="14330" spans="1:1">
      <c r="A14330" s="1"/>
    </row>
    <row r="14331" spans="1:1">
      <c r="A14331" s="1"/>
    </row>
    <row r="14332" spans="1:1">
      <c r="A14332" s="1"/>
    </row>
    <row r="14333" spans="1:1">
      <c r="A14333" s="1"/>
    </row>
    <row r="14334" spans="1:1">
      <c r="A14334" s="1"/>
    </row>
    <row r="14335" spans="1:1">
      <c r="A14335" s="1"/>
    </row>
    <row r="14336" spans="1:1">
      <c r="A14336" s="1"/>
    </row>
    <row r="14337" spans="1:1">
      <c r="A14337" s="1"/>
    </row>
    <row r="14338" spans="1:1">
      <c r="A14338" s="1"/>
    </row>
    <row r="14339" spans="1:1">
      <c r="A14339" s="1"/>
    </row>
    <row r="14340" spans="1:1">
      <c r="A14340" s="1"/>
    </row>
    <row r="14341" spans="1:1">
      <c r="A14341" s="1"/>
    </row>
    <row r="14342" spans="1:1">
      <c r="A14342" s="1"/>
    </row>
    <row r="14343" spans="1:1">
      <c r="A14343" s="1"/>
    </row>
    <row r="14344" spans="1:1">
      <c r="A14344" s="1"/>
    </row>
    <row r="14345" spans="1:1">
      <c r="A14345" s="1"/>
    </row>
    <row r="14346" spans="1:1">
      <c r="A14346" s="1"/>
    </row>
    <row r="14347" spans="1:1">
      <c r="A14347" s="1"/>
    </row>
    <row r="14348" spans="1:1">
      <c r="A14348" s="1"/>
    </row>
    <row r="14349" spans="1:1">
      <c r="A14349" s="1"/>
    </row>
    <row r="14350" spans="1:1">
      <c r="A14350" s="1"/>
    </row>
    <row r="14351" spans="1:1">
      <c r="A14351" s="1"/>
    </row>
    <row r="14352" spans="1:1">
      <c r="A14352" s="1"/>
    </row>
    <row r="14353" spans="1:1">
      <c r="A14353" s="1"/>
    </row>
    <row r="14354" spans="1:1">
      <c r="A14354" s="1"/>
    </row>
    <row r="14355" spans="1:1">
      <c r="A14355" s="1"/>
    </row>
    <row r="14356" spans="1:1">
      <c r="A14356" s="1"/>
    </row>
    <row r="14357" spans="1:1">
      <c r="A14357" s="1"/>
    </row>
    <row r="14358" spans="1:1">
      <c r="A14358" s="1"/>
    </row>
    <row r="14359" spans="1:1">
      <c r="A14359" s="1"/>
    </row>
    <row r="14360" spans="1:1">
      <c r="A14360" s="1"/>
    </row>
    <row r="14361" spans="1:1">
      <c r="A14361" s="1"/>
    </row>
    <row r="14362" spans="1:1">
      <c r="A14362" s="1"/>
    </row>
    <row r="14363" spans="1:1">
      <c r="A14363" s="1"/>
    </row>
    <row r="14364" spans="1:1">
      <c r="A14364" s="1"/>
    </row>
    <row r="14365" spans="1:1">
      <c r="A14365" s="1"/>
    </row>
    <row r="14366" spans="1:1">
      <c r="A14366" s="1"/>
    </row>
    <row r="14367" spans="1:1">
      <c r="A14367" s="1"/>
    </row>
    <row r="14368" spans="1:1">
      <c r="A14368" s="1"/>
    </row>
    <row r="14369" spans="1:1">
      <c r="A14369" s="1"/>
    </row>
    <row r="14370" spans="1:1">
      <c r="A14370" s="1"/>
    </row>
    <row r="14371" spans="1:1">
      <c r="A14371" s="1"/>
    </row>
    <row r="14372" spans="1:1">
      <c r="A14372" s="1"/>
    </row>
    <row r="14373" spans="1:1">
      <c r="A14373" s="1"/>
    </row>
    <row r="14374" spans="1:1">
      <c r="A14374" s="1"/>
    </row>
    <row r="14375" spans="1:1">
      <c r="A14375" s="1"/>
    </row>
    <row r="14376" spans="1:1">
      <c r="A14376" s="1"/>
    </row>
    <row r="14377" spans="1:1">
      <c r="A14377" s="1"/>
    </row>
    <row r="14378" spans="1:1">
      <c r="A14378" s="1"/>
    </row>
    <row r="14379" spans="1:1">
      <c r="A14379" s="1"/>
    </row>
    <row r="14380" spans="1:1">
      <c r="A14380" s="1"/>
    </row>
    <row r="14381" spans="1:1">
      <c r="A14381" s="1"/>
    </row>
    <row r="14382" spans="1:1">
      <c r="A14382" s="1"/>
    </row>
    <row r="14383" spans="1:1">
      <c r="A14383" s="1"/>
    </row>
    <row r="14384" spans="1:1">
      <c r="A14384" s="1"/>
    </row>
    <row r="14385" spans="1:1">
      <c r="A14385" s="1"/>
    </row>
    <row r="14386" spans="1:1">
      <c r="A14386" s="1"/>
    </row>
    <row r="14387" spans="1:1">
      <c r="A14387" s="1"/>
    </row>
    <row r="14388" spans="1:1">
      <c r="A14388" s="1"/>
    </row>
    <row r="14389" spans="1:1">
      <c r="A14389" s="1"/>
    </row>
    <row r="14390" spans="1:1">
      <c r="A14390" s="1"/>
    </row>
    <row r="14391" spans="1:1">
      <c r="A14391" s="1"/>
    </row>
    <row r="14392" spans="1:1">
      <c r="A14392" s="1"/>
    </row>
    <row r="14393" spans="1:1">
      <c r="A14393" s="1"/>
    </row>
    <row r="14394" spans="1:1">
      <c r="A14394" s="1"/>
    </row>
    <row r="14395" spans="1:1">
      <c r="A14395" s="1"/>
    </row>
    <row r="14396" spans="1:1">
      <c r="A14396" s="1"/>
    </row>
    <row r="14397" spans="1:1">
      <c r="A14397" s="1"/>
    </row>
    <row r="14398" spans="1:1">
      <c r="A14398" s="1"/>
    </row>
    <row r="14399" spans="1:1">
      <c r="A14399" s="1"/>
    </row>
    <row r="14400" spans="1:1">
      <c r="A14400" s="1"/>
    </row>
    <row r="14401" spans="1:1">
      <c r="A14401" s="1"/>
    </row>
    <row r="14402" spans="1:1">
      <c r="A14402" s="1"/>
    </row>
    <row r="14403" spans="1:1">
      <c r="A14403" s="1"/>
    </row>
    <row r="14404" spans="1:1">
      <c r="A14404" s="1"/>
    </row>
    <row r="14405" spans="1:1">
      <c r="A14405" s="1"/>
    </row>
    <row r="14406" spans="1:1">
      <c r="A14406" s="1"/>
    </row>
    <row r="14407" spans="1:1">
      <c r="A14407" s="1"/>
    </row>
    <row r="14408" spans="1:1">
      <c r="A14408" s="1"/>
    </row>
    <row r="14409" spans="1:1">
      <c r="A14409" s="1"/>
    </row>
    <row r="14410" spans="1:1">
      <c r="A14410" s="1"/>
    </row>
    <row r="14411" spans="1:1">
      <c r="A14411" s="1"/>
    </row>
    <row r="14412" spans="1:1">
      <c r="A14412" s="1"/>
    </row>
    <row r="14413" spans="1:1">
      <c r="A14413" s="1"/>
    </row>
    <row r="14414" spans="1:1">
      <c r="A14414" s="1"/>
    </row>
    <row r="14415" spans="1:1">
      <c r="A14415" s="1"/>
    </row>
    <row r="14416" spans="1:1">
      <c r="A14416" s="1"/>
    </row>
    <row r="14417" spans="1:1">
      <c r="A14417" s="1"/>
    </row>
    <row r="14418" spans="1:1">
      <c r="A14418" s="1"/>
    </row>
    <row r="14419" spans="1:1">
      <c r="A14419" s="1"/>
    </row>
    <row r="14420" spans="1:1">
      <c r="A14420" s="1"/>
    </row>
    <row r="14421" spans="1:1">
      <c r="A14421" s="1"/>
    </row>
    <row r="14422" spans="1:1">
      <c r="A14422" s="1"/>
    </row>
    <row r="14423" spans="1:1">
      <c r="A14423" s="1"/>
    </row>
    <row r="14424" spans="1:1">
      <c r="A14424" s="1"/>
    </row>
    <row r="14425" spans="1:1">
      <c r="A14425" s="1"/>
    </row>
    <row r="14426" spans="1:1">
      <c r="A14426" s="1"/>
    </row>
    <row r="14427" spans="1:1">
      <c r="A14427" s="1"/>
    </row>
    <row r="14428" spans="1:1">
      <c r="A14428" s="1"/>
    </row>
    <row r="14429" spans="1:1">
      <c r="A14429" s="1"/>
    </row>
    <row r="14430" spans="1:1">
      <c r="A14430" s="1"/>
    </row>
    <row r="14431" spans="1:1">
      <c r="A14431" s="1"/>
    </row>
    <row r="14432" spans="1:1">
      <c r="A14432" s="1"/>
    </row>
    <row r="14433" spans="1:1">
      <c r="A14433" s="1"/>
    </row>
    <row r="14434" spans="1:1">
      <c r="A14434" s="1"/>
    </row>
    <row r="14435" spans="1:1">
      <c r="A14435" s="1"/>
    </row>
    <row r="14436" spans="1:1">
      <c r="A14436" s="1"/>
    </row>
    <row r="14437" spans="1:1">
      <c r="A14437" s="1"/>
    </row>
    <row r="14438" spans="1:1">
      <c r="A14438" s="1"/>
    </row>
    <row r="14439" spans="1:1">
      <c r="A14439" s="1"/>
    </row>
    <row r="14440" spans="1:1">
      <c r="A14440" s="1"/>
    </row>
    <row r="14441" spans="1:1">
      <c r="A14441" s="1"/>
    </row>
    <row r="14442" spans="1:1">
      <c r="A14442" s="1"/>
    </row>
    <row r="14443" spans="1:1">
      <c r="A14443" s="1"/>
    </row>
    <row r="14444" spans="1:1">
      <c r="A14444" s="1"/>
    </row>
    <row r="14445" spans="1:1">
      <c r="A14445" s="1"/>
    </row>
    <row r="14446" spans="1:1">
      <c r="A14446" s="1"/>
    </row>
    <row r="14447" spans="1:1">
      <c r="A14447" s="1"/>
    </row>
    <row r="14448" spans="1:1">
      <c r="A14448" s="1"/>
    </row>
    <row r="14449" spans="1:1">
      <c r="A14449" s="1"/>
    </row>
    <row r="14450" spans="1:1">
      <c r="A14450" s="1"/>
    </row>
    <row r="14451" spans="1:1">
      <c r="A14451" s="1"/>
    </row>
    <row r="14452" spans="1:1">
      <c r="A14452" s="1"/>
    </row>
    <row r="14453" spans="1:1">
      <c r="A14453" s="1"/>
    </row>
    <row r="14454" spans="1:1">
      <c r="A14454" s="1"/>
    </row>
    <row r="14455" spans="1:1">
      <c r="A14455" s="1"/>
    </row>
    <row r="14456" spans="1:1">
      <c r="A14456" s="1"/>
    </row>
    <row r="14457" spans="1:1">
      <c r="A14457" s="1"/>
    </row>
    <row r="14458" spans="1:1">
      <c r="A14458" s="1"/>
    </row>
    <row r="14459" spans="1:1">
      <c r="A14459" s="1"/>
    </row>
    <row r="14460" spans="1:1">
      <c r="A14460" s="1"/>
    </row>
    <row r="14461" spans="1:1">
      <c r="A14461" s="1"/>
    </row>
    <row r="14462" spans="1:1">
      <c r="A14462" s="1"/>
    </row>
    <row r="14463" spans="1:1">
      <c r="A14463" s="1"/>
    </row>
    <row r="14464" spans="1:1">
      <c r="A14464" s="1"/>
    </row>
    <row r="14465" spans="1:1">
      <c r="A14465" s="1"/>
    </row>
    <row r="14466" spans="1:1">
      <c r="A14466" s="1"/>
    </row>
    <row r="14467" spans="1:1">
      <c r="A14467" s="1"/>
    </row>
    <row r="14468" spans="1:1">
      <c r="A14468" s="1"/>
    </row>
    <row r="14469" spans="1:1">
      <c r="A14469" s="1"/>
    </row>
    <row r="14470" spans="1:1">
      <c r="A14470" s="1"/>
    </row>
    <row r="14471" spans="1:1">
      <c r="A14471" s="1"/>
    </row>
    <row r="14472" spans="1:1">
      <c r="A14472" s="1"/>
    </row>
    <row r="14473" spans="1:1">
      <c r="A14473" s="1"/>
    </row>
    <row r="14474" spans="1:1">
      <c r="A14474" s="1"/>
    </row>
    <row r="14475" spans="1:1">
      <c r="A14475" s="1"/>
    </row>
    <row r="14476" spans="1:1">
      <c r="A14476" s="1"/>
    </row>
    <row r="14477" spans="1:1">
      <c r="A14477" s="1"/>
    </row>
    <row r="14478" spans="1:1">
      <c r="A14478" s="1"/>
    </row>
    <row r="14479" spans="1:1">
      <c r="A14479" s="1"/>
    </row>
    <row r="14480" spans="1:1">
      <c r="A14480" s="1"/>
    </row>
    <row r="14481" spans="1:1">
      <c r="A14481" s="1"/>
    </row>
    <row r="14482" spans="1:1">
      <c r="A14482" s="1"/>
    </row>
    <row r="14483" spans="1:1">
      <c r="A14483" s="1"/>
    </row>
    <row r="14484" spans="1:1">
      <c r="A14484" s="1"/>
    </row>
    <row r="14485" spans="1:1">
      <c r="A14485" s="1"/>
    </row>
    <row r="14486" spans="1:1">
      <c r="A14486" s="1"/>
    </row>
    <row r="14487" spans="1:1">
      <c r="A14487" s="1"/>
    </row>
    <row r="14488" spans="1:1">
      <c r="A14488" s="1"/>
    </row>
    <row r="14489" spans="1:1">
      <c r="A14489" s="1"/>
    </row>
    <row r="14490" spans="1:1">
      <c r="A14490" s="1"/>
    </row>
    <row r="14491" spans="1:1">
      <c r="A14491" s="1"/>
    </row>
    <row r="14492" spans="1:1">
      <c r="A14492" s="1"/>
    </row>
    <row r="14493" spans="1:1">
      <c r="A14493" s="1"/>
    </row>
    <row r="14494" spans="1:1">
      <c r="A14494" s="1"/>
    </row>
    <row r="14495" spans="1:1">
      <c r="A14495" s="1"/>
    </row>
    <row r="14496" spans="1:1">
      <c r="A14496" s="1"/>
    </row>
    <row r="14497" spans="1:1">
      <c r="A14497" s="1"/>
    </row>
    <row r="14498" spans="1:1">
      <c r="A14498" s="1"/>
    </row>
    <row r="14499" spans="1:1">
      <c r="A14499" s="1"/>
    </row>
    <row r="14500" spans="1:1">
      <c r="A14500" s="1"/>
    </row>
    <row r="14501" spans="1:1">
      <c r="A14501" s="1"/>
    </row>
    <row r="14502" spans="1:1">
      <c r="A14502" s="1"/>
    </row>
    <row r="14503" spans="1:1">
      <c r="A14503" s="1"/>
    </row>
    <row r="14504" spans="1:1">
      <c r="A14504" s="1"/>
    </row>
    <row r="14505" spans="1:1">
      <c r="A14505" s="1"/>
    </row>
    <row r="14506" spans="1:1">
      <c r="A14506" s="1"/>
    </row>
    <row r="14507" spans="1:1">
      <c r="A14507" s="1"/>
    </row>
    <row r="14508" spans="1:1">
      <c r="A14508" s="1"/>
    </row>
    <row r="14509" spans="1:1">
      <c r="A14509" s="1"/>
    </row>
    <row r="14510" spans="1:1">
      <c r="A14510" s="1"/>
    </row>
    <row r="14511" spans="1:1">
      <c r="A14511" s="1"/>
    </row>
    <row r="14512" spans="1:1">
      <c r="A14512" s="1"/>
    </row>
    <row r="14513" spans="1:1">
      <c r="A14513" s="1"/>
    </row>
    <row r="14514" spans="1:1">
      <c r="A14514" s="1"/>
    </row>
    <row r="14515" spans="1:1">
      <c r="A14515" s="1"/>
    </row>
    <row r="14516" spans="1:1">
      <c r="A14516" s="1"/>
    </row>
    <row r="14517" spans="1:1">
      <c r="A14517" s="1"/>
    </row>
    <row r="14518" spans="1:1">
      <c r="A14518" s="1"/>
    </row>
    <row r="14519" spans="1:1">
      <c r="A14519" s="1"/>
    </row>
    <row r="14520" spans="1:1">
      <c r="A14520" s="1"/>
    </row>
    <row r="14521" spans="1:1">
      <c r="A14521" s="1"/>
    </row>
    <row r="14522" spans="1:1">
      <c r="A14522" s="1"/>
    </row>
    <row r="14523" spans="1:1">
      <c r="A14523" s="1"/>
    </row>
    <row r="14524" spans="1:1">
      <c r="A14524" s="1"/>
    </row>
    <row r="14525" spans="1:1">
      <c r="A14525" s="1"/>
    </row>
    <row r="14526" spans="1:1">
      <c r="A14526" s="1"/>
    </row>
    <row r="14527" spans="1:1">
      <c r="A14527" s="1"/>
    </row>
    <row r="14528" spans="1:1">
      <c r="A14528" s="1"/>
    </row>
    <row r="14529" spans="1:1">
      <c r="A14529" s="1"/>
    </row>
    <row r="14530" spans="1:1">
      <c r="A14530" s="1"/>
    </row>
    <row r="14531" spans="1:1">
      <c r="A14531" s="1"/>
    </row>
    <row r="14532" spans="1:1">
      <c r="A14532" s="1"/>
    </row>
    <row r="14533" spans="1:1">
      <c r="A14533" s="1"/>
    </row>
    <row r="14534" spans="1:1">
      <c r="A14534" s="1"/>
    </row>
    <row r="14535" spans="1:1">
      <c r="A14535" s="1"/>
    </row>
    <row r="14536" spans="1:1">
      <c r="A14536" s="1"/>
    </row>
    <row r="14537" spans="1:1">
      <c r="A14537" s="1"/>
    </row>
    <row r="14538" spans="1:1">
      <c r="A14538" s="1"/>
    </row>
    <row r="14539" spans="1:1">
      <c r="A14539" s="1"/>
    </row>
    <row r="14540" spans="1:1">
      <c r="A14540" s="1"/>
    </row>
    <row r="14541" spans="1:1">
      <c r="A14541" s="1"/>
    </row>
    <row r="14542" spans="1:1">
      <c r="A14542" s="1"/>
    </row>
    <row r="14543" spans="1:1">
      <c r="A14543" s="1"/>
    </row>
    <row r="14544" spans="1:1">
      <c r="A14544" s="1"/>
    </row>
    <row r="14545" spans="1:1">
      <c r="A14545" s="1"/>
    </row>
    <row r="14546" spans="1:1">
      <c r="A14546" s="1"/>
    </row>
    <row r="14547" spans="1:1">
      <c r="A14547" s="1"/>
    </row>
    <row r="14548" spans="1:1">
      <c r="A14548" s="1"/>
    </row>
    <row r="14549" spans="1:1">
      <c r="A14549" s="1"/>
    </row>
    <row r="14550" spans="1:1">
      <c r="A14550" s="1"/>
    </row>
    <row r="14551" spans="1:1">
      <c r="A14551" s="1"/>
    </row>
    <row r="14552" spans="1:1">
      <c r="A14552" s="1"/>
    </row>
    <row r="14553" spans="1:1">
      <c r="A14553" s="1"/>
    </row>
    <row r="14554" spans="1:1">
      <c r="A14554" s="1"/>
    </row>
    <row r="14555" spans="1:1">
      <c r="A14555" s="1"/>
    </row>
    <row r="14556" spans="1:1">
      <c r="A14556" s="1"/>
    </row>
    <row r="14557" spans="1:1">
      <c r="A14557" s="1"/>
    </row>
    <row r="14558" spans="1:1">
      <c r="A14558" s="1"/>
    </row>
    <row r="14559" spans="1:1">
      <c r="A14559" s="1"/>
    </row>
    <row r="14560" spans="1:1">
      <c r="A14560" s="1"/>
    </row>
    <row r="14561" spans="1:1">
      <c r="A14561" s="1"/>
    </row>
    <row r="14562" spans="1:1">
      <c r="A14562" s="1"/>
    </row>
    <row r="14563" spans="1:1">
      <c r="A14563" s="1"/>
    </row>
    <row r="14564" spans="1:1">
      <c r="A14564" s="1"/>
    </row>
    <row r="14565" spans="1:1">
      <c r="A14565" s="1"/>
    </row>
    <row r="14566" spans="1:1">
      <c r="A14566" s="1"/>
    </row>
    <row r="14567" spans="1:1">
      <c r="A14567" s="1"/>
    </row>
    <row r="14568" spans="1:1">
      <c r="A14568" s="1"/>
    </row>
    <row r="14569" spans="1:1">
      <c r="A14569" s="1"/>
    </row>
    <row r="14570" spans="1:1">
      <c r="A14570" s="1"/>
    </row>
    <row r="14571" spans="1:1">
      <c r="A14571" s="1"/>
    </row>
    <row r="14572" spans="1:1">
      <c r="A14572" s="1"/>
    </row>
    <row r="14573" spans="1:1">
      <c r="A14573" s="1"/>
    </row>
    <row r="14574" spans="1:1">
      <c r="A14574" s="1"/>
    </row>
    <row r="14575" spans="1:1">
      <c r="A14575" s="1"/>
    </row>
    <row r="14576" spans="1:1">
      <c r="A14576" s="1"/>
    </row>
    <row r="14577" spans="1:1">
      <c r="A14577" s="1"/>
    </row>
    <row r="14578" spans="1:1">
      <c r="A14578" s="1"/>
    </row>
    <row r="14579" spans="1:1">
      <c r="A14579" s="1"/>
    </row>
    <row r="14580" spans="1:1">
      <c r="A14580" s="1"/>
    </row>
    <row r="14581" spans="1:1">
      <c r="A14581" s="1"/>
    </row>
    <row r="14582" spans="1:1">
      <c r="A14582" s="1"/>
    </row>
    <row r="14583" spans="1:1">
      <c r="A14583" s="1"/>
    </row>
    <row r="14584" spans="1:1">
      <c r="A14584" s="1"/>
    </row>
    <row r="14585" spans="1:1">
      <c r="A14585" s="1"/>
    </row>
    <row r="14586" spans="1:1">
      <c r="A14586" s="1"/>
    </row>
    <row r="14587" spans="1:1">
      <c r="A14587" s="1"/>
    </row>
    <row r="14588" spans="1:1">
      <c r="A14588" s="1"/>
    </row>
    <row r="14589" spans="1:1">
      <c r="A14589" s="1"/>
    </row>
    <row r="14590" spans="1:1">
      <c r="A14590" s="1"/>
    </row>
    <row r="14591" spans="1:1">
      <c r="A14591" s="1"/>
    </row>
    <row r="14592" spans="1:1">
      <c r="A14592" s="1"/>
    </row>
    <row r="14593" spans="1:1">
      <c r="A14593" s="1"/>
    </row>
    <row r="14594" spans="1:1">
      <c r="A14594" s="1"/>
    </row>
    <row r="14595" spans="1:1">
      <c r="A14595" s="1"/>
    </row>
    <row r="14596" spans="1:1">
      <c r="A14596" s="1"/>
    </row>
    <row r="14597" spans="1:1">
      <c r="A14597" s="1"/>
    </row>
    <row r="14598" spans="1:1">
      <c r="A14598" s="1"/>
    </row>
    <row r="14599" spans="1:1">
      <c r="A14599" s="1"/>
    </row>
    <row r="14600" spans="1:1">
      <c r="A14600" s="1"/>
    </row>
    <row r="14601" spans="1:1">
      <c r="A14601" s="1"/>
    </row>
    <row r="14602" spans="1:1">
      <c r="A14602" s="1"/>
    </row>
    <row r="14603" spans="1:1">
      <c r="A14603" s="1"/>
    </row>
    <row r="14604" spans="1:1">
      <c r="A14604" s="1"/>
    </row>
    <row r="14605" spans="1:1">
      <c r="A14605" s="1"/>
    </row>
    <row r="14606" spans="1:1">
      <c r="A14606" s="1"/>
    </row>
    <row r="14607" spans="1:1">
      <c r="A14607" s="1"/>
    </row>
    <row r="14608" spans="1:1">
      <c r="A14608" s="1"/>
    </row>
    <row r="14609" spans="1:1">
      <c r="A14609" s="1"/>
    </row>
    <row r="14610" spans="1:1">
      <c r="A14610" s="1"/>
    </row>
    <row r="14611" spans="1:1">
      <c r="A14611" s="1"/>
    </row>
    <row r="14612" spans="1:1">
      <c r="A14612" s="1"/>
    </row>
    <row r="14613" spans="1:1">
      <c r="A14613" s="1"/>
    </row>
    <row r="14614" spans="1:1">
      <c r="A14614" s="1"/>
    </row>
    <row r="14615" spans="1:1">
      <c r="A14615" s="1"/>
    </row>
    <row r="14616" spans="1:1">
      <c r="A14616" s="1"/>
    </row>
    <row r="14617" spans="1:1">
      <c r="A14617" s="1"/>
    </row>
    <row r="14618" spans="1:1">
      <c r="A14618" s="1"/>
    </row>
    <row r="14619" spans="1:1">
      <c r="A14619" s="1"/>
    </row>
    <row r="14620" spans="1:1">
      <c r="A14620" s="1"/>
    </row>
    <row r="14621" spans="1:1">
      <c r="A14621" s="1"/>
    </row>
    <row r="14622" spans="1:1">
      <c r="A14622" s="1"/>
    </row>
    <row r="14623" spans="1:1">
      <c r="A14623" s="1"/>
    </row>
    <row r="14624" spans="1:1">
      <c r="A14624" s="1"/>
    </row>
    <row r="14625" spans="1:1">
      <c r="A14625" s="1"/>
    </row>
    <row r="14626" spans="1:1">
      <c r="A14626" s="1"/>
    </row>
    <row r="14627" spans="1:1">
      <c r="A14627" s="1"/>
    </row>
    <row r="14628" spans="1:1">
      <c r="A14628" s="1"/>
    </row>
    <row r="14629" spans="1:1">
      <c r="A14629" s="1"/>
    </row>
    <row r="14630" spans="1:1">
      <c r="A14630" s="1"/>
    </row>
    <row r="14631" spans="1:1">
      <c r="A14631" s="1"/>
    </row>
    <row r="14632" spans="1:1">
      <c r="A14632" s="1"/>
    </row>
    <row r="14633" spans="1:1">
      <c r="A14633" s="1"/>
    </row>
    <row r="14634" spans="1:1">
      <c r="A14634" s="1"/>
    </row>
    <row r="14635" spans="1:1">
      <c r="A14635" s="1"/>
    </row>
    <row r="14636" spans="1:1">
      <c r="A14636" s="1"/>
    </row>
    <row r="14637" spans="1:1">
      <c r="A14637" s="1"/>
    </row>
    <row r="14638" spans="1:1">
      <c r="A14638" s="1"/>
    </row>
    <row r="14639" spans="1:1">
      <c r="A14639" s="1"/>
    </row>
    <row r="14640" spans="1:1">
      <c r="A14640" s="1"/>
    </row>
    <row r="14641" spans="1:1">
      <c r="A14641" s="1"/>
    </row>
    <row r="14642" spans="1:1">
      <c r="A14642" s="1"/>
    </row>
    <row r="14643" spans="1:1">
      <c r="A14643" s="1"/>
    </row>
    <row r="14644" spans="1:1">
      <c r="A14644" s="1"/>
    </row>
    <row r="14645" spans="1:1">
      <c r="A14645" s="1"/>
    </row>
    <row r="14646" spans="1:1">
      <c r="A14646" s="1"/>
    </row>
    <row r="14647" spans="1:1">
      <c r="A14647" s="1"/>
    </row>
    <row r="14648" spans="1:1">
      <c r="A14648" s="1"/>
    </row>
    <row r="14649" spans="1:1">
      <c r="A14649" s="1"/>
    </row>
    <row r="14650" spans="1:1">
      <c r="A14650" s="1"/>
    </row>
    <row r="14651" spans="1:1">
      <c r="A14651" s="1"/>
    </row>
    <row r="14652" spans="1:1">
      <c r="A14652" s="1"/>
    </row>
    <row r="14653" spans="1:1">
      <c r="A14653" s="1"/>
    </row>
    <row r="14654" spans="1:1">
      <c r="A14654" s="1"/>
    </row>
    <row r="14655" spans="1:1">
      <c r="A14655" s="1"/>
    </row>
    <row r="14656" spans="1:1">
      <c r="A14656" s="1"/>
    </row>
    <row r="14657" spans="1:1">
      <c r="A14657" s="1"/>
    </row>
    <row r="14658" spans="1:1">
      <c r="A14658" s="1"/>
    </row>
    <row r="14659" spans="1:1">
      <c r="A14659" s="1"/>
    </row>
    <row r="14660" spans="1:1">
      <c r="A14660" s="1"/>
    </row>
    <row r="14661" spans="1:1">
      <c r="A14661" s="1"/>
    </row>
    <row r="14662" spans="1:1">
      <c r="A14662" s="1"/>
    </row>
    <row r="14663" spans="1:1">
      <c r="A14663" s="1"/>
    </row>
    <row r="14664" spans="1:1">
      <c r="A14664" s="1"/>
    </row>
    <row r="14665" spans="1:1">
      <c r="A14665" s="1"/>
    </row>
    <row r="14666" spans="1:1">
      <c r="A14666" s="1"/>
    </row>
    <row r="14667" spans="1:1">
      <c r="A14667" s="1"/>
    </row>
    <row r="14668" spans="1:1">
      <c r="A14668" s="1"/>
    </row>
    <row r="14669" spans="1:1">
      <c r="A14669" s="1"/>
    </row>
    <row r="14670" spans="1:1">
      <c r="A14670" s="1"/>
    </row>
    <row r="14671" spans="1:1">
      <c r="A14671" s="1"/>
    </row>
    <row r="14672" spans="1:1">
      <c r="A14672" s="1"/>
    </row>
    <row r="14673" spans="1:1">
      <c r="A14673" s="1"/>
    </row>
    <row r="14674" spans="1:1">
      <c r="A14674" s="1"/>
    </row>
    <row r="14675" spans="1:1">
      <c r="A14675" s="1"/>
    </row>
    <row r="14676" spans="1:1">
      <c r="A14676" s="1"/>
    </row>
    <row r="14677" spans="1:1">
      <c r="A14677" s="1"/>
    </row>
    <row r="14678" spans="1:1">
      <c r="A14678" s="1"/>
    </row>
    <row r="14679" spans="1:1">
      <c r="A14679" s="1"/>
    </row>
    <row r="14680" spans="1:1">
      <c r="A14680" s="1"/>
    </row>
    <row r="14681" spans="1:1">
      <c r="A14681" s="1"/>
    </row>
    <row r="14682" spans="1:1">
      <c r="A14682" s="1"/>
    </row>
    <row r="14683" spans="1:1">
      <c r="A14683" s="1"/>
    </row>
    <row r="14684" spans="1:1">
      <c r="A14684" s="1"/>
    </row>
    <row r="14685" spans="1:1">
      <c r="A14685" s="1"/>
    </row>
    <row r="14686" spans="1:1">
      <c r="A14686" s="1"/>
    </row>
    <row r="14687" spans="1:1">
      <c r="A14687" s="1"/>
    </row>
    <row r="14688" spans="1:1">
      <c r="A14688" s="1"/>
    </row>
    <row r="14689" spans="1:1">
      <c r="A14689" s="1"/>
    </row>
    <row r="14690" spans="1:1">
      <c r="A14690" s="1"/>
    </row>
    <row r="14691" spans="1:1">
      <c r="A14691" s="1"/>
    </row>
    <row r="14692" spans="1:1">
      <c r="A14692" s="1"/>
    </row>
    <row r="14693" spans="1:1">
      <c r="A14693" s="1"/>
    </row>
    <row r="14694" spans="1:1">
      <c r="A14694" s="1"/>
    </row>
    <row r="14695" spans="1:1">
      <c r="A14695" s="1"/>
    </row>
    <row r="14696" spans="1:1">
      <c r="A14696" s="1"/>
    </row>
    <row r="14697" spans="1:1">
      <c r="A14697" s="1"/>
    </row>
    <row r="14698" spans="1:1">
      <c r="A14698" s="1"/>
    </row>
    <row r="14699" spans="1:1">
      <c r="A14699" s="1"/>
    </row>
    <row r="14700" spans="1:1">
      <c r="A14700" s="1"/>
    </row>
    <row r="14701" spans="1:1">
      <c r="A14701" s="1"/>
    </row>
    <row r="14702" spans="1:1">
      <c r="A14702" s="1"/>
    </row>
    <row r="14703" spans="1:1">
      <c r="A14703" s="1"/>
    </row>
    <row r="14704" spans="1:1">
      <c r="A14704" s="1"/>
    </row>
    <row r="14705" spans="1:1">
      <c r="A14705" s="1"/>
    </row>
    <row r="14706" spans="1:1">
      <c r="A14706" s="1"/>
    </row>
    <row r="14707" spans="1:1">
      <c r="A14707" s="1"/>
    </row>
    <row r="14708" spans="1:1">
      <c r="A14708" s="1"/>
    </row>
    <row r="14709" spans="1:1">
      <c r="A14709" s="1"/>
    </row>
    <row r="14710" spans="1:1">
      <c r="A14710" s="1"/>
    </row>
    <row r="14711" spans="1:1">
      <c r="A14711" s="1"/>
    </row>
    <row r="14712" spans="1:1">
      <c r="A14712" s="1"/>
    </row>
    <row r="14713" spans="1:1">
      <c r="A14713" s="1"/>
    </row>
    <row r="14714" spans="1:1">
      <c r="A14714" s="1"/>
    </row>
    <row r="14715" spans="1:1">
      <c r="A14715" s="1"/>
    </row>
    <row r="14716" spans="1:1">
      <c r="A14716" s="1"/>
    </row>
    <row r="14717" spans="1:1">
      <c r="A14717" s="1"/>
    </row>
    <row r="14718" spans="1:1">
      <c r="A14718" s="1"/>
    </row>
    <row r="14719" spans="1:1">
      <c r="A14719" s="1"/>
    </row>
    <row r="14720" spans="1:1">
      <c r="A14720" s="1"/>
    </row>
    <row r="14721" spans="1:1">
      <c r="A14721" s="1"/>
    </row>
    <row r="14722" spans="1:1">
      <c r="A14722" s="1"/>
    </row>
    <row r="14723" spans="1:1">
      <c r="A14723" s="1"/>
    </row>
    <row r="14724" spans="1:1">
      <c r="A14724" s="1"/>
    </row>
    <row r="14725" spans="1:1">
      <c r="A14725" s="1"/>
    </row>
    <row r="14726" spans="1:1">
      <c r="A14726" s="1"/>
    </row>
    <row r="14727" spans="1:1">
      <c r="A14727" s="1"/>
    </row>
    <row r="14728" spans="1:1">
      <c r="A14728" s="1"/>
    </row>
    <row r="14729" spans="1:1">
      <c r="A14729" s="1"/>
    </row>
    <row r="14730" spans="1:1">
      <c r="A14730" s="1"/>
    </row>
    <row r="14731" spans="1:1">
      <c r="A14731" s="1"/>
    </row>
    <row r="14732" spans="1:1">
      <c r="A14732" s="1"/>
    </row>
    <row r="14733" spans="1:1">
      <c r="A14733" s="1"/>
    </row>
    <row r="14734" spans="1:1">
      <c r="A14734" s="1"/>
    </row>
    <row r="14735" spans="1:1">
      <c r="A14735" s="1"/>
    </row>
    <row r="14736" spans="1:1">
      <c r="A14736" s="1"/>
    </row>
    <row r="14737" spans="1:1">
      <c r="A14737" s="1"/>
    </row>
    <row r="14738" spans="1:1">
      <c r="A14738" s="1"/>
    </row>
    <row r="14739" spans="1:1">
      <c r="A14739" s="1"/>
    </row>
    <row r="14740" spans="1:1">
      <c r="A14740" s="1"/>
    </row>
    <row r="14741" spans="1:1">
      <c r="A14741" s="1"/>
    </row>
    <row r="14742" spans="1:1">
      <c r="A14742" s="1"/>
    </row>
    <row r="14743" spans="1:1">
      <c r="A14743" s="1"/>
    </row>
    <row r="14744" spans="1:1">
      <c r="A14744" s="1"/>
    </row>
    <row r="14745" spans="1:1">
      <c r="A14745" s="1"/>
    </row>
    <row r="14746" spans="1:1">
      <c r="A14746" s="1"/>
    </row>
    <row r="14747" spans="1:1">
      <c r="A14747" s="1"/>
    </row>
    <row r="14748" spans="1:1">
      <c r="A14748" s="1"/>
    </row>
    <row r="14749" spans="1:1">
      <c r="A14749" s="1"/>
    </row>
    <row r="14750" spans="1:1">
      <c r="A14750" s="1"/>
    </row>
    <row r="14751" spans="1:1">
      <c r="A14751" s="1"/>
    </row>
    <row r="14752" spans="1:1">
      <c r="A14752" s="1"/>
    </row>
    <row r="14753" spans="1:1">
      <c r="A14753" s="1"/>
    </row>
    <row r="14754" spans="1:1">
      <c r="A14754" s="1"/>
    </row>
    <row r="14755" spans="1:1">
      <c r="A14755" s="1"/>
    </row>
    <row r="14756" spans="1:1">
      <c r="A14756" s="1"/>
    </row>
    <row r="14757" spans="1:1">
      <c r="A14757" s="1"/>
    </row>
    <row r="14758" spans="1:1">
      <c r="A14758" s="1"/>
    </row>
    <row r="14759" spans="1:1">
      <c r="A14759" s="1"/>
    </row>
    <row r="14760" spans="1:1">
      <c r="A14760" s="1"/>
    </row>
    <row r="14761" spans="1:1">
      <c r="A14761" s="1"/>
    </row>
    <row r="14762" spans="1:1">
      <c r="A14762" s="1"/>
    </row>
    <row r="14763" spans="1:1">
      <c r="A14763" s="1"/>
    </row>
    <row r="14764" spans="1:1">
      <c r="A14764" s="1"/>
    </row>
    <row r="14765" spans="1:1">
      <c r="A14765" s="1"/>
    </row>
    <row r="14766" spans="1:1">
      <c r="A14766" s="1"/>
    </row>
    <row r="14767" spans="1:1">
      <c r="A14767" s="1"/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  <row r="14781" spans="1:1">
      <c r="A14781" s="1"/>
    </row>
    <row r="14782" spans="1:1">
      <c r="A14782" s="1"/>
    </row>
    <row r="14783" spans="1:1">
      <c r="A14783" s="1"/>
    </row>
    <row r="14784" spans="1:1">
      <c r="A14784" s="1"/>
    </row>
    <row r="14785" spans="1:1">
      <c r="A14785" s="1"/>
    </row>
    <row r="14786" spans="1:1">
      <c r="A14786" s="1"/>
    </row>
    <row r="14787" spans="1:1">
      <c r="A14787" s="1"/>
    </row>
    <row r="14788" spans="1:1">
      <c r="A14788" s="1"/>
    </row>
    <row r="14789" spans="1:1">
      <c r="A14789" s="1"/>
    </row>
    <row r="14790" spans="1:1">
      <c r="A14790" s="1"/>
    </row>
    <row r="14791" spans="1:1">
      <c r="A14791" s="1"/>
    </row>
    <row r="14792" spans="1:1">
      <c r="A14792" s="1"/>
    </row>
    <row r="14793" spans="1:1">
      <c r="A14793" s="1"/>
    </row>
    <row r="14794" spans="1:1">
      <c r="A14794" s="1"/>
    </row>
    <row r="14795" spans="1:1">
      <c r="A14795" s="1"/>
    </row>
    <row r="14796" spans="1:1">
      <c r="A14796" s="1"/>
    </row>
    <row r="14797" spans="1:1">
      <c r="A14797" s="1"/>
    </row>
    <row r="14798" spans="1:1">
      <c r="A14798" s="1"/>
    </row>
    <row r="14799" spans="1:1">
      <c r="A14799" s="1"/>
    </row>
    <row r="14800" spans="1:1">
      <c r="A14800" s="1"/>
    </row>
    <row r="14801" spans="1:1">
      <c r="A14801" s="1"/>
    </row>
    <row r="14802" spans="1:1">
      <c r="A14802" s="1"/>
    </row>
    <row r="14803" spans="1:1">
      <c r="A14803" s="1"/>
    </row>
    <row r="14804" spans="1:1">
      <c r="A14804" s="1"/>
    </row>
    <row r="14805" spans="1:1">
      <c r="A14805" s="1"/>
    </row>
    <row r="14806" spans="1:1">
      <c r="A14806" s="1"/>
    </row>
    <row r="14807" spans="1:1">
      <c r="A14807" s="1"/>
    </row>
    <row r="14808" spans="1:1">
      <c r="A14808" s="1"/>
    </row>
    <row r="14809" spans="1:1">
      <c r="A14809" s="1"/>
    </row>
    <row r="14810" spans="1:1">
      <c r="A14810" s="1"/>
    </row>
    <row r="14811" spans="1:1">
      <c r="A14811" s="1"/>
    </row>
    <row r="14812" spans="1:1">
      <c r="A14812" s="1"/>
    </row>
    <row r="14813" spans="1:1">
      <c r="A14813" s="1"/>
    </row>
    <row r="14814" spans="1:1">
      <c r="A14814" s="1"/>
    </row>
    <row r="14815" spans="1:1">
      <c r="A14815" s="1"/>
    </row>
    <row r="14816" spans="1:1">
      <c r="A14816" s="1"/>
    </row>
    <row r="14817" spans="1:1">
      <c r="A14817" s="1"/>
    </row>
    <row r="14818" spans="1:1">
      <c r="A14818" s="1"/>
    </row>
    <row r="14819" spans="1:1">
      <c r="A14819" s="1"/>
    </row>
    <row r="14820" spans="1:1">
      <c r="A14820" s="1"/>
    </row>
    <row r="14821" spans="1:1">
      <c r="A14821" s="1"/>
    </row>
    <row r="14822" spans="1:1">
      <c r="A14822" s="1"/>
    </row>
    <row r="14823" spans="1:1">
      <c r="A14823" s="1"/>
    </row>
    <row r="14824" spans="1:1">
      <c r="A14824" s="1"/>
    </row>
    <row r="14825" spans="1:1">
      <c r="A14825" s="1"/>
    </row>
    <row r="14826" spans="1:1">
      <c r="A14826" s="1"/>
    </row>
    <row r="14827" spans="1:1">
      <c r="A14827" s="1"/>
    </row>
    <row r="14828" spans="1:1">
      <c r="A14828" s="1"/>
    </row>
    <row r="14829" spans="1:1">
      <c r="A14829" s="1"/>
    </row>
    <row r="14830" spans="1:1">
      <c r="A14830" s="1"/>
    </row>
    <row r="14831" spans="1:1">
      <c r="A14831" s="1"/>
    </row>
    <row r="14832" spans="1:1">
      <c r="A14832" s="1"/>
    </row>
    <row r="14833" spans="1:1">
      <c r="A14833" s="1"/>
    </row>
    <row r="14834" spans="1:1">
      <c r="A14834" s="1"/>
    </row>
    <row r="14835" spans="1:1">
      <c r="A14835" s="1"/>
    </row>
    <row r="14836" spans="1:1">
      <c r="A14836" s="1"/>
    </row>
    <row r="14837" spans="1:1">
      <c r="A14837" s="1"/>
    </row>
    <row r="14838" spans="1:1">
      <c r="A14838" s="1"/>
    </row>
    <row r="14839" spans="1:1">
      <c r="A14839" s="1"/>
    </row>
    <row r="14840" spans="1:1">
      <c r="A14840" s="1"/>
    </row>
    <row r="14841" spans="1:1">
      <c r="A14841" s="1"/>
    </row>
    <row r="14842" spans="1:1">
      <c r="A14842" s="1"/>
    </row>
    <row r="14843" spans="1:1">
      <c r="A14843" s="1"/>
    </row>
    <row r="14844" spans="1:1">
      <c r="A14844" s="1"/>
    </row>
    <row r="14845" spans="1:1">
      <c r="A14845" s="1"/>
    </row>
    <row r="14846" spans="1:1">
      <c r="A14846" s="1"/>
    </row>
    <row r="14847" spans="1:1">
      <c r="A14847" s="1"/>
    </row>
    <row r="14848" spans="1:1">
      <c r="A14848" s="1"/>
    </row>
    <row r="14849" spans="1:1">
      <c r="A14849" s="1"/>
    </row>
    <row r="14850" spans="1:1">
      <c r="A14850" s="1"/>
    </row>
    <row r="14851" spans="1:1">
      <c r="A14851" s="1"/>
    </row>
    <row r="14852" spans="1:1">
      <c r="A14852" s="1"/>
    </row>
    <row r="14853" spans="1:1">
      <c r="A14853" s="1"/>
    </row>
    <row r="14854" spans="1:1">
      <c r="A14854" s="1"/>
    </row>
    <row r="14855" spans="1:1">
      <c r="A14855" s="1"/>
    </row>
    <row r="14856" spans="1:1">
      <c r="A14856" s="1"/>
    </row>
    <row r="14857" spans="1:1">
      <c r="A14857" s="1"/>
    </row>
    <row r="14858" spans="1:1">
      <c r="A14858" s="1"/>
    </row>
    <row r="14859" spans="1:1">
      <c r="A14859" s="1"/>
    </row>
    <row r="14860" spans="1:1">
      <c r="A14860" s="1"/>
    </row>
    <row r="14861" spans="1:1">
      <c r="A14861" s="1"/>
    </row>
    <row r="14862" spans="1:1">
      <c r="A14862" s="1"/>
    </row>
    <row r="14863" spans="1:1">
      <c r="A14863" s="1"/>
    </row>
    <row r="14864" spans="1:1">
      <c r="A14864" s="1"/>
    </row>
    <row r="14865" spans="1:1">
      <c r="A14865" s="1"/>
    </row>
    <row r="14866" spans="1:1">
      <c r="A14866" s="1"/>
    </row>
    <row r="14867" spans="1:1">
      <c r="A14867" s="1"/>
    </row>
    <row r="14868" spans="1:1">
      <c r="A14868" s="1"/>
    </row>
    <row r="14869" spans="1:1">
      <c r="A14869" s="1"/>
    </row>
    <row r="14870" spans="1:1">
      <c r="A14870" s="1"/>
    </row>
    <row r="14871" spans="1:1">
      <c r="A14871" s="1"/>
    </row>
    <row r="14872" spans="1:1">
      <c r="A14872" s="1"/>
    </row>
    <row r="14873" spans="1:1">
      <c r="A14873" s="1"/>
    </row>
    <row r="14874" spans="1:1">
      <c r="A14874" s="1"/>
    </row>
    <row r="14875" spans="1:1">
      <c r="A14875" s="1"/>
    </row>
    <row r="14876" spans="1:1">
      <c r="A14876" s="1"/>
    </row>
    <row r="14877" spans="1:1">
      <c r="A14877" s="1"/>
    </row>
    <row r="14878" spans="1:1">
      <c r="A14878" s="1"/>
    </row>
    <row r="14879" spans="1:1">
      <c r="A14879" s="1"/>
    </row>
    <row r="14880" spans="1:1">
      <c r="A14880" s="1"/>
    </row>
    <row r="14881" spans="1:1">
      <c r="A14881" s="1"/>
    </row>
    <row r="14882" spans="1:1">
      <c r="A14882" s="1"/>
    </row>
    <row r="14883" spans="1:1">
      <c r="A14883" s="1"/>
    </row>
    <row r="14884" spans="1:1">
      <c r="A14884" s="1"/>
    </row>
    <row r="14885" spans="1:1">
      <c r="A14885" s="1"/>
    </row>
    <row r="14886" spans="1:1">
      <c r="A14886" s="1"/>
    </row>
    <row r="14887" spans="1:1">
      <c r="A14887" s="1"/>
    </row>
    <row r="14888" spans="1:1">
      <c r="A14888" s="1"/>
    </row>
    <row r="14889" spans="1:1">
      <c r="A14889" s="1"/>
    </row>
    <row r="14890" spans="1:1">
      <c r="A14890" s="1"/>
    </row>
    <row r="14891" spans="1:1">
      <c r="A14891" s="1"/>
    </row>
    <row r="14892" spans="1:1">
      <c r="A14892" s="1"/>
    </row>
    <row r="14893" spans="1:1">
      <c r="A14893" s="1"/>
    </row>
    <row r="14894" spans="1:1">
      <c r="A14894" s="1"/>
    </row>
    <row r="14895" spans="1:1">
      <c r="A14895" s="1"/>
    </row>
    <row r="14896" spans="1:1">
      <c r="A14896" s="1"/>
    </row>
    <row r="14897" spans="1:1">
      <c r="A14897" s="1"/>
    </row>
    <row r="14898" spans="1:1">
      <c r="A14898" s="1"/>
    </row>
    <row r="14899" spans="1:1">
      <c r="A14899" s="1"/>
    </row>
    <row r="14900" spans="1:1">
      <c r="A14900" s="1"/>
    </row>
    <row r="14901" spans="1:1">
      <c r="A14901" s="1"/>
    </row>
    <row r="14902" spans="1:1">
      <c r="A14902" s="1"/>
    </row>
    <row r="14903" spans="1:1">
      <c r="A14903" s="1"/>
    </row>
    <row r="14904" spans="1:1">
      <c r="A14904" s="1"/>
    </row>
    <row r="14905" spans="1:1">
      <c r="A14905" s="1"/>
    </row>
    <row r="14906" spans="1:1">
      <c r="A14906" s="1"/>
    </row>
    <row r="14907" spans="1:1">
      <c r="A14907" s="1"/>
    </row>
    <row r="14908" spans="1:1">
      <c r="A14908" s="1"/>
    </row>
    <row r="14909" spans="1:1">
      <c r="A14909" s="1"/>
    </row>
    <row r="14910" spans="1:1">
      <c r="A14910" s="1"/>
    </row>
    <row r="14911" spans="1:1">
      <c r="A14911" s="1"/>
    </row>
    <row r="14912" spans="1:1">
      <c r="A14912" s="1"/>
    </row>
    <row r="14913" spans="1:1">
      <c r="A14913" s="1"/>
    </row>
    <row r="14914" spans="1:1">
      <c r="A14914" s="1"/>
    </row>
    <row r="14915" spans="1:1">
      <c r="A14915" s="1"/>
    </row>
    <row r="14916" spans="1:1">
      <c r="A14916" s="1"/>
    </row>
    <row r="14917" spans="1:1">
      <c r="A14917" s="1"/>
    </row>
    <row r="14918" spans="1:1">
      <c r="A14918" s="1"/>
    </row>
    <row r="14919" spans="1:1">
      <c r="A14919" s="1"/>
    </row>
    <row r="14920" spans="1:1">
      <c r="A14920" s="1"/>
    </row>
    <row r="14921" spans="1:1">
      <c r="A14921" s="1"/>
    </row>
    <row r="14922" spans="1:1">
      <c r="A14922" s="1"/>
    </row>
    <row r="14923" spans="1:1">
      <c r="A14923" s="1"/>
    </row>
    <row r="14924" spans="1:1">
      <c r="A14924" s="1"/>
    </row>
    <row r="14925" spans="1:1">
      <c r="A14925" s="1"/>
    </row>
    <row r="14926" spans="1:1">
      <c r="A14926" s="1"/>
    </row>
    <row r="14927" spans="1:1">
      <c r="A14927" s="1"/>
    </row>
    <row r="14928" spans="1:1">
      <c r="A14928" s="1"/>
    </row>
    <row r="14929" spans="1:1">
      <c r="A14929" s="1"/>
    </row>
    <row r="14930" spans="1:1">
      <c r="A14930" s="1"/>
    </row>
    <row r="14931" spans="1:1">
      <c r="A14931" s="1"/>
    </row>
    <row r="14932" spans="1:1">
      <c r="A14932" s="1"/>
    </row>
    <row r="14933" spans="1:1">
      <c r="A14933" s="1"/>
    </row>
    <row r="14934" spans="1:1">
      <c r="A14934" s="1"/>
    </row>
    <row r="14935" spans="1:1">
      <c r="A14935" s="1"/>
    </row>
    <row r="14936" spans="1:1">
      <c r="A14936" s="1"/>
    </row>
    <row r="14937" spans="1:1">
      <c r="A14937" s="1"/>
    </row>
    <row r="14938" spans="1:1">
      <c r="A14938" s="1"/>
    </row>
    <row r="14939" spans="1:1">
      <c r="A14939" s="1"/>
    </row>
    <row r="14940" spans="1:1">
      <c r="A14940" s="1"/>
    </row>
    <row r="14941" spans="1:1">
      <c r="A14941" s="1"/>
    </row>
    <row r="14942" spans="1:1">
      <c r="A14942" s="1"/>
    </row>
    <row r="14943" spans="1:1">
      <c r="A14943" s="1"/>
    </row>
    <row r="14944" spans="1:1">
      <c r="A14944" s="1"/>
    </row>
    <row r="14945" spans="1:1">
      <c r="A14945" s="1"/>
    </row>
    <row r="14946" spans="1:1">
      <c r="A14946" s="1"/>
    </row>
    <row r="14947" spans="1:1">
      <c r="A14947" s="1"/>
    </row>
    <row r="14948" spans="1:1">
      <c r="A14948" s="1"/>
    </row>
    <row r="14949" spans="1:1">
      <c r="A14949" s="1"/>
    </row>
    <row r="14950" spans="1:1">
      <c r="A14950" s="1"/>
    </row>
    <row r="14951" spans="1:1">
      <c r="A14951" s="1"/>
    </row>
    <row r="14952" spans="1:1">
      <c r="A14952" s="1"/>
    </row>
    <row r="14953" spans="1:1">
      <c r="A14953" s="1"/>
    </row>
    <row r="14954" spans="1:1">
      <c r="A14954" s="1"/>
    </row>
    <row r="14955" spans="1:1">
      <c r="A14955" s="1"/>
    </row>
    <row r="14956" spans="1:1">
      <c r="A14956" s="1"/>
    </row>
    <row r="14957" spans="1:1">
      <c r="A14957" s="1"/>
    </row>
    <row r="14958" spans="1:1">
      <c r="A14958" s="1"/>
    </row>
    <row r="14959" spans="1:1">
      <c r="A14959" s="1"/>
    </row>
    <row r="14960" spans="1:1">
      <c r="A14960" s="1"/>
    </row>
    <row r="14961" spans="1:1">
      <c r="A14961" s="1"/>
    </row>
    <row r="14962" spans="1:1">
      <c r="A14962" s="1"/>
    </row>
    <row r="14963" spans="1:1">
      <c r="A14963" s="1"/>
    </row>
    <row r="14964" spans="1:1">
      <c r="A14964" s="1"/>
    </row>
    <row r="14965" spans="1:1">
      <c r="A14965" s="1"/>
    </row>
    <row r="14966" spans="1:1">
      <c r="A14966" s="1"/>
    </row>
    <row r="14967" spans="1:1">
      <c r="A14967" s="1"/>
    </row>
    <row r="14968" spans="1:1">
      <c r="A14968" s="1"/>
    </row>
    <row r="14969" spans="1:1">
      <c r="A14969" s="1"/>
    </row>
    <row r="14970" spans="1:1">
      <c r="A14970" s="1"/>
    </row>
    <row r="14971" spans="1:1">
      <c r="A14971" s="1"/>
    </row>
    <row r="14972" spans="1:1">
      <c r="A14972" s="1"/>
    </row>
    <row r="14973" spans="1:1">
      <c r="A14973" s="1"/>
    </row>
    <row r="14974" spans="1:1">
      <c r="A14974" s="1"/>
    </row>
    <row r="14975" spans="1:1">
      <c r="A14975" s="1"/>
    </row>
    <row r="14976" spans="1:1">
      <c r="A14976" s="1"/>
    </row>
    <row r="14977" spans="1:1">
      <c r="A14977" s="1"/>
    </row>
    <row r="14978" spans="1:1">
      <c r="A14978" s="1"/>
    </row>
    <row r="14979" spans="1:1">
      <c r="A14979" s="1"/>
    </row>
    <row r="14980" spans="1:1">
      <c r="A14980" s="1"/>
    </row>
    <row r="14981" spans="1:1">
      <c r="A14981" s="1"/>
    </row>
    <row r="14982" spans="1:1">
      <c r="A14982" s="1"/>
    </row>
    <row r="14983" spans="1:1">
      <c r="A14983" s="1"/>
    </row>
    <row r="14984" spans="1:1">
      <c r="A14984" s="1"/>
    </row>
    <row r="14985" spans="1:1">
      <c r="A14985" s="1"/>
    </row>
    <row r="14986" spans="1:1">
      <c r="A14986" s="1"/>
    </row>
    <row r="14987" spans="1:1">
      <c r="A14987" s="1"/>
    </row>
    <row r="14988" spans="1:1">
      <c r="A14988" s="1"/>
    </row>
    <row r="14989" spans="1:1">
      <c r="A14989" s="1"/>
    </row>
    <row r="14990" spans="1:1">
      <c r="A14990" s="1"/>
    </row>
    <row r="14991" spans="1:1">
      <c r="A14991" s="1"/>
    </row>
    <row r="14992" spans="1:1">
      <c r="A14992" s="1"/>
    </row>
    <row r="14993" spans="1:1">
      <c r="A14993" s="1"/>
    </row>
    <row r="14994" spans="1:1">
      <c r="A14994" s="1"/>
    </row>
    <row r="14995" spans="1:1">
      <c r="A14995" s="1"/>
    </row>
    <row r="14996" spans="1:1">
      <c r="A14996" s="1"/>
    </row>
    <row r="14997" spans="1:1">
      <c r="A14997" s="1"/>
    </row>
    <row r="14998" spans="1:1">
      <c r="A14998" s="1"/>
    </row>
    <row r="14999" spans="1:1">
      <c r="A14999" s="1"/>
    </row>
    <row r="15000" spans="1:1">
      <c r="A15000" s="1"/>
    </row>
    <row r="15001" spans="1:1">
      <c r="A15001" s="1"/>
    </row>
    <row r="15002" spans="1:1">
      <c r="A15002" s="1"/>
    </row>
    <row r="15003" spans="1:1">
      <c r="A15003" s="1"/>
    </row>
    <row r="15004" spans="1:1">
      <c r="A15004" s="1"/>
    </row>
    <row r="15005" spans="1:1">
      <c r="A15005" s="1"/>
    </row>
    <row r="15006" spans="1:1">
      <c r="A15006" s="1"/>
    </row>
    <row r="15007" spans="1:1">
      <c r="A15007" s="1"/>
    </row>
    <row r="15008" spans="1:1">
      <c r="A15008" s="1"/>
    </row>
    <row r="15009" spans="1:1">
      <c r="A15009" s="1"/>
    </row>
    <row r="15010" spans="1:1">
      <c r="A15010" s="1"/>
    </row>
    <row r="15011" spans="1:1">
      <c r="A15011" s="1"/>
    </row>
    <row r="15012" spans="1:1">
      <c r="A15012" s="1"/>
    </row>
    <row r="15013" spans="1:1">
      <c r="A15013" s="1"/>
    </row>
    <row r="15014" spans="1:1">
      <c r="A15014" s="1"/>
    </row>
    <row r="15015" spans="1:1">
      <c r="A15015" s="1"/>
    </row>
    <row r="15016" spans="1:1">
      <c r="A15016" s="1"/>
    </row>
    <row r="15017" spans="1:1">
      <c r="A15017" s="1"/>
    </row>
    <row r="15018" spans="1:1">
      <c r="A15018" s="1"/>
    </row>
    <row r="15019" spans="1:1">
      <c r="A15019" s="1"/>
    </row>
    <row r="15020" spans="1:1">
      <c r="A15020" s="1"/>
    </row>
    <row r="15021" spans="1:1">
      <c r="A15021" s="1"/>
    </row>
    <row r="15022" spans="1:1">
      <c r="A15022" s="1"/>
    </row>
    <row r="15023" spans="1:1">
      <c r="A15023" s="1"/>
    </row>
    <row r="15024" spans="1:1">
      <c r="A15024" s="1"/>
    </row>
    <row r="15025" spans="1:1">
      <c r="A15025" s="1"/>
    </row>
    <row r="15026" spans="1:1">
      <c r="A15026" s="1"/>
    </row>
    <row r="15027" spans="1:1">
      <c r="A15027" s="1"/>
    </row>
    <row r="15028" spans="1:1">
      <c r="A15028" s="1"/>
    </row>
    <row r="15029" spans="1:1">
      <c r="A15029" s="1"/>
    </row>
    <row r="15030" spans="1:1">
      <c r="A15030" s="1"/>
    </row>
    <row r="15031" spans="1:1">
      <c r="A15031" s="1"/>
    </row>
    <row r="15032" spans="1:1">
      <c r="A15032" s="1"/>
    </row>
    <row r="15033" spans="1:1">
      <c r="A15033" s="1"/>
    </row>
    <row r="15034" spans="1:1">
      <c r="A15034" s="1"/>
    </row>
    <row r="15035" spans="1:1">
      <c r="A15035" s="1"/>
    </row>
    <row r="15036" spans="1:1">
      <c r="A15036" s="1"/>
    </row>
    <row r="15037" spans="1:1">
      <c r="A15037" s="1"/>
    </row>
    <row r="15038" spans="1:1">
      <c r="A15038" s="1"/>
    </row>
    <row r="15039" spans="1:1">
      <c r="A15039" s="1"/>
    </row>
    <row r="15040" spans="1:1">
      <c r="A15040" s="1"/>
    </row>
    <row r="15041" spans="1:1">
      <c r="A15041" s="1"/>
    </row>
    <row r="15042" spans="1:1">
      <c r="A15042" s="1"/>
    </row>
    <row r="15043" spans="1:1">
      <c r="A15043" s="1"/>
    </row>
    <row r="15044" spans="1:1">
      <c r="A15044" s="1"/>
    </row>
    <row r="15045" spans="1:1">
      <c r="A15045" s="1"/>
    </row>
    <row r="15046" spans="1:1">
      <c r="A15046" s="1"/>
    </row>
    <row r="15047" spans="1:1">
      <c r="A15047" s="1"/>
    </row>
    <row r="15048" spans="1:1">
      <c r="A15048" s="1"/>
    </row>
    <row r="15049" spans="1:1">
      <c r="A15049" s="1"/>
    </row>
    <row r="15050" spans="1:1">
      <c r="A15050" s="1"/>
    </row>
    <row r="15051" spans="1:1">
      <c r="A15051" s="1"/>
    </row>
    <row r="15052" spans="1:1">
      <c r="A15052" s="1"/>
    </row>
    <row r="15053" spans="1:1">
      <c r="A15053" s="1"/>
    </row>
    <row r="15054" spans="1:1">
      <c r="A15054" s="1"/>
    </row>
    <row r="15055" spans="1:1">
      <c r="A15055" s="1"/>
    </row>
    <row r="15056" spans="1:1">
      <c r="A15056" s="1"/>
    </row>
    <row r="15057" spans="1:1">
      <c r="A15057" s="1"/>
    </row>
    <row r="15058" spans="1:1">
      <c r="A15058" s="1"/>
    </row>
    <row r="15059" spans="1:1">
      <c r="A15059" s="1"/>
    </row>
    <row r="15060" spans="1:1">
      <c r="A15060" s="1"/>
    </row>
    <row r="15061" spans="1:1">
      <c r="A15061" s="1"/>
    </row>
    <row r="15062" spans="1:1">
      <c r="A15062" s="1"/>
    </row>
    <row r="15063" spans="1:1">
      <c r="A15063" s="1"/>
    </row>
    <row r="15064" spans="1:1">
      <c r="A15064" s="1"/>
    </row>
    <row r="15065" spans="1:1">
      <c r="A15065" s="1"/>
    </row>
    <row r="15066" spans="1:1">
      <c r="A15066" s="1"/>
    </row>
    <row r="15067" spans="1:1">
      <c r="A15067" s="1"/>
    </row>
    <row r="15068" spans="1:1">
      <c r="A15068" s="1"/>
    </row>
    <row r="15069" spans="1:1">
      <c r="A15069" s="1"/>
    </row>
    <row r="15070" spans="1:1">
      <c r="A15070" s="1"/>
    </row>
    <row r="15071" spans="1:1">
      <c r="A15071" s="1"/>
    </row>
    <row r="15072" spans="1:1">
      <c r="A15072" s="1"/>
    </row>
    <row r="15073" spans="1:1">
      <c r="A15073" s="1"/>
    </row>
    <row r="15074" spans="1:1">
      <c r="A15074" s="1"/>
    </row>
    <row r="15075" spans="1:1">
      <c r="A15075" s="1"/>
    </row>
    <row r="15076" spans="1:1">
      <c r="A15076" s="1"/>
    </row>
    <row r="15077" spans="1:1">
      <c r="A15077" s="1"/>
    </row>
    <row r="15078" spans="1:1">
      <c r="A15078" s="1"/>
    </row>
    <row r="15079" spans="1:1">
      <c r="A15079" s="1"/>
    </row>
    <row r="15080" spans="1:1">
      <c r="A15080" s="1"/>
    </row>
    <row r="15081" spans="1:1">
      <c r="A15081" s="1"/>
    </row>
    <row r="15082" spans="1:1">
      <c r="A15082" s="1"/>
    </row>
    <row r="15083" spans="1:1">
      <c r="A15083" s="1"/>
    </row>
    <row r="15084" spans="1:1">
      <c r="A15084" s="1"/>
    </row>
    <row r="15085" spans="1:1">
      <c r="A15085" s="1"/>
    </row>
    <row r="15086" spans="1:1">
      <c r="A15086" s="1"/>
    </row>
    <row r="15087" spans="1:1">
      <c r="A15087" s="1"/>
    </row>
    <row r="15088" spans="1:1">
      <c r="A15088" s="1"/>
    </row>
    <row r="15089" spans="1:1">
      <c r="A15089" s="1"/>
    </row>
    <row r="15090" spans="1:1">
      <c r="A15090" s="1"/>
    </row>
    <row r="15091" spans="1:1">
      <c r="A15091" s="1"/>
    </row>
    <row r="15092" spans="1:1">
      <c r="A15092" s="1"/>
    </row>
    <row r="15093" spans="1:1">
      <c r="A15093" s="1"/>
    </row>
    <row r="15094" spans="1:1">
      <c r="A15094" s="1"/>
    </row>
    <row r="15095" spans="1:1">
      <c r="A15095" s="1"/>
    </row>
    <row r="15096" spans="1:1">
      <c r="A15096" s="1"/>
    </row>
    <row r="15097" spans="1:1">
      <c r="A15097" s="1"/>
    </row>
    <row r="15098" spans="1:1">
      <c r="A15098" s="1"/>
    </row>
    <row r="15099" spans="1:1">
      <c r="A15099" s="1"/>
    </row>
    <row r="15100" spans="1:1">
      <c r="A15100" s="1"/>
    </row>
    <row r="15101" spans="1:1">
      <c r="A15101" s="1"/>
    </row>
    <row r="15102" spans="1:1">
      <c r="A15102" s="1"/>
    </row>
    <row r="15103" spans="1:1">
      <c r="A15103" s="1"/>
    </row>
    <row r="15104" spans="1:1">
      <c r="A15104" s="1"/>
    </row>
    <row r="15105" spans="1:1">
      <c r="A15105" s="1"/>
    </row>
    <row r="15106" spans="1:1">
      <c r="A15106" s="1"/>
    </row>
    <row r="15107" spans="1:1">
      <c r="A15107" s="1"/>
    </row>
    <row r="15108" spans="1:1">
      <c r="A15108" s="1"/>
    </row>
    <row r="15109" spans="1:1">
      <c r="A15109" s="1"/>
    </row>
    <row r="15110" spans="1:1">
      <c r="A15110" s="1"/>
    </row>
    <row r="15111" spans="1:1">
      <c r="A15111" s="1"/>
    </row>
    <row r="15112" spans="1:1">
      <c r="A15112" s="1"/>
    </row>
    <row r="15113" spans="1:1">
      <c r="A15113" s="1"/>
    </row>
    <row r="15114" spans="1:1">
      <c r="A15114" s="1"/>
    </row>
    <row r="15115" spans="1:1">
      <c r="A15115" s="1"/>
    </row>
    <row r="15116" spans="1:1">
      <c r="A15116" s="1"/>
    </row>
    <row r="15117" spans="1:1">
      <c r="A15117" s="1"/>
    </row>
    <row r="15118" spans="1:1">
      <c r="A15118" s="1"/>
    </row>
    <row r="15119" spans="1:1">
      <c r="A15119" s="1"/>
    </row>
    <row r="15120" spans="1:1">
      <c r="A15120" s="1"/>
    </row>
    <row r="15121" spans="1:1">
      <c r="A15121" s="1"/>
    </row>
    <row r="15122" spans="1:1">
      <c r="A15122" s="1"/>
    </row>
    <row r="15123" spans="1:1">
      <c r="A15123" s="1"/>
    </row>
    <row r="15124" spans="1:1">
      <c r="A15124" s="1"/>
    </row>
    <row r="15125" spans="1:1">
      <c r="A15125" s="1"/>
    </row>
    <row r="15126" spans="1:1">
      <c r="A15126" s="1"/>
    </row>
    <row r="15127" spans="1:1">
      <c r="A15127" s="1"/>
    </row>
    <row r="15128" spans="1:1">
      <c r="A15128" s="1"/>
    </row>
    <row r="15129" spans="1:1">
      <c r="A15129" s="1"/>
    </row>
    <row r="15130" spans="1:1">
      <c r="A15130" s="1"/>
    </row>
    <row r="15131" spans="1:1">
      <c r="A15131" s="1"/>
    </row>
    <row r="15132" spans="1:1">
      <c r="A15132" s="1"/>
    </row>
    <row r="15133" spans="1:1">
      <c r="A15133" s="1"/>
    </row>
    <row r="15134" spans="1:1">
      <c r="A15134" s="1"/>
    </row>
    <row r="15135" spans="1:1">
      <c r="A15135" s="1"/>
    </row>
    <row r="15136" spans="1:1">
      <c r="A15136" s="1"/>
    </row>
    <row r="15137" spans="1:1">
      <c r="A15137" s="1"/>
    </row>
    <row r="15138" spans="1:1">
      <c r="A15138" s="1"/>
    </row>
    <row r="15139" spans="1:1">
      <c r="A15139" s="1"/>
    </row>
    <row r="15140" spans="1:1">
      <c r="A15140" s="1"/>
    </row>
    <row r="15141" spans="1:1">
      <c r="A15141" s="1"/>
    </row>
    <row r="15142" spans="1:1">
      <c r="A15142" s="1"/>
    </row>
    <row r="15143" spans="1:1">
      <c r="A15143" s="1"/>
    </row>
    <row r="15144" spans="1:1">
      <c r="A15144" s="1"/>
    </row>
    <row r="15145" spans="1:1">
      <c r="A15145" s="1"/>
    </row>
    <row r="15146" spans="1:1">
      <c r="A15146" s="1"/>
    </row>
    <row r="15147" spans="1:1">
      <c r="A15147" s="1"/>
    </row>
    <row r="15148" spans="1:1">
      <c r="A15148" s="1"/>
    </row>
    <row r="15149" spans="1:1">
      <c r="A15149" s="1"/>
    </row>
    <row r="15150" spans="1:1">
      <c r="A15150" s="1"/>
    </row>
    <row r="15151" spans="1:1">
      <c r="A15151" s="1"/>
    </row>
    <row r="15152" spans="1:1">
      <c r="A15152" s="1"/>
    </row>
    <row r="15153" spans="1:1">
      <c r="A15153" s="1"/>
    </row>
    <row r="15154" spans="1:1">
      <c r="A15154" s="1"/>
    </row>
    <row r="15155" spans="1:1">
      <c r="A15155" s="1"/>
    </row>
    <row r="15156" spans="1:1">
      <c r="A15156" s="1"/>
    </row>
    <row r="15157" spans="1:1">
      <c r="A15157" s="1"/>
    </row>
    <row r="15158" spans="1:1">
      <c r="A15158" s="1"/>
    </row>
    <row r="15159" spans="1:1">
      <c r="A15159" s="1"/>
    </row>
    <row r="15160" spans="1:1">
      <c r="A15160" s="1"/>
    </row>
    <row r="15161" spans="1:1">
      <c r="A15161" s="1"/>
    </row>
    <row r="15162" spans="1:1">
      <c r="A15162" s="1"/>
    </row>
    <row r="15163" spans="1:1">
      <c r="A15163" s="1"/>
    </row>
    <row r="15164" spans="1:1">
      <c r="A15164" s="1"/>
    </row>
    <row r="15165" spans="1:1">
      <c r="A15165" s="1"/>
    </row>
    <row r="15166" spans="1:1">
      <c r="A15166" s="1"/>
    </row>
    <row r="15167" spans="1:1">
      <c r="A15167" s="1"/>
    </row>
    <row r="15168" spans="1:1">
      <c r="A15168" s="1"/>
    </row>
    <row r="15169" spans="1:1">
      <c r="A15169" s="1"/>
    </row>
    <row r="15170" spans="1:1">
      <c r="A15170" s="1"/>
    </row>
    <row r="15171" spans="1:1">
      <c r="A15171" s="1"/>
    </row>
    <row r="15172" spans="1:1">
      <c r="A15172" s="1"/>
    </row>
    <row r="15173" spans="1:1">
      <c r="A15173" s="1"/>
    </row>
    <row r="15174" spans="1:1">
      <c r="A15174" s="1"/>
    </row>
    <row r="15175" spans="1:1">
      <c r="A15175" s="1"/>
    </row>
    <row r="15176" spans="1:1">
      <c r="A15176" s="1"/>
    </row>
    <row r="15177" spans="1:1">
      <c r="A15177" s="1"/>
    </row>
    <row r="15178" spans="1:1">
      <c r="A15178" s="1"/>
    </row>
    <row r="15179" spans="1:1">
      <c r="A15179" s="1"/>
    </row>
    <row r="15180" spans="1:1">
      <c r="A15180" s="1"/>
    </row>
    <row r="15181" spans="1:1">
      <c r="A15181" s="1"/>
    </row>
    <row r="15182" spans="1:1">
      <c r="A15182" s="1"/>
    </row>
    <row r="15183" spans="1:1">
      <c r="A15183" s="1"/>
    </row>
    <row r="15184" spans="1:1">
      <c r="A15184" s="1"/>
    </row>
    <row r="15185" spans="1:1">
      <c r="A15185" s="1"/>
    </row>
    <row r="15186" spans="1:1">
      <c r="A15186" s="1"/>
    </row>
    <row r="15187" spans="1:1">
      <c r="A15187" s="1"/>
    </row>
    <row r="15188" spans="1:1">
      <c r="A15188" s="1"/>
    </row>
    <row r="15189" spans="1:1">
      <c r="A15189" s="1"/>
    </row>
    <row r="15190" spans="1:1">
      <c r="A15190" s="1"/>
    </row>
    <row r="15191" spans="1:1">
      <c r="A15191" s="1"/>
    </row>
    <row r="15192" spans="1:1">
      <c r="A15192" s="1"/>
    </row>
    <row r="15193" spans="1:1">
      <c r="A15193" s="1"/>
    </row>
    <row r="15194" spans="1:1">
      <c r="A15194" s="1"/>
    </row>
    <row r="15195" spans="1:1">
      <c r="A15195" s="1"/>
    </row>
    <row r="15196" spans="1:1">
      <c r="A15196" s="1"/>
    </row>
    <row r="15197" spans="1:1">
      <c r="A15197" s="1"/>
    </row>
    <row r="15198" spans="1:1">
      <c r="A15198" s="1"/>
    </row>
    <row r="15199" spans="1:1">
      <c r="A15199" s="1"/>
    </row>
    <row r="15200" spans="1:1">
      <c r="A15200" s="1"/>
    </row>
    <row r="15201" spans="1:1">
      <c r="A15201" s="1"/>
    </row>
    <row r="15202" spans="1:1">
      <c r="A15202" s="1"/>
    </row>
    <row r="15203" spans="1:1">
      <c r="A15203" s="1"/>
    </row>
    <row r="15204" spans="1:1">
      <c r="A15204" s="1"/>
    </row>
    <row r="15205" spans="1:1">
      <c r="A15205" s="1"/>
    </row>
    <row r="15206" spans="1:1">
      <c r="A15206" s="1"/>
    </row>
    <row r="15207" spans="1:1">
      <c r="A15207" s="1"/>
    </row>
    <row r="15208" spans="1:1">
      <c r="A15208" s="1"/>
    </row>
    <row r="15209" spans="1:1">
      <c r="A15209" s="1"/>
    </row>
    <row r="15210" spans="1:1">
      <c r="A15210" s="1"/>
    </row>
    <row r="15211" spans="1:1">
      <c r="A15211" s="1"/>
    </row>
    <row r="15212" spans="1:1">
      <c r="A15212" s="1"/>
    </row>
    <row r="15213" spans="1:1">
      <c r="A15213" s="1"/>
    </row>
    <row r="15214" spans="1:1">
      <c r="A15214" s="1"/>
    </row>
    <row r="15215" spans="1:1">
      <c r="A15215" s="1"/>
    </row>
    <row r="15216" spans="1:1">
      <c r="A15216" s="1"/>
    </row>
    <row r="15217" spans="1:1">
      <c r="A15217" s="1"/>
    </row>
    <row r="15218" spans="1:1">
      <c r="A15218" s="1"/>
    </row>
    <row r="15219" spans="1:1">
      <c r="A15219" s="1"/>
    </row>
    <row r="15220" spans="1:1">
      <c r="A15220" s="1"/>
    </row>
    <row r="15221" spans="1:1">
      <c r="A15221" s="1"/>
    </row>
    <row r="15222" spans="1:1">
      <c r="A15222" s="1"/>
    </row>
    <row r="15223" spans="1:1">
      <c r="A15223" s="1"/>
    </row>
    <row r="15224" spans="1:1">
      <c r="A15224" s="1"/>
    </row>
    <row r="15225" spans="1:1">
      <c r="A15225" s="1"/>
    </row>
    <row r="15226" spans="1:1">
      <c r="A15226" s="1"/>
    </row>
    <row r="15227" spans="1:1">
      <c r="A15227" s="1"/>
    </row>
    <row r="15228" spans="1:1">
      <c r="A15228" s="1"/>
    </row>
    <row r="15229" spans="1:1">
      <c r="A15229" s="1"/>
    </row>
    <row r="15230" spans="1:1">
      <c r="A15230" s="1"/>
    </row>
    <row r="15231" spans="1:1">
      <c r="A15231" s="1"/>
    </row>
    <row r="15232" spans="1:1">
      <c r="A15232" s="1"/>
    </row>
    <row r="15233" spans="1:1">
      <c r="A15233" s="1"/>
    </row>
    <row r="15234" spans="1:1">
      <c r="A15234" s="1"/>
    </row>
    <row r="15235" spans="1:1">
      <c r="A15235" s="1"/>
    </row>
    <row r="15236" spans="1:1">
      <c r="A15236" s="1"/>
    </row>
    <row r="15237" spans="1:1">
      <c r="A15237" s="1"/>
    </row>
    <row r="15238" spans="1:1">
      <c r="A15238" s="1"/>
    </row>
    <row r="15239" spans="1:1">
      <c r="A15239" s="1"/>
    </row>
    <row r="15240" spans="1:1">
      <c r="A15240" s="1"/>
    </row>
    <row r="15241" spans="1:1">
      <c r="A15241" s="1"/>
    </row>
    <row r="15242" spans="1:1">
      <c r="A15242" s="1"/>
    </row>
    <row r="15243" spans="1:1">
      <c r="A15243" s="1"/>
    </row>
    <row r="15244" spans="1:1">
      <c r="A15244" s="1"/>
    </row>
    <row r="15245" spans="1:1">
      <c r="A15245" s="1"/>
    </row>
    <row r="15246" spans="1:1">
      <c r="A15246" s="1"/>
    </row>
    <row r="15247" spans="1:1">
      <c r="A15247" s="1"/>
    </row>
    <row r="15248" spans="1:1">
      <c r="A15248" s="1"/>
    </row>
    <row r="15249" spans="1:1">
      <c r="A15249" s="1"/>
    </row>
    <row r="15250" spans="1:1">
      <c r="A15250" s="1"/>
    </row>
    <row r="15251" spans="1:1">
      <c r="A15251" s="1"/>
    </row>
    <row r="15252" spans="1:1">
      <c r="A15252" s="1"/>
    </row>
    <row r="15253" spans="1:1">
      <c r="A15253" s="1"/>
    </row>
    <row r="15254" spans="1:1">
      <c r="A15254" s="1"/>
    </row>
    <row r="15255" spans="1:1">
      <c r="A15255" s="1"/>
    </row>
    <row r="15256" spans="1:1">
      <c r="A15256" s="1"/>
    </row>
    <row r="15257" spans="1:1">
      <c r="A15257" s="1"/>
    </row>
    <row r="15258" spans="1:1">
      <c r="A15258" s="1"/>
    </row>
    <row r="15259" spans="1:1">
      <c r="A15259" s="1"/>
    </row>
    <row r="15260" spans="1:1">
      <c r="A15260" s="1"/>
    </row>
    <row r="15261" spans="1:1">
      <c r="A15261" s="1"/>
    </row>
    <row r="15262" spans="1:1">
      <c r="A15262" s="1"/>
    </row>
    <row r="15263" spans="1:1">
      <c r="A15263" s="1"/>
    </row>
    <row r="15264" spans="1:1">
      <c r="A15264" s="1"/>
    </row>
    <row r="15265" spans="1:1">
      <c r="A15265" s="1"/>
    </row>
    <row r="15266" spans="1:1">
      <c r="A15266" s="1"/>
    </row>
    <row r="15267" spans="1:1">
      <c r="A15267" s="1"/>
    </row>
    <row r="15268" spans="1:1">
      <c r="A15268" s="1"/>
    </row>
    <row r="15269" spans="1:1">
      <c r="A15269" s="1"/>
    </row>
    <row r="15270" spans="1:1">
      <c r="A15270" s="1"/>
    </row>
    <row r="15271" spans="1:1">
      <c r="A15271" s="1"/>
    </row>
    <row r="15272" spans="1:1">
      <c r="A15272" s="1"/>
    </row>
    <row r="15273" spans="1:1">
      <c r="A15273" s="1"/>
    </row>
    <row r="15274" spans="1:1">
      <c r="A15274" s="1"/>
    </row>
    <row r="15275" spans="1:1">
      <c r="A15275" s="1"/>
    </row>
    <row r="15276" spans="1:1">
      <c r="A15276" s="1"/>
    </row>
    <row r="15277" spans="1:1">
      <c r="A15277" s="1"/>
    </row>
    <row r="15278" spans="1:1">
      <c r="A15278" s="1"/>
    </row>
    <row r="15279" spans="1:1">
      <c r="A15279" s="1"/>
    </row>
    <row r="15280" spans="1:1">
      <c r="A15280" s="1"/>
    </row>
    <row r="15281" spans="1:1">
      <c r="A15281" s="1"/>
    </row>
    <row r="15282" spans="1:1">
      <c r="A15282" s="1"/>
    </row>
    <row r="15283" spans="1:1">
      <c r="A15283" s="1"/>
    </row>
    <row r="15284" spans="1:1">
      <c r="A15284" s="1"/>
    </row>
    <row r="15285" spans="1:1">
      <c r="A15285" s="1"/>
    </row>
    <row r="15286" spans="1:1">
      <c r="A15286" s="1"/>
    </row>
    <row r="15287" spans="1:1">
      <c r="A15287" s="1"/>
    </row>
    <row r="15288" spans="1:1">
      <c r="A15288" s="1"/>
    </row>
    <row r="15289" spans="1:1">
      <c r="A15289" s="1"/>
    </row>
    <row r="15290" spans="1:1">
      <c r="A15290" s="1"/>
    </row>
    <row r="15291" spans="1:1">
      <c r="A15291" s="1"/>
    </row>
    <row r="15292" spans="1:1">
      <c r="A15292" s="1"/>
    </row>
    <row r="15293" spans="1:1">
      <c r="A15293" s="1"/>
    </row>
    <row r="15294" spans="1:1">
      <c r="A15294" s="1"/>
    </row>
    <row r="15295" spans="1:1">
      <c r="A15295" s="1"/>
    </row>
    <row r="15296" spans="1:1">
      <c r="A15296" s="1"/>
    </row>
    <row r="15297" spans="1:1">
      <c r="A15297" s="1"/>
    </row>
    <row r="15298" spans="1:1">
      <c r="A15298" s="1"/>
    </row>
    <row r="15299" spans="1:1">
      <c r="A15299" s="1"/>
    </row>
    <row r="15300" spans="1:1">
      <c r="A15300" s="1"/>
    </row>
    <row r="15301" spans="1:1">
      <c r="A15301" s="1"/>
    </row>
    <row r="15302" spans="1:1">
      <c r="A15302" s="1"/>
    </row>
    <row r="15303" spans="1:1">
      <c r="A15303" s="1"/>
    </row>
    <row r="15304" spans="1:1">
      <c r="A15304" s="1"/>
    </row>
    <row r="15305" spans="1:1">
      <c r="A15305" s="1"/>
    </row>
    <row r="15306" spans="1:1">
      <c r="A15306" s="1"/>
    </row>
    <row r="15307" spans="1:1">
      <c r="A15307" s="1"/>
    </row>
    <row r="15308" spans="1:1">
      <c r="A15308" s="1"/>
    </row>
    <row r="15309" spans="1:1">
      <c r="A15309" s="1"/>
    </row>
    <row r="15310" spans="1:1">
      <c r="A15310" s="1"/>
    </row>
    <row r="15311" spans="1:1">
      <c r="A15311" s="1"/>
    </row>
    <row r="15312" spans="1:1">
      <c r="A15312" s="1"/>
    </row>
    <row r="15313" spans="1:1">
      <c r="A15313" s="1"/>
    </row>
    <row r="15314" spans="1:1">
      <c r="A15314" s="1"/>
    </row>
    <row r="15315" spans="1:1">
      <c r="A15315" s="1"/>
    </row>
    <row r="15316" spans="1:1">
      <c r="A15316" s="1"/>
    </row>
    <row r="15317" spans="1:1">
      <c r="A15317" s="1"/>
    </row>
    <row r="15318" spans="1:1">
      <c r="A15318" s="1"/>
    </row>
    <row r="15319" spans="1:1">
      <c r="A15319" s="1"/>
    </row>
    <row r="15320" spans="1:1">
      <c r="A15320" s="1"/>
    </row>
    <row r="15321" spans="1:1">
      <c r="A15321" s="1"/>
    </row>
    <row r="15322" spans="1:1">
      <c r="A15322" s="1"/>
    </row>
    <row r="15323" spans="1:1">
      <c r="A15323" s="1"/>
    </row>
    <row r="15324" spans="1:1">
      <c r="A15324" s="1"/>
    </row>
    <row r="15325" spans="1:1">
      <c r="A15325" s="1"/>
    </row>
    <row r="15326" spans="1:1">
      <c r="A15326" s="1"/>
    </row>
    <row r="15327" spans="1:1">
      <c r="A15327" s="1"/>
    </row>
    <row r="15328" spans="1:1">
      <c r="A15328" s="1"/>
    </row>
    <row r="15329" spans="1:1">
      <c r="A15329" s="1"/>
    </row>
    <row r="15330" spans="1:1">
      <c r="A15330" s="1"/>
    </row>
    <row r="15331" spans="1:1">
      <c r="A15331" s="1"/>
    </row>
    <row r="15332" spans="1:1">
      <c r="A15332" s="1"/>
    </row>
    <row r="15333" spans="1:1">
      <c r="A15333" s="1"/>
    </row>
    <row r="15334" spans="1:1">
      <c r="A15334" s="1"/>
    </row>
    <row r="15335" spans="1:1">
      <c r="A15335" s="1"/>
    </row>
    <row r="15336" spans="1:1">
      <c r="A15336" s="1"/>
    </row>
    <row r="15337" spans="1:1">
      <c r="A15337" s="1"/>
    </row>
    <row r="15338" spans="1:1">
      <c r="A15338" s="1"/>
    </row>
    <row r="15339" spans="1:1">
      <c r="A15339" s="1"/>
    </row>
    <row r="15340" spans="1:1">
      <c r="A15340" s="1"/>
    </row>
    <row r="15341" spans="1:1">
      <c r="A15341" s="1"/>
    </row>
    <row r="15342" spans="1:1">
      <c r="A15342" s="1"/>
    </row>
    <row r="15343" spans="1:1">
      <c r="A15343" s="1"/>
    </row>
    <row r="15344" spans="1:1">
      <c r="A15344" s="1"/>
    </row>
    <row r="15345" spans="1:1">
      <c r="A15345" s="1"/>
    </row>
    <row r="15346" spans="1:1">
      <c r="A15346" s="1"/>
    </row>
    <row r="15347" spans="1:1">
      <c r="A15347" s="1"/>
    </row>
    <row r="15348" spans="1:1">
      <c r="A15348" s="1"/>
    </row>
    <row r="15349" spans="1:1">
      <c r="A15349" s="1"/>
    </row>
    <row r="15350" spans="1:1">
      <c r="A15350" s="1"/>
    </row>
    <row r="15351" spans="1:1">
      <c r="A15351" s="1"/>
    </row>
    <row r="15352" spans="1:1">
      <c r="A15352" s="1"/>
    </row>
    <row r="15353" spans="1:1">
      <c r="A15353" s="1"/>
    </row>
    <row r="15354" spans="1:1">
      <c r="A15354" s="1"/>
    </row>
    <row r="15355" spans="1:1">
      <c r="A15355" s="1"/>
    </row>
    <row r="15356" spans="1:1">
      <c r="A15356" s="1"/>
    </row>
    <row r="15357" spans="1:1">
      <c r="A15357" s="1"/>
    </row>
    <row r="15358" spans="1:1">
      <c r="A15358" s="1"/>
    </row>
    <row r="15359" spans="1:1">
      <c r="A15359" s="1"/>
    </row>
    <row r="15360" spans="1:1">
      <c r="A15360" s="1"/>
    </row>
    <row r="15361" spans="1:1">
      <c r="A15361" s="1"/>
    </row>
    <row r="15362" spans="1:1">
      <c r="A15362" s="1"/>
    </row>
    <row r="15363" spans="1:1">
      <c r="A15363" s="1"/>
    </row>
    <row r="15364" spans="1:1">
      <c r="A15364" s="1"/>
    </row>
    <row r="15365" spans="1:1">
      <c r="A15365" s="1"/>
    </row>
    <row r="15366" spans="1:1">
      <c r="A15366" s="1"/>
    </row>
    <row r="15367" spans="1:1">
      <c r="A15367" s="1"/>
    </row>
    <row r="15368" spans="1:1">
      <c r="A15368" s="1"/>
    </row>
    <row r="15369" spans="1:1">
      <c r="A15369" s="1"/>
    </row>
    <row r="15370" spans="1:1">
      <c r="A15370" s="1"/>
    </row>
    <row r="15371" spans="1:1">
      <c r="A15371" s="1"/>
    </row>
    <row r="15372" spans="1:1">
      <c r="A15372" s="1"/>
    </row>
    <row r="15373" spans="1:1">
      <c r="A15373" s="1"/>
    </row>
    <row r="15374" spans="1:1">
      <c r="A15374" s="1"/>
    </row>
    <row r="15375" spans="1:1">
      <c r="A15375" s="1"/>
    </row>
    <row r="15376" spans="1:1">
      <c r="A15376" s="1"/>
    </row>
    <row r="15377" spans="1:1">
      <c r="A15377" s="1"/>
    </row>
    <row r="15378" spans="1:1">
      <c r="A15378" s="1"/>
    </row>
    <row r="15379" spans="1:1">
      <c r="A15379" s="1"/>
    </row>
    <row r="15380" spans="1:1">
      <c r="A15380" s="1"/>
    </row>
    <row r="15381" spans="1:1">
      <c r="A15381" s="1"/>
    </row>
    <row r="15382" spans="1:1">
      <c r="A15382" s="1"/>
    </row>
    <row r="15383" spans="1:1">
      <c r="A15383" s="1"/>
    </row>
    <row r="15384" spans="1:1">
      <c r="A15384" s="1"/>
    </row>
    <row r="15385" spans="1:1">
      <c r="A15385" s="1"/>
    </row>
    <row r="15386" spans="1:1">
      <c r="A15386" s="1"/>
    </row>
    <row r="15387" spans="1:1">
      <c r="A15387" s="1"/>
    </row>
    <row r="15388" spans="1:1">
      <c r="A15388" s="1"/>
    </row>
    <row r="15389" spans="1:1">
      <c r="A15389" s="1"/>
    </row>
    <row r="15390" spans="1:1">
      <c r="A15390" s="1"/>
    </row>
    <row r="15391" spans="1:1">
      <c r="A15391" s="1"/>
    </row>
    <row r="15392" spans="1:1">
      <c r="A15392" s="1"/>
    </row>
    <row r="15393" spans="1:1">
      <c r="A15393" s="1"/>
    </row>
    <row r="15394" spans="1:1">
      <c r="A15394" s="1"/>
    </row>
    <row r="15395" spans="1:1">
      <c r="A15395" s="1"/>
    </row>
    <row r="15396" spans="1:1">
      <c r="A15396" s="1"/>
    </row>
    <row r="15397" spans="1:1">
      <c r="A15397" s="1"/>
    </row>
    <row r="15398" spans="1:1">
      <c r="A15398" s="1"/>
    </row>
    <row r="15399" spans="1:1">
      <c r="A15399" s="1"/>
    </row>
    <row r="15400" spans="1:1">
      <c r="A15400" s="1"/>
    </row>
    <row r="15401" spans="1:1">
      <c r="A15401" s="1"/>
    </row>
    <row r="15402" spans="1:1">
      <c r="A15402" s="1"/>
    </row>
    <row r="15403" spans="1:1">
      <c r="A15403" s="1"/>
    </row>
    <row r="15404" spans="1:1">
      <c r="A15404" s="1"/>
    </row>
    <row r="15405" spans="1:1">
      <c r="A15405" s="1"/>
    </row>
    <row r="15406" spans="1:1">
      <c r="A15406" s="1"/>
    </row>
    <row r="15407" spans="1:1">
      <c r="A15407" s="1"/>
    </row>
    <row r="15408" spans="1:1">
      <c r="A15408" s="1"/>
    </row>
    <row r="15409" spans="1:1">
      <c r="A15409" s="1"/>
    </row>
    <row r="15410" spans="1:1">
      <c r="A15410" s="1"/>
    </row>
    <row r="15411" spans="1:1">
      <c r="A15411" s="1"/>
    </row>
    <row r="15412" spans="1:1">
      <c r="A15412" s="1"/>
    </row>
    <row r="15413" spans="1:1">
      <c r="A15413" s="1"/>
    </row>
    <row r="15414" spans="1:1">
      <c r="A15414" s="1"/>
    </row>
    <row r="15415" spans="1:1">
      <c r="A15415" s="1"/>
    </row>
    <row r="15416" spans="1:1">
      <c r="A15416" s="1"/>
    </row>
    <row r="15417" spans="1:1">
      <c r="A15417" s="1"/>
    </row>
    <row r="15418" spans="1:1">
      <c r="A15418" s="1"/>
    </row>
    <row r="15419" spans="1:1">
      <c r="A15419" s="1"/>
    </row>
    <row r="15420" spans="1:1">
      <c r="A15420" s="1"/>
    </row>
    <row r="15421" spans="1:1">
      <c r="A15421" s="1"/>
    </row>
    <row r="15422" spans="1:1">
      <c r="A15422" s="1"/>
    </row>
    <row r="15423" spans="1:1">
      <c r="A15423" s="1"/>
    </row>
    <row r="15424" spans="1:1">
      <c r="A15424" s="1"/>
    </row>
    <row r="15425" spans="1:1">
      <c r="A15425" s="1"/>
    </row>
    <row r="15426" spans="1:1">
      <c r="A15426" s="1"/>
    </row>
    <row r="15427" spans="1:1">
      <c r="A15427" s="1"/>
    </row>
    <row r="15428" spans="1:1">
      <c r="A15428" s="1"/>
    </row>
    <row r="15429" spans="1:1">
      <c r="A15429" s="1"/>
    </row>
    <row r="15430" spans="1:1">
      <c r="A15430" s="1"/>
    </row>
    <row r="15431" spans="1:1">
      <c r="A15431" s="1"/>
    </row>
    <row r="15432" spans="1:1">
      <c r="A15432" s="1"/>
    </row>
    <row r="15433" spans="1:1">
      <c r="A15433" s="1"/>
    </row>
    <row r="15434" spans="1:1">
      <c r="A15434" s="1"/>
    </row>
    <row r="15435" spans="1:1">
      <c r="A15435" s="1"/>
    </row>
    <row r="15436" spans="1:1">
      <c r="A15436" s="1"/>
    </row>
    <row r="15437" spans="1:1">
      <c r="A15437" s="1"/>
    </row>
    <row r="15438" spans="1:1">
      <c r="A15438" s="1"/>
    </row>
    <row r="15439" spans="1:1">
      <c r="A15439" s="1"/>
    </row>
    <row r="15440" spans="1:1">
      <c r="A15440" s="1"/>
    </row>
    <row r="15441" spans="1:1">
      <c r="A15441" s="1"/>
    </row>
    <row r="15442" spans="1:1">
      <c r="A15442" s="1"/>
    </row>
    <row r="15443" spans="1:1">
      <c r="A15443" s="1"/>
    </row>
    <row r="15444" spans="1:1">
      <c r="A15444" s="1"/>
    </row>
    <row r="15445" spans="1:1">
      <c r="A15445" s="1"/>
    </row>
    <row r="15446" spans="1:1">
      <c r="A15446" s="1"/>
    </row>
    <row r="15447" spans="1:1">
      <c r="A15447" s="1"/>
    </row>
    <row r="15448" spans="1:1">
      <c r="A15448" s="1"/>
    </row>
    <row r="15449" spans="1:1">
      <c r="A15449" s="1"/>
    </row>
    <row r="15450" spans="1:1">
      <c r="A15450" s="1"/>
    </row>
    <row r="15451" spans="1:1">
      <c r="A15451" s="1"/>
    </row>
    <row r="15452" spans="1:1">
      <c r="A15452" s="1"/>
    </row>
    <row r="15453" spans="1:1">
      <c r="A15453" s="1"/>
    </row>
    <row r="15454" spans="1:1">
      <c r="A15454" s="1"/>
    </row>
    <row r="15455" spans="1:1">
      <c r="A15455" s="1"/>
    </row>
    <row r="15456" spans="1:1">
      <c r="A15456" s="1"/>
    </row>
    <row r="15457" spans="1:1">
      <c r="A15457" s="1"/>
    </row>
    <row r="15458" spans="1:1">
      <c r="A15458" s="1"/>
    </row>
    <row r="15459" spans="1:1">
      <c r="A15459" s="1"/>
    </row>
    <row r="15460" spans="1:1">
      <c r="A15460" s="1"/>
    </row>
    <row r="15461" spans="1:1">
      <c r="A15461" s="1"/>
    </row>
    <row r="15462" spans="1:1">
      <c r="A15462" s="1"/>
    </row>
    <row r="15463" spans="1:1">
      <c r="A15463" s="1"/>
    </row>
    <row r="15464" spans="1:1">
      <c r="A15464" s="1"/>
    </row>
    <row r="15465" spans="1:1">
      <c r="A15465" s="1"/>
    </row>
    <row r="15466" spans="1:1">
      <c r="A15466" s="1"/>
    </row>
    <row r="15467" spans="1:1">
      <c r="A15467" s="1"/>
    </row>
    <row r="15468" spans="1:1">
      <c r="A15468" s="1"/>
    </row>
    <row r="15469" spans="1:1">
      <c r="A15469" s="1"/>
    </row>
    <row r="15470" spans="1:1">
      <c r="A15470" s="1"/>
    </row>
    <row r="15471" spans="1:1">
      <c r="A15471" s="1"/>
    </row>
    <row r="15472" spans="1:1">
      <c r="A15472" s="1"/>
    </row>
    <row r="15473" spans="1:1">
      <c r="A15473" s="1"/>
    </row>
    <row r="15474" spans="1:1">
      <c r="A15474" s="1"/>
    </row>
    <row r="15475" spans="1:1">
      <c r="A15475" s="1"/>
    </row>
    <row r="15476" spans="1:1">
      <c r="A15476" s="1"/>
    </row>
    <row r="15477" spans="1:1">
      <c r="A15477" s="1"/>
    </row>
    <row r="15478" spans="1:1">
      <c r="A15478" s="1"/>
    </row>
    <row r="15479" spans="1:1">
      <c r="A15479" s="1"/>
    </row>
    <row r="15480" spans="1:1">
      <c r="A15480" s="1"/>
    </row>
    <row r="15481" spans="1:1">
      <c r="A15481" s="1"/>
    </row>
    <row r="15482" spans="1:1">
      <c r="A15482" s="1"/>
    </row>
    <row r="15483" spans="1:1">
      <c r="A15483" s="1"/>
    </row>
    <row r="15484" spans="1:1">
      <c r="A15484" s="1"/>
    </row>
    <row r="15485" spans="1:1">
      <c r="A15485" s="1"/>
    </row>
    <row r="15486" spans="1:1">
      <c r="A15486" s="1"/>
    </row>
    <row r="15487" spans="1:1">
      <c r="A15487" s="1"/>
    </row>
    <row r="15488" spans="1:1">
      <c r="A15488" s="1"/>
    </row>
    <row r="15489" spans="1:1">
      <c r="A15489" s="1"/>
    </row>
    <row r="15490" spans="1:1">
      <c r="A15490" s="1"/>
    </row>
    <row r="15491" spans="1:1">
      <c r="A15491" s="1"/>
    </row>
    <row r="15492" spans="1:1">
      <c r="A15492" s="1"/>
    </row>
    <row r="15493" spans="1:1">
      <c r="A15493" s="1"/>
    </row>
    <row r="15494" spans="1:1">
      <c r="A15494" s="1"/>
    </row>
    <row r="15495" spans="1:1">
      <c r="A15495" s="1"/>
    </row>
    <row r="15496" spans="1:1">
      <c r="A15496" s="1"/>
    </row>
    <row r="15497" spans="1:1">
      <c r="A15497" s="1"/>
    </row>
    <row r="15498" spans="1:1">
      <c r="A15498" s="1"/>
    </row>
    <row r="15499" spans="1:1">
      <c r="A15499" s="1"/>
    </row>
    <row r="15500" spans="1:1">
      <c r="A15500" s="1"/>
    </row>
    <row r="15501" spans="1:1">
      <c r="A15501" s="1"/>
    </row>
    <row r="15502" spans="1:1">
      <c r="A15502" s="1"/>
    </row>
    <row r="15503" spans="1:1">
      <c r="A15503" s="1"/>
    </row>
    <row r="15504" spans="1:1">
      <c r="A15504" s="1"/>
    </row>
    <row r="15505" spans="1:1">
      <c r="A15505" s="1"/>
    </row>
    <row r="15506" spans="1:1">
      <c r="A15506" s="1"/>
    </row>
    <row r="15507" spans="1:1">
      <c r="A15507" s="1"/>
    </row>
    <row r="15508" spans="1:1">
      <c r="A15508" s="1"/>
    </row>
    <row r="15509" spans="1:1">
      <c r="A15509" s="1"/>
    </row>
    <row r="15510" spans="1:1">
      <c r="A15510" s="1"/>
    </row>
    <row r="15511" spans="1:1">
      <c r="A15511" s="1"/>
    </row>
    <row r="15512" spans="1:1">
      <c r="A15512" s="1"/>
    </row>
    <row r="15513" spans="1:1">
      <c r="A15513" s="1"/>
    </row>
    <row r="15514" spans="1:1">
      <c r="A15514" s="1"/>
    </row>
    <row r="15515" spans="1:1">
      <c r="A15515" s="1"/>
    </row>
    <row r="15516" spans="1:1">
      <c r="A15516" s="1"/>
    </row>
    <row r="15517" spans="1:1">
      <c r="A15517" s="1"/>
    </row>
    <row r="15518" spans="1:1">
      <c r="A15518" s="1"/>
    </row>
    <row r="15519" spans="1:1">
      <c r="A15519" s="1"/>
    </row>
    <row r="15520" spans="1:1">
      <c r="A15520" s="1"/>
    </row>
    <row r="15521" spans="1:1">
      <c r="A15521" s="1"/>
    </row>
    <row r="15522" spans="1:1">
      <c r="A15522" s="1"/>
    </row>
    <row r="15523" spans="1:1">
      <c r="A15523" s="1"/>
    </row>
    <row r="15524" spans="1:1">
      <c r="A15524" s="1"/>
    </row>
    <row r="15525" spans="1:1">
      <c r="A15525" s="1"/>
    </row>
    <row r="15526" spans="1:1">
      <c r="A15526" s="1"/>
    </row>
    <row r="15527" spans="1:1">
      <c r="A15527" s="1"/>
    </row>
    <row r="15528" spans="1:1">
      <c r="A15528" s="1"/>
    </row>
    <row r="15529" spans="1:1">
      <c r="A15529" s="1"/>
    </row>
    <row r="15530" spans="1:1">
      <c r="A15530" s="1"/>
    </row>
    <row r="15531" spans="1:1">
      <c r="A15531" s="1"/>
    </row>
    <row r="15532" spans="1:1">
      <c r="A15532" s="1"/>
    </row>
    <row r="15533" spans="1:1">
      <c r="A15533" s="1"/>
    </row>
    <row r="15534" spans="1:1">
      <c r="A15534" s="1"/>
    </row>
    <row r="15535" spans="1:1">
      <c r="A15535" s="1"/>
    </row>
    <row r="15536" spans="1:1">
      <c r="A15536" s="1"/>
    </row>
    <row r="15537" spans="1:1">
      <c r="A15537" s="1"/>
    </row>
    <row r="15538" spans="1:1">
      <c r="A15538" s="1"/>
    </row>
    <row r="15539" spans="1:1">
      <c r="A15539" s="1"/>
    </row>
    <row r="15540" spans="1:1">
      <c r="A15540" s="1"/>
    </row>
    <row r="15541" spans="1:1">
      <c r="A15541" s="1"/>
    </row>
    <row r="15542" spans="1:1">
      <c r="A15542" s="1"/>
    </row>
    <row r="15543" spans="1:1">
      <c r="A15543" s="1"/>
    </row>
    <row r="15544" spans="1:1">
      <c r="A15544" s="1"/>
    </row>
    <row r="15545" spans="1:1">
      <c r="A15545" s="1"/>
    </row>
    <row r="15546" spans="1:1">
      <c r="A15546" s="1"/>
    </row>
    <row r="15547" spans="1:1">
      <c r="A15547" s="1"/>
    </row>
    <row r="15548" spans="1:1">
      <c r="A15548" s="1"/>
    </row>
    <row r="15549" spans="1:1">
      <c r="A15549" s="1"/>
    </row>
    <row r="15550" spans="1:1">
      <c r="A15550" s="1"/>
    </row>
    <row r="15551" spans="1:1">
      <c r="A15551" s="1"/>
    </row>
    <row r="15552" spans="1:1">
      <c r="A15552" s="1"/>
    </row>
    <row r="15553" spans="1:1">
      <c r="A15553" s="1"/>
    </row>
    <row r="15554" spans="1:1">
      <c r="A15554" s="1"/>
    </row>
    <row r="15555" spans="1:1">
      <c r="A15555" s="1"/>
    </row>
    <row r="15556" spans="1:1">
      <c r="A15556" s="1"/>
    </row>
    <row r="15557" spans="1:1">
      <c r="A15557" s="1"/>
    </row>
    <row r="15558" spans="1:1">
      <c r="A15558" s="1"/>
    </row>
    <row r="15559" spans="1:1">
      <c r="A15559" s="1"/>
    </row>
    <row r="15560" spans="1:1">
      <c r="A15560" s="1"/>
    </row>
    <row r="15561" spans="1:1">
      <c r="A15561" s="1"/>
    </row>
    <row r="15562" spans="1:1">
      <c r="A15562" s="1"/>
    </row>
    <row r="15563" spans="1:1">
      <c r="A15563" s="1"/>
    </row>
    <row r="15564" spans="1:1">
      <c r="A15564" s="1"/>
    </row>
    <row r="15565" spans="1:1">
      <c r="A15565" s="1"/>
    </row>
    <row r="15566" spans="1:1">
      <c r="A15566" s="1"/>
    </row>
    <row r="15567" spans="1:1">
      <c r="A15567" s="1"/>
    </row>
    <row r="15568" spans="1:1">
      <c r="A15568" s="1"/>
    </row>
    <row r="15569" spans="1:1">
      <c r="A15569" s="1"/>
    </row>
    <row r="15570" spans="1:1">
      <c r="A15570" s="1"/>
    </row>
    <row r="15571" spans="1:1">
      <c r="A15571" s="1"/>
    </row>
    <row r="15572" spans="1:1">
      <c r="A15572" s="1"/>
    </row>
    <row r="15573" spans="1:1">
      <c r="A15573" s="1"/>
    </row>
    <row r="15574" spans="1:1">
      <c r="A15574" s="1"/>
    </row>
    <row r="15575" spans="1:1">
      <c r="A15575" s="1"/>
    </row>
    <row r="15576" spans="1:1">
      <c r="A15576" s="1"/>
    </row>
    <row r="15577" spans="1:1">
      <c r="A15577" s="1"/>
    </row>
    <row r="15578" spans="1:1">
      <c r="A15578" s="1"/>
    </row>
    <row r="15579" spans="1:1">
      <c r="A15579" s="1"/>
    </row>
    <row r="15580" spans="1:1">
      <c r="A15580" s="1"/>
    </row>
    <row r="15581" spans="1:1">
      <c r="A15581" s="1"/>
    </row>
    <row r="15582" spans="1:1">
      <c r="A15582" s="1"/>
    </row>
    <row r="15583" spans="1:1">
      <c r="A15583" s="1"/>
    </row>
    <row r="15584" spans="1:1">
      <c r="A15584" s="1"/>
    </row>
    <row r="15585" spans="1:1">
      <c r="A15585" s="1"/>
    </row>
    <row r="15586" spans="1:1">
      <c r="A15586" s="1"/>
    </row>
    <row r="15587" spans="1:1">
      <c r="A15587" s="1"/>
    </row>
    <row r="15588" spans="1:1">
      <c r="A15588" s="1"/>
    </row>
    <row r="15589" spans="1:1">
      <c r="A15589" s="1"/>
    </row>
    <row r="15590" spans="1:1">
      <c r="A15590" s="1"/>
    </row>
    <row r="15591" spans="1:1">
      <c r="A15591" s="1"/>
    </row>
    <row r="15592" spans="1:1">
      <c r="A15592" s="1"/>
    </row>
    <row r="15593" spans="1:1">
      <c r="A15593" s="1"/>
    </row>
    <row r="15594" spans="1:1">
      <c r="A15594" s="1"/>
    </row>
    <row r="15595" spans="1:1">
      <c r="A15595" s="1"/>
    </row>
    <row r="15596" spans="1:1">
      <c r="A15596" s="1"/>
    </row>
    <row r="15597" spans="1:1">
      <c r="A15597" s="1"/>
    </row>
    <row r="15598" spans="1:1">
      <c r="A15598" s="1"/>
    </row>
    <row r="15599" spans="1:1">
      <c r="A15599" s="1"/>
    </row>
    <row r="15600" spans="1:1">
      <c r="A15600" s="1"/>
    </row>
    <row r="15601" spans="1:1">
      <c r="A15601" s="1"/>
    </row>
    <row r="15602" spans="1:1">
      <c r="A15602" s="1"/>
    </row>
    <row r="15603" spans="1:1">
      <c r="A15603" s="1"/>
    </row>
    <row r="15604" spans="1:1">
      <c r="A15604" s="1"/>
    </row>
    <row r="15605" spans="1:1">
      <c r="A15605" s="1"/>
    </row>
    <row r="15606" spans="1:1">
      <c r="A15606" s="1"/>
    </row>
    <row r="15607" spans="1:1">
      <c r="A15607" s="1"/>
    </row>
    <row r="15608" spans="1:1">
      <c r="A15608" s="1"/>
    </row>
    <row r="15609" spans="1:1">
      <c r="A15609" s="1"/>
    </row>
    <row r="15610" spans="1:1">
      <c r="A15610" s="1"/>
    </row>
    <row r="15611" spans="1:1">
      <c r="A15611" s="1"/>
    </row>
    <row r="15612" spans="1:1">
      <c r="A15612" s="1"/>
    </row>
    <row r="15613" spans="1:1">
      <c r="A15613" s="1"/>
    </row>
    <row r="15614" spans="1:1">
      <c r="A15614" s="1"/>
    </row>
    <row r="15615" spans="1:1">
      <c r="A15615" s="1"/>
    </row>
    <row r="15616" spans="1:1">
      <c r="A15616" s="1"/>
    </row>
    <row r="15617" spans="1:1">
      <c r="A15617" s="1"/>
    </row>
    <row r="15618" spans="1:1">
      <c r="A15618" s="1"/>
    </row>
    <row r="15619" spans="1:1">
      <c r="A15619" s="1"/>
    </row>
    <row r="15620" spans="1:1">
      <c r="A15620" s="1"/>
    </row>
    <row r="15621" spans="1:1">
      <c r="A15621" s="1"/>
    </row>
    <row r="15622" spans="1:1">
      <c r="A15622" s="1"/>
    </row>
    <row r="15623" spans="1:1">
      <c r="A15623" s="1"/>
    </row>
    <row r="15624" spans="1:1">
      <c r="A15624" s="1"/>
    </row>
    <row r="15625" spans="1:1">
      <c r="A15625" s="1"/>
    </row>
    <row r="15626" spans="1:1">
      <c r="A15626" s="1"/>
    </row>
    <row r="15627" spans="1:1">
      <c r="A15627" s="1"/>
    </row>
    <row r="15628" spans="1:1">
      <c r="A15628" s="1"/>
    </row>
    <row r="15629" spans="1:1">
      <c r="A15629" s="1"/>
    </row>
    <row r="15630" spans="1:1">
      <c r="A15630" s="1"/>
    </row>
    <row r="15631" spans="1:1">
      <c r="A15631" s="1"/>
    </row>
    <row r="15632" spans="1:1">
      <c r="A15632" s="1"/>
    </row>
    <row r="15633" spans="1:1">
      <c r="A15633" s="1"/>
    </row>
    <row r="15634" spans="1:1">
      <c r="A15634" s="1"/>
    </row>
    <row r="15635" spans="1:1">
      <c r="A15635" s="1"/>
    </row>
    <row r="15636" spans="1:1">
      <c r="A15636" s="1"/>
    </row>
    <row r="15637" spans="1:1">
      <c r="A15637" s="1"/>
    </row>
    <row r="15638" spans="1:1">
      <c r="A15638" s="1"/>
    </row>
    <row r="15639" spans="1:1">
      <c r="A15639" s="1"/>
    </row>
    <row r="15640" spans="1:1">
      <c r="A15640" s="1"/>
    </row>
    <row r="15641" spans="1:1">
      <c r="A15641" s="1"/>
    </row>
    <row r="15642" spans="1:1">
      <c r="A15642" s="1"/>
    </row>
    <row r="15643" spans="1:1">
      <c r="A15643" s="1"/>
    </row>
    <row r="15644" spans="1:1">
      <c r="A15644" s="1"/>
    </row>
    <row r="15645" spans="1:1">
      <c r="A15645" s="1"/>
    </row>
    <row r="15646" spans="1:1">
      <c r="A15646" s="1"/>
    </row>
    <row r="15647" spans="1:1">
      <c r="A15647" s="1"/>
    </row>
    <row r="15648" spans="1:1">
      <c r="A15648" s="1"/>
    </row>
    <row r="15649" spans="1:1">
      <c r="A15649" s="1"/>
    </row>
    <row r="15650" spans="1:1">
      <c r="A15650" s="1"/>
    </row>
    <row r="15651" spans="1:1">
      <c r="A15651" s="1"/>
    </row>
    <row r="15652" spans="1:1">
      <c r="A15652" s="1"/>
    </row>
    <row r="15653" spans="1:1">
      <c r="A15653" s="1"/>
    </row>
    <row r="15654" spans="1:1">
      <c r="A15654" s="1"/>
    </row>
    <row r="15655" spans="1:1">
      <c r="A15655" s="1"/>
    </row>
    <row r="15656" spans="1:1">
      <c r="A15656" s="1"/>
    </row>
    <row r="15657" spans="1:1">
      <c r="A15657" s="1"/>
    </row>
    <row r="15658" spans="1:1">
      <c r="A15658" s="1"/>
    </row>
    <row r="15659" spans="1:1">
      <c r="A15659" s="1"/>
    </row>
    <row r="15660" spans="1:1">
      <c r="A15660" s="1"/>
    </row>
    <row r="15661" spans="1:1">
      <c r="A15661" s="1"/>
    </row>
    <row r="15662" spans="1:1">
      <c r="A15662" s="1"/>
    </row>
    <row r="15663" spans="1:1">
      <c r="A15663" s="1"/>
    </row>
    <row r="15664" spans="1:1">
      <c r="A15664" s="1"/>
    </row>
    <row r="15665" spans="1:1">
      <c r="A15665" s="1"/>
    </row>
    <row r="15666" spans="1:1">
      <c r="A15666" s="1"/>
    </row>
    <row r="15667" spans="1:1">
      <c r="A15667" s="1"/>
    </row>
    <row r="15668" spans="1:1">
      <c r="A15668" s="1"/>
    </row>
    <row r="15669" spans="1:1">
      <c r="A15669" s="1"/>
    </row>
    <row r="15670" spans="1:1">
      <c r="A15670" s="1"/>
    </row>
    <row r="15671" spans="1:1">
      <c r="A15671" s="1"/>
    </row>
    <row r="15672" spans="1:1">
      <c r="A15672" s="1"/>
    </row>
    <row r="15673" spans="1:1">
      <c r="A15673" s="1"/>
    </row>
    <row r="15674" spans="1:1">
      <c r="A15674" s="1"/>
    </row>
    <row r="15675" spans="1:1">
      <c r="A15675" s="1"/>
    </row>
    <row r="15676" spans="1:1">
      <c r="A15676" s="1"/>
    </row>
    <row r="15677" spans="1:1">
      <c r="A15677" s="1"/>
    </row>
    <row r="15678" spans="1:1">
      <c r="A15678" s="1"/>
    </row>
    <row r="15679" spans="1:1">
      <c r="A15679" s="1"/>
    </row>
    <row r="15680" spans="1:1">
      <c r="A15680" s="1"/>
    </row>
    <row r="15681" spans="1:1">
      <c r="A15681" s="1"/>
    </row>
    <row r="15682" spans="1:1">
      <c r="A15682" s="1"/>
    </row>
    <row r="15683" spans="1:1">
      <c r="A15683" s="1"/>
    </row>
    <row r="15684" spans="1:1">
      <c r="A15684" s="1"/>
    </row>
    <row r="15685" spans="1:1">
      <c r="A15685" s="1"/>
    </row>
    <row r="15686" spans="1:1">
      <c r="A15686" s="1"/>
    </row>
    <row r="15687" spans="1:1">
      <c r="A15687" s="1"/>
    </row>
    <row r="15688" spans="1:1">
      <c r="A15688" s="1"/>
    </row>
    <row r="15689" spans="1:1">
      <c r="A15689" s="1"/>
    </row>
    <row r="15690" spans="1:1">
      <c r="A15690" s="1"/>
    </row>
    <row r="15691" spans="1:1">
      <c r="A15691" s="1"/>
    </row>
    <row r="15692" spans="1:1">
      <c r="A15692" s="1"/>
    </row>
    <row r="15693" spans="1:1">
      <c r="A15693" s="1"/>
    </row>
    <row r="15694" spans="1:1">
      <c r="A15694" s="1"/>
    </row>
    <row r="15695" spans="1:1">
      <c r="A15695" s="1"/>
    </row>
    <row r="15696" spans="1:1">
      <c r="A15696" s="1"/>
    </row>
    <row r="15697" spans="1:1">
      <c r="A15697" s="1"/>
    </row>
    <row r="15698" spans="1:1">
      <c r="A15698" s="1"/>
    </row>
    <row r="15699" spans="1:1">
      <c r="A15699" s="1"/>
    </row>
    <row r="15700" spans="1:1">
      <c r="A15700" s="1"/>
    </row>
    <row r="15701" spans="1:1">
      <c r="A15701" s="1"/>
    </row>
    <row r="15702" spans="1:1">
      <c r="A15702" s="1"/>
    </row>
    <row r="15703" spans="1:1">
      <c r="A15703" s="1"/>
    </row>
    <row r="15704" spans="1:1">
      <c r="A15704" s="1"/>
    </row>
    <row r="15705" spans="1:1">
      <c r="A15705" s="1"/>
    </row>
    <row r="15706" spans="1:1">
      <c r="A15706" s="1"/>
    </row>
    <row r="15707" spans="1:1">
      <c r="A15707" s="1"/>
    </row>
    <row r="15708" spans="1:1">
      <c r="A15708" s="1"/>
    </row>
    <row r="15709" spans="1:1">
      <c r="A15709" s="1"/>
    </row>
    <row r="15710" spans="1:1">
      <c r="A15710" s="1"/>
    </row>
    <row r="15711" spans="1:1">
      <c r="A15711" s="1"/>
    </row>
    <row r="15712" spans="1:1">
      <c r="A15712" s="1"/>
    </row>
    <row r="15713" spans="1:1">
      <c r="A15713" s="1"/>
    </row>
    <row r="15714" spans="1:1">
      <c r="A15714" s="1"/>
    </row>
    <row r="15715" spans="1:1">
      <c r="A15715" s="1"/>
    </row>
    <row r="15716" spans="1:1">
      <c r="A15716" s="1"/>
    </row>
    <row r="15717" spans="1:1">
      <c r="A15717" s="1"/>
    </row>
    <row r="15718" spans="1:1">
      <c r="A15718" s="1"/>
    </row>
    <row r="15719" spans="1:1">
      <c r="A15719" s="1"/>
    </row>
    <row r="15720" spans="1:1">
      <c r="A15720" s="1"/>
    </row>
    <row r="15721" spans="1:1">
      <c r="A15721" s="1"/>
    </row>
    <row r="15722" spans="1:1">
      <c r="A15722" s="1"/>
    </row>
    <row r="15723" spans="1:1">
      <c r="A15723" s="1"/>
    </row>
    <row r="15724" spans="1:1">
      <c r="A15724" s="1"/>
    </row>
    <row r="15725" spans="1:1">
      <c r="A15725" s="1"/>
    </row>
    <row r="15726" spans="1:1">
      <c r="A15726" s="1"/>
    </row>
    <row r="15727" spans="1:1">
      <c r="A15727" s="1"/>
    </row>
    <row r="15728" spans="1:1">
      <c r="A15728" s="1"/>
    </row>
    <row r="15729" spans="1:1">
      <c r="A15729" s="1"/>
    </row>
    <row r="15730" spans="1:1">
      <c r="A15730" s="1"/>
    </row>
    <row r="15731" spans="1:1">
      <c r="A15731" s="1"/>
    </row>
    <row r="15732" spans="1:1">
      <c r="A15732" s="1"/>
    </row>
    <row r="15733" spans="1:1">
      <c r="A15733" s="1"/>
    </row>
    <row r="15734" spans="1:1">
      <c r="A15734" s="1"/>
    </row>
    <row r="15735" spans="1:1">
      <c r="A15735" s="1"/>
    </row>
    <row r="15736" spans="1:1">
      <c r="A15736" s="1"/>
    </row>
    <row r="15737" spans="1:1">
      <c r="A15737" s="1"/>
    </row>
    <row r="15738" spans="1:1">
      <c r="A15738" s="1"/>
    </row>
    <row r="15739" spans="1:1">
      <c r="A15739" s="1"/>
    </row>
    <row r="15740" spans="1:1">
      <c r="A15740" s="1"/>
    </row>
    <row r="15741" spans="1:1">
      <c r="A15741" s="1"/>
    </row>
    <row r="15742" spans="1:1">
      <c r="A15742" s="1"/>
    </row>
    <row r="15743" spans="1:1">
      <c r="A15743" s="1"/>
    </row>
    <row r="15744" spans="1:1">
      <c r="A15744" s="1"/>
    </row>
    <row r="15745" spans="1:1">
      <c r="A15745" s="1"/>
    </row>
    <row r="15746" spans="1:1">
      <c r="A15746" s="1"/>
    </row>
    <row r="15747" spans="1:1">
      <c r="A15747" s="1"/>
    </row>
    <row r="15748" spans="1:1">
      <c r="A15748" s="1"/>
    </row>
    <row r="15749" spans="1:1">
      <c r="A15749" s="1"/>
    </row>
    <row r="15750" spans="1:1">
      <c r="A15750" s="1"/>
    </row>
    <row r="15751" spans="1:1">
      <c r="A15751" s="1"/>
    </row>
    <row r="15752" spans="1:1">
      <c r="A15752" s="1"/>
    </row>
    <row r="15753" spans="1:1">
      <c r="A15753" s="1"/>
    </row>
    <row r="15754" spans="1:1">
      <c r="A15754" s="1"/>
    </row>
    <row r="15755" spans="1:1">
      <c r="A15755" s="1"/>
    </row>
    <row r="15756" spans="1:1">
      <c r="A15756" s="1"/>
    </row>
    <row r="15757" spans="1:1">
      <c r="A15757" s="1"/>
    </row>
    <row r="15758" spans="1:1">
      <c r="A15758" s="1"/>
    </row>
    <row r="15759" spans="1:1">
      <c r="A15759" s="1"/>
    </row>
    <row r="15760" spans="1:1">
      <c r="A15760" s="1"/>
    </row>
    <row r="15761" spans="1:1">
      <c r="A15761" s="1"/>
    </row>
    <row r="15762" spans="1:1">
      <c r="A15762" s="1"/>
    </row>
    <row r="15763" spans="1:1">
      <c r="A15763" s="1"/>
    </row>
    <row r="15764" spans="1:1">
      <c r="A15764" s="1"/>
    </row>
    <row r="15765" spans="1:1">
      <c r="A15765" s="1"/>
    </row>
    <row r="15766" spans="1:1">
      <c r="A15766" s="1"/>
    </row>
    <row r="15767" spans="1:1">
      <c r="A15767" s="1"/>
    </row>
    <row r="15768" spans="1:1">
      <c r="A15768" s="1"/>
    </row>
    <row r="15769" spans="1:1">
      <c r="A15769" s="1"/>
    </row>
    <row r="15770" spans="1:1">
      <c r="A15770" s="1"/>
    </row>
    <row r="15771" spans="1:1">
      <c r="A15771" s="1"/>
    </row>
    <row r="15772" spans="1:1">
      <c r="A15772" s="1"/>
    </row>
    <row r="15773" spans="1:1">
      <c r="A15773" s="1"/>
    </row>
    <row r="15774" spans="1:1">
      <c r="A15774" s="1"/>
    </row>
    <row r="15775" spans="1:1">
      <c r="A15775" s="1"/>
    </row>
    <row r="15776" spans="1:1">
      <c r="A15776" s="1"/>
    </row>
    <row r="15777" spans="1:1">
      <c r="A15777" s="1"/>
    </row>
    <row r="15778" spans="1:1">
      <c r="A15778" s="1"/>
    </row>
    <row r="15779" spans="1:1">
      <c r="A15779" s="1"/>
    </row>
    <row r="15780" spans="1:1">
      <c r="A15780" s="1"/>
    </row>
    <row r="15781" spans="1:1">
      <c r="A15781" s="1"/>
    </row>
    <row r="15782" spans="1:1">
      <c r="A15782" s="1"/>
    </row>
    <row r="15783" spans="1:1">
      <c r="A15783" s="1"/>
    </row>
    <row r="15784" spans="1:1">
      <c r="A15784" s="1"/>
    </row>
    <row r="15785" spans="1:1">
      <c r="A15785" s="1"/>
    </row>
    <row r="15786" spans="1:1">
      <c r="A15786" s="1"/>
    </row>
    <row r="15787" spans="1:1">
      <c r="A15787" s="1"/>
    </row>
    <row r="15788" spans="1:1">
      <c r="A15788" s="1"/>
    </row>
    <row r="15789" spans="1:1">
      <c r="A15789" s="1"/>
    </row>
    <row r="15790" spans="1:1">
      <c r="A15790" s="1"/>
    </row>
    <row r="15791" spans="1:1">
      <c r="A15791" s="1"/>
    </row>
    <row r="15792" spans="1:1">
      <c r="A15792" s="1"/>
    </row>
    <row r="15793" spans="1:1">
      <c r="A15793" s="1"/>
    </row>
    <row r="15794" spans="1:1">
      <c r="A15794" s="1"/>
    </row>
    <row r="15795" spans="1:1">
      <c r="A15795" s="1"/>
    </row>
    <row r="15796" spans="1:1">
      <c r="A15796" s="1"/>
    </row>
    <row r="15797" spans="1:1">
      <c r="A15797" s="1"/>
    </row>
    <row r="15798" spans="1:1">
      <c r="A15798" s="1"/>
    </row>
    <row r="15799" spans="1:1">
      <c r="A15799" s="1"/>
    </row>
    <row r="15800" spans="1:1">
      <c r="A15800" s="1"/>
    </row>
    <row r="15801" spans="1:1">
      <c r="A15801" s="1"/>
    </row>
    <row r="15802" spans="1:1">
      <c r="A15802" s="1"/>
    </row>
    <row r="15803" spans="1:1">
      <c r="A15803" s="1"/>
    </row>
    <row r="15804" spans="1:1">
      <c r="A15804" s="1"/>
    </row>
    <row r="15805" spans="1:1">
      <c r="A15805" s="1"/>
    </row>
    <row r="15806" spans="1:1">
      <c r="A15806" s="1"/>
    </row>
    <row r="15807" spans="1:1">
      <c r="A15807" s="1"/>
    </row>
    <row r="15808" spans="1:1">
      <c r="A15808" s="1"/>
    </row>
    <row r="15809" spans="1:1">
      <c r="A15809" s="1"/>
    </row>
    <row r="15810" spans="1:1">
      <c r="A15810" s="1"/>
    </row>
    <row r="15811" spans="1:1">
      <c r="A15811" s="1"/>
    </row>
    <row r="15812" spans="1:1">
      <c r="A15812" s="1"/>
    </row>
    <row r="15813" spans="1:1">
      <c r="A15813" s="1"/>
    </row>
    <row r="15814" spans="1:1">
      <c r="A15814" s="1"/>
    </row>
    <row r="15815" spans="1:1">
      <c r="A15815" s="1"/>
    </row>
    <row r="15816" spans="1:1">
      <c r="A15816" s="1"/>
    </row>
    <row r="15817" spans="1:1">
      <c r="A15817" s="1"/>
    </row>
    <row r="15818" spans="1:1">
      <c r="A15818" s="1"/>
    </row>
    <row r="15819" spans="1:1">
      <c r="A15819" s="1"/>
    </row>
    <row r="15820" spans="1:1">
      <c r="A15820" s="1"/>
    </row>
    <row r="15821" spans="1:1">
      <c r="A15821" s="1"/>
    </row>
    <row r="15822" spans="1:1">
      <c r="A15822" s="1"/>
    </row>
    <row r="15823" spans="1:1">
      <c r="A15823" s="1"/>
    </row>
    <row r="15824" spans="1:1">
      <c r="A15824" s="1"/>
    </row>
    <row r="15825" spans="1:1">
      <c r="A15825" s="1"/>
    </row>
    <row r="15826" spans="1:1">
      <c r="A15826" s="1"/>
    </row>
    <row r="15827" spans="1:1">
      <c r="A15827" s="1"/>
    </row>
    <row r="15828" spans="1:1">
      <c r="A15828" s="1"/>
    </row>
    <row r="15829" spans="1:1">
      <c r="A15829" s="1"/>
    </row>
    <row r="15830" spans="1:1">
      <c r="A15830" s="1"/>
    </row>
    <row r="15831" spans="1:1">
      <c r="A15831" s="1"/>
    </row>
    <row r="15832" spans="1:1">
      <c r="A15832" s="1"/>
    </row>
    <row r="15833" spans="1:1">
      <c r="A15833" s="1"/>
    </row>
    <row r="15834" spans="1:1">
      <c r="A15834" s="1"/>
    </row>
    <row r="15835" spans="1:1">
      <c r="A15835" s="1"/>
    </row>
    <row r="15836" spans="1:1">
      <c r="A15836" s="1"/>
    </row>
    <row r="15837" spans="1:1">
      <c r="A15837" s="1"/>
    </row>
    <row r="15838" spans="1:1">
      <c r="A15838" s="1"/>
    </row>
    <row r="15839" spans="1:1">
      <c r="A15839" s="1"/>
    </row>
    <row r="15840" spans="1:1">
      <c r="A15840" s="1"/>
    </row>
    <row r="15841" spans="1:1">
      <c r="A15841" s="1"/>
    </row>
    <row r="15842" spans="1:1">
      <c r="A15842" s="1"/>
    </row>
    <row r="15843" spans="1:1">
      <c r="A15843" s="1"/>
    </row>
    <row r="15844" spans="1:1">
      <c r="A15844" s="1"/>
    </row>
    <row r="15845" spans="1:1">
      <c r="A15845" s="1"/>
    </row>
    <row r="15846" spans="1:1">
      <c r="A15846" s="1"/>
    </row>
    <row r="15847" spans="1:1">
      <c r="A15847" s="1"/>
    </row>
    <row r="15848" spans="1:1">
      <c r="A15848" s="1"/>
    </row>
    <row r="15849" spans="1:1">
      <c r="A15849" s="1"/>
    </row>
    <row r="15850" spans="1:1">
      <c r="A15850" s="1"/>
    </row>
    <row r="15851" spans="1:1">
      <c r="A15851" s="1"/>
    </row>
    <row r="15852" spans="1:1">
      <c r="A15852" s="1"/>
    </row>
    <row r="15853" spans="1:1">
      <c r="A15853" s="1"/>
    </row>
    <row r="15854" spans="1:1">
      <c r="A15854" s="1"/>
    </row>
    <row r="15855" spans="1:1">
      <c r="A15855" s="1"/>
    </row>
    <row r="15856" spans="1:1">
      <c r="A15856" s="1"/>
    </row>
    <row r="15857" spans="1:1">
      <c r="A15857" s="1"/>
    </row>
    <row r="15858" spans="1:1">
      <c r="A15858" s="1"/>
    </row>
    <row r="15859" spans="1:1">
      <c r="A15859" s="1"/>
    </row>
    <row r="15860" spans="1:1">
      <c r="A15860" s="1"/>
    </row>
    <row r="15861" spans="1:1">
      <c r="A15861" s="1"/>
    </row>
    <row r="15862" spans="1:1">
      <c r="A15862" s="1"/>
    </row>
    <row r="15863" spans="1:1">
      <c r="A15863" s="1"/>
    </row>
    <row r="15864" spans="1:1">
      <c r="A15864" s="1"/>
    </row>
    <row r="15865" spans="1:1">
      <c r="A15865" s="1"/>
    </row>
    <row r="15866" spans="1:1">
      <c r="A15866" s="1"/>
    </row>
    <row r="15867" spans="1:1">
      <c r="A15867" s="1"/>
    </row>
    <row r="15868" spans="1:1">
      <c r="A15868" s="1"/>
    </row>
    <row r="15869" spans="1:1">
      <c r="A15869" s="1"/>
    </row>
    <row r="15870" spans="1:1">
      <c r="A15870" s="1"/>
    </row>
    <row r="15871" spans="1:1">
      <c r="A15871" s="1"/>
    </row>
    <row r="15872" spans="1:1">
      <c r="A15872" s="1"/>
    </row>
    <row r="15873" spans="1:1">
      <c r="A15873" s="1"/>
    </row>
    <row r="15874" spans="1:1">
      <c r="A15874" s="1"/>
    </row>
    <row r="15875" spans="1:1">
      <c r="A15875" s="1"/>
    </row>
    <row r="15876" spans="1:1">
      <c r="A15876" s="1"/>
    </row>
    <row r="15877" spans="1:1">
      <c r="A15877" s="1"/>
    </row>
    <row r="15878" spans="1:1">
      <c r="A15878" s="1"/>
    </row>
    <row r="15879" spans="1:1">
      <c r="A15879" s="1"/>
    </row>
    <row r="15880" spans="1:1">
      <c r="A15880" s="1"/>
    </row>
    <row r="15881" spans="1:1">
      <c r="A15881" s="1"/>
    </row>
    <row r="15882" spans="1:1">
      <c r="A15882" s="1"/>
    </row>
    <row r="15883" spans="1:1">
      <c r="A15883" s="1"/>
    </row>
    <row r="15884" spans="1:1">
      <c r="A15884" s="1"/>
    </row>
    <row r="15885" spans="1:1">
      <c r="A15885" s="1"/>
    </row>
    <row r="15886" spans="1:1">
      <c r="A15886" s="1"/>
    </row>
    <row r="15887" spans="1:1">
      <c r="A15887" s="1"/>
    </row>
    <row r="15888" spans="1:1">
      <c r="A15888" s="1"/>
    </row>
    <row r="15889" spans="1:1">
      <c r="A15889" s="1"/>
    </row>
    <row r="15890" spans="1:1">
      <c r="A15890" s="1"/>
    </row>
    <row r="15891" spans="1:1">
      <c r="A15891" s="1"/>
    </row>
    <row r="15892" spans="1:1">
      <c r="A15892" s="1"/>
    </row>
    <row r="15893" spans="1:1">
      <c r="A15893" s="1"/>
    </row>
    <row r="15894" spans="1:1">
      <c r="A15894" s="1"/>
    </row>
    <row r="15895" spans="1:1">
      <c r="A15895" s="1"/>
    </row>
    <row r="15896" spans="1:1">
      <c r="A15896" s="1"/>
    </row>
    <row r="15897" spans="1:1">
      <c r="A15897" s="1"/>
    </row>
    <row r="15898" spans="1:1">
      <c r="A15898" s="1"/>
    </row>
    <row r="15899" spans="1:1">
      <c r="A15899" s="1"/>
    </row>
    <row r="15900" spans="1:1">
      <c r="A15900" s="1"/>
    </row>
    <row r="15901" spans="1:1">
      <c r="A15901" s="1"/>
    </row>
    <row r="15902" spans="1:1">
      <c r="A15902" s="1"/>
    </row>
    <row r="15903" spans="1:1">
      <c r="A15903" s="1"/>
    </row>
    <row r="15904" spans="1:1">
      <c r="A15904" s="1"/>
    </row>
    <row r="15905" spans="1:1">
      <c r="A15905" s="1"/>
    </row>
    <row r="15906" spans="1:1">
      <c r="A15906" s="1"/>
    </row>
    <row r="15907" spans="1:1">
      <c r="A15907" s="1"/>
    </row>
    <row r="15908" spans="1:1">
      <c r="A15908" s="1"/>
    </row>
    <row r="15909" spans="1:1">
      <c r="A15909" s="1"/>
    </row>
    <row r="15910" spans="1:1">
      <c r="A15910" s="1"/>
    </row>
    <row r="15911" spans="1:1">
      <c r="A15911" s="1"/>
    </row>
    <row r="15912" spans="1:1">
      <c r="A15912" s="1"/>
    </row>
    <row r="15913" spans="1:1">
      <c r="A15913" s="1"/>
    </row>
    <row r="15914" spans="1:1">
      <c r="A15914" s="1"/>
    </row>
    <row r="15915" spans="1:1">
      <c r="A15915" s="1"/>
    </row>
    <row r="15916" spans="1:1">
      <c r="A15916" s="1"/>
    </row>
    <row r="15917" spans="1:1">
      <c r="A15917" s="1"/>
    </row>
    <row r="15918" spans="1:1">
      <c r="A15918" s="1"/>
    </row>
    <row r="15919" spans="1:1">
      <c r="A15919" s="1"/>
    </row>
    <row r="15920" spans="1:1">
      <c r="A15920" s="1"/>
    </row>
    <row r="15921" spans="1:1">
      <c r="A15921" s="1"/>
    </row>
    <row r="15922" spans="1:1">
      <c r="A15922" s="1"/>
    </row>
    <row r="15923" spans="1:1">
      <c r="A15923" s="1"/>
    </row>
    <row r="15924" spans="1:1">
      <c r="A15924" s="1"/>
    </row>
    <row r="15925" spans="1:1">
      <c r="A15925" s="1"/>
    </row>
    <row r="15926" spans="1:1">
      <c r="A15926" s="1"/>
    </row>
    <row r="15927" spans="1:1">
      <c r="A15927" s="1"/>
    </row>
    <row r="15928" spans="1:1">
      <c r="A15928" s="1"/>
    </row>
    <row r="15929" spans="1:1">
      <c r="A15929" s="1"/>
    </row>
    <row r="15930" spans="1:1">
      <c r="A15930" s="1"/>
    </row>
    <row r="15931" spans="1:1">
      <c r="A15931" s="1"/>
    </row>
    <row r="15932" spans="1:1">
      <c r="A15932" s="1"/>
    </row>
    <row r="15933" spans="1:1">
      <c r="A15933" s="1"/>
    </row>
    <row r="15934" spans="1:1">
      <c r="A15934" s="1"/>
    </row>
    <row r="15935" spans="1:1">
      <c r="A15935" s="1"/>
    </row>
    <row r="15936" spans="1:1">
      <c r="A15936" s="1"/>
    </row>
    <row r="15937" spans="1:1">
      <c r="A15937" s="1"/>
    </row>
    <row r="15938" spans="1:1">
      <c r="A15938" s="1"/>
    </row>
    <row r="15939" spans="1:1">
      <c r="A15939" s="1"/>
    </row>
    <row r="15940" spans="1:1">
      <c r="A15940" s="1"/>
    </row>
    <row r="15941" spans="1:1">
      <c r="A15941" s="1"/>
    </row>
    <row r="15942" spans="1:1">
      <c r="A15942" s="1"/>
    </row>
    <row r="15943" spans="1:1">
      <c r="A15943" s="1"/>
    </row>
    <row r="15944" spans="1:1">
      <c r="A15944" s="1"/>
    </row>
    <row r="15945" spans="1:1">
      <c r="A15945" s="1"/>
    </row>
    <row r="15946" spans="1:1">
      <c r="A15946" s="1"/>
    </row>
    <row r="15947" spans="1:1">
      <c r="A15947" s="1"/>
    </row>
    <row r="15948" spans="1:1">
      <c r="A15948" s="1"/>
    </row>
    <row r="15949" spans="1:1">
      <c r="A15949" s="1"/>
    </row>
    <row r="15950" spans="1:1">
      <c r="A15950" s="1"/>
    </row>
    <row r="15951" spans="1:1">
      <c r="A15951" s="1"/>
    </row>
    <row r="15952" spans="1:1">
      <c r="A15952" s="1"/>
    </row>
    <row r="15953" spans="1:1">
      <c r="A15953" s="1"/>
    </row>
    <row r="15954" spans="1:1">
      <c r="A15954" s="1"/>
    </row>
    <row r="15955" spans="1:1">
      <c r="A15955" s="1"/>
    </row>
    <row r="15956" spans="1:1">
      <c r="A15956" s="1"/>
    </row>
    <row r="15957" spans="1:1">
      <c r="A15957" s="1"/>
    </row>
    <row r="15958" spans="1:1">
      <c r="A15958" s="1"/>
    </row>
    <row r="15959" spans="1:1">
      <c r="A15959" s="1"/>
    </row>
    <row r="15960" spans="1:1">
      <c r="A15960" s="1"/>
    </row>
    <row r="15961" spans="1:1">
      <c r="A15961" s="1"/>
    </row>
    <row r="15962" spans="1:1">
      <c r="A15962" s="1"/>
    </row>
    <row r="15963" spans="1:1">
      <c r="A15963" s="1"/>
    </row>
    <row r="15964" spans="1:1">
      <c r="A15964" s="1"/>
    </row>
    <row r="15965" spans="1:1">
      <c r="A15965" s="1"/>
    </row>
    <row r="15966" spans="1:1">
      <c r="A15966" s="1"/>
    </row>
    <row r="15967" spans="1:1">
      <c r="A15967" s="1"/>
    </row>
    <row r="15968" spans="1:1">
      <c r="A15968" s="1"/>
    </row>
    <row r="15969" spans="1:1">
      <c r="A15969" s="1"/>
    </row>
    <row r="15970" spans="1:1">
      <c r="A15970" s="1"/>
    </row>
    <row r="15971" spans="1:1">
      <c r="A15971" s="1"/>
    </row>
    <row r="15972" spans="1:1">
      <c r="A15972" s="1"/>
    </row>
    <row r="15973" spans="1:1">
      <c r="A15973" s="1"/>
    </row>
    <row r="15974" spans="1:1">
      <c r="A15974" s="1"/>
    </row>
    <row r="15975" spans="1:1">
      <c r="A15975" s="1"/>
    </row>
    <row r="15976" spans="1:1">
      <c r="A15976" s="1"/>
    </row>
    <row r="15977" spans="1:1">
      <c r="A15977" s="1"/>
    </row>
    <row r="15978" spans="1:1">
      <c r="A15978" s="1"/>
    </row>
    <row r="15979" spans="1:1">
      <c r="A15979" s="1"/>
    </row>
    <row r="15980" spans="1:1">
      <c r="A15980" s="1"/>
    </row>
    <row r="15981" spans="1:1">
      <c r="A15981" s="1"/>
    </row>
    <row r="15982" spans="1:1">
      <c r="A15982" s="1"/>
    </row>
    <row r="15983" spans="1:1">
      <c r="A15983" s="1"/>
    </row>
    <row r="15984" spans="1:1">
      <c r="A15984" s="1"/>
    </row>
    <row r="15985" spans="1:1">
      <c r="A15985" s="1"/>
    </row>
    <row r="15986" spans="1:1">
      <c r="A15986" s="1"/>
    </row>
    <row r="15987" spans="1:1">
      <c r="A15987" s="1"/>
    </row>
    <row r="15988" spans="1:1">
      <c r="A15988" s="1"/>
    </row>
    <row r="15989" spans="1:1">
      <c r="A15989" s="1"/>
    </row>
    <row r="15990" spans="1:1">
      <c r="A15990" s="1"/>
    </row>
    <row r="15991" spans="1:1">
      <c r="A15991" s="1"/>
    </row>
    <row r="15992" spans="1:1">
      <c r="A15992" s="1"/>
    </row>
    <row r="15993" spans="1:1">
      <c r="A15993" s="1"/>
    </row>
    <row r="15994" spans="1:1">
      <c r="A15994" s="1"/>
    </row>
    <row r="15995" spans="1:1">
      <c r="A15995" s="1"/>
    </row>
    <row r="15996" spans="1:1">
      <c r="A15996" s="1"/>
    </row>
    <row r="15997" spans="1:1">
      <c r="A15997" s="1"/>
    </row>
    <row r="15998" spans="1:1">
      <c r="A15998" s="1"/>
    </row>
    <row r="15999" spans="1:1">
      <c r="A15999" s="1"/>
    </row>
    <row r="16000" spans="1:1">
      <c r="A16000" s="1"/>
    </row>
    <row r="16001" spans="1:1">
      <c r="A16001" s="1"/>
    </row>
    <row r="16002" spans="1:1">
      <c r="A16002" s="1"/>
    </row>
    <row r="16003" spans="1:1">
      <c r="A16003" s="1"/>
    </row>
    <row r="16004" spans="1:1">
      <c r="A16004" s="1"/>
    </row>
    <row r="16005" spans="1:1">
      <c r="A16005" s="1"/>
    </row>
    <row r="16006" spans="1:1">
      <c r="A16006" s="1"/>
    </row>
    <row r="16007" spans="1:1">
      <c r="A16007" s="1"/>
    </row>
    <row r="16008" spans="1:1">
      <c r="A16008" s="1"/>
    </row>
    <row r="16009" spans="1:1">
      <c r="A16009" s="1"/>
    </row>
    <row r="16010" spans="1:1">
      <c r="A16010" s="1"/>
    </row>
    <row r="16011" spans="1:1">
      <c r="A16011" s="1"/>
    </row>
    <row r="16012" spans="1:1">
      <c r="A16012" s="1"/>
    </row>
    <row r="16013" spans="1:1">
      <c r="A16013" s="1"/>
    </row>
    <row r="16014" spans="1:1">
      <c r="A16014" s="1"/>
    </row>
    <row r="16015" spans="1:1">
      <c r="A16015" s="1"/>
    </row>
    <row r="16016" spans="1:1">
      <c r="A16016" s="1"/>
    </row>
    <row r="16017" spans="1:1">
      <c r="A16017" s="1"/>
    </row>
    <row r="16018" spans="1:1">
      <c r="A16018" s="1"/>
    </row>
    <row r="16019" spans="1:1">
      <c r="A16019" s="1"/>
    </row>
    <row r="16020" spans="1:1">
      <c r="A16020" s="1"/>
    </row>
    <row r="16021" spans="1:1">
      <c r="A16021" s="1"/>
    </row>
    <row r="16022" spans="1:1">
      <c r="A16022" s="1"/>
    </row>
    <row r="16023" spans="1:1">
      <c r="A16023" s="1"/>
    </row>
    <row r="16024" spans="1:1">
      <c r="A16024" s="1"/>
    </row>
    <row r="16025" spans="1:1">
      <c r="A16025" s="1"/>
    </row>
    <row r="16026" spans="1:1">
      <c r="A16026" s="1"/>
    </row>
    <row r="16027" spans="1:1">
      <c r="A16027" s="1"/>
    </row>
    <row r="16028" spans="1:1">
      <c r="A16028" s="1"/>
    </row>
    <row r="16029" spans="1:1">
      <c r="A16029" s="1"/>
    </row>
    <row r="16030" spans="1:1">
      <c r="A16030" s="1"/>
    </row>
    <row r="16031" spans="1:1">
      <c r="A16031" s="1"/>
    </row>
    <row r="16032" spans="1:1">
      <c r="A16032" s="1"/>
    </row>
    <row r="16033" spans="1:1">
      <c r="A16033" s="1"/>
    </row>
    <row r="16034" spans="1:1">
      <c r="A16034" s="1"/>
    </row>
    <row r="16035" spans="1:1">
      <c r="A16035" s="1"/>
    </row>
    <row r="16036" spans="1:1">
      <c r="A16036" s="1"/>
    </row>
    <row r="16037" spans="1:1">
      <c r="A16037" s="1"/>
    </row>
    <row r="16038" spans="1:1">
      <c r="A16038" s="1"/>
    </row>
    <row r="16039" spans="1:1">
      <c r="A16039" s="1"/>
    </row>
    <row r="16040" spans="1:1">
      <c r="A16040" s="1"/>
    </row>
    <row r="16041" spans="1:1">
      <c r="A16041" s="1"/>
    </row>
    <row r="16042" spans="1:1">
      <c r="A16042" s="1"/>
    </row>
    <row r="16043" spans="1:1">
      <c r="A16043" s="1"/>
    </row>
    <row r="16044" spans="1:1">
      <c r="A16044" s="1"/>
    </row>
    <row r="16045" spans="1:1">
      <c r="A16045" s="1"/>
    </row>
    <row r="16046" spans="1:1">
      <c r="A16046" s="1"/>
    </row>
    <row r="16047" spans="1:1">
      <c r="A16047" s="1"/>
    </row>
    <row r="16048" spans="1:1">
      <c r="A16048" s="1"/>
    </row>
    <row r="16049" spans="1:1">
      <c r="A16049" s="1"/>
    </row>
    <row r="16050" spans="1:1">
      <c r="A16050" s="1"/>
    </row>
    <row r="16051" spans="1:1">
      <c r="A16051" s="1"/>
    </row>
    <row r="16052" spans="1:1">
      <c r="A16052" s="1"/>
    </row>
    <row r="16053" spans="1:1">
      <c r="A16053" s="1"/>
    </row>
    <row r="16054" spans="1:1">
      <c r="A16054" s="1"/>
    </row>
    <row r="16055" spans="1:1">
      <c r="A16055" s="1"/>
    </row>
    <row r="16056" spans="1:1">
      <c r="A16056" s="1"/>
    </row>
    <row r="16057" spans="1:1">
      <c r="A16057" s="1"/>
    </row>
    <row r="16058" spans="1:1">
      <c r="A16058" s="1"/>
    </row>
    <row r="16059" spans="1:1">
      <c r="A16059" s="1"/>
    </row>
    <row r="16060" spans="1:1">
      <c r="A16060" s="1"/>
    </row>
    <row r="16061" spans="1:1">
      <c r="A16061" s="1"/>
    </row>
    <row r="16062" spans="1:1">
      <c r="A16062" s="1"/>
    </row>
    <row r="16063" spans="1:1">
      <c r="A16063" s="1"/>
    </row>
    <row r="16064" spans="1:1">
      <c r="A16064" s="1"/>
    </row>
    <row r="16065" spans="1:1">
      <c r="A16065" s="1"/>
    </row>
    <row r="16066" spans="1:1">
      <c r="A16066" s="1"/>
    </row>
    <row r="16067" spans="1:1">
      <c r="A16067" s="1"/>
    </row>
    <row r="16068" spans="1:1">
      <c r="A16068" s="1"/>
    </row>
    <row r="16069" spans="1:1">
      <c r="A16069" s="1"/>
    </row>
    <row r="16070" spans="1:1">
      <c r="A16070" s="1"/>
    </row>
    <row r="16071" spans="1:1">
      <c r="A16071" s="1"/>
    </row>
    <row r="16072" spans="1:1">
      <c r="A16072" s="1"/>
    </row>
    <row r="16073" spans="1:1">
      <c r="A16073" s="1"/>
    </row>
    <row r="16074" spans="1:1">
      <c r="A16074" s="1"/>
    </row>
    <row r="16075" spans="1:1">
      <c r="A16075" s="1"/>
    </row>
    <row r="16076" spans="1:1">
      <c r="A16076" s="1"/>
    </row>
    <row r="16077" spans="1:1">
      <c r="A16077" s="1"/>
    </row>
    <row r="16078" spans="1:1">
      <c r="A16078" s="1"/>
    </row>
    <row r="16079" spans="1:1">
      <c r="A16079" s="1"/>
    </row>
    <row r="16080" spans="1:1">
      <c r="A16080" s="1"/>
    </row>
    <row r="16081" spans="1:1">
      <c r="A16081" s="1"/>
    </row>
    <row r="16082" spans="1:1">
      <c r="A16082" s="1"/>
    </row>
    <row r="16083" spans="1:1">
      <c r="A16083" s="1"/>
    </row>
    <row r="16084" spans="1:1">
      <c r="A16084" s="1"/>
    </row>
    <row r="16085" spans="1:1">
      <c r="A16085" s="1"/>
    </row>
    <row r="16086" spans="1:1">
      <c r="A16086" s="1"/>
    </row>
    <row r="16087" spans="1:1">
      <c r="A16087" s="1"/>
    </row>
    <row r="16088" spans="1:1">
      <c r="A16088" s="1"/>
    </row>
    <row r="16089" spans="1:1">
      <c r="A16089" s="1"/>
    </row>
    <row r="16090" spans="1:1">
      <c r="A16090" s="1"/>
    </row>
    <row r="16091" spans="1:1">
      <c r="A16091" s="1"/>
    </row>
    <row r="16092" spans="1:1">
      <c r="A16092" s="1"/>
    </row>
    <row r="16093" spans="1:1">
      <c r="A16093" s="1"/>
    </row>
    <row r="16094" spans="1:1">
      <c r="A16094" s="1"/>
    </row>
    <row r="16095" spans="1:1">
      <c r="A16095" s="1"/>
    </row>
    <row r="16096" spans="1:1">
      <c r="A16096" s="1"/>
    </row>
    <row r="16097" spans="1:1">
      <c r="A16097" s="1"/>
    </row>
    <row r="16098" spans="1:1">
      <c r="A16098" s="1"/>
    </row>
    <row r="16099" spans="1:1">
      <c r="A16099" s="1"/>
    </row>
    <row r="16100" spans="1:1">
      <c r="A16100" s="1"/>
    </row>
    <row r="16101" spans="1:1">
      <c r="A16101" s="1"/>
    </row>
    <row r="16102" spans="1:1">
      <c r="A16102" s="1"/>
    </row>
    <row r="16103" spans="1:1">
      <c r="A16103" s="1"/>
    </row>
    <row r="16104" spans="1:1">
      <c r="A16104" s="1"/>
    </row>
    <row r="16105" spans="1:1">
      <c r="A16105" s="1"/>
    </row>
    <row r="16106" spans="1:1">
      <c r="A16106" s="1"/>
    </row>
    <row r="16107" spans="1:1">
      <c r="A16107" s="1"/>
    </row>
    <row r="16108" spans="1:1">
      <c r="A16108" s="1"/>
    </row>
    <row r="16109" spans="1:1">
      <c r="A16109" s="1"/>
    </row>
    <row r="16110" spans="1:1">
      <c r="A16110" s="1"/>
    </row>
    <row r="16111" spans="1:1">
      <c r="A16111" s="1"/>
    </row>
    <row r="16112" spans="1:1">
      <c r="A16112" s="1"/>
    </row>
    <row r="16113" spans="1:1">
      <c r="A16113" s="1"/>
    </row>
    <row r="16114" spans="1:1">
      <c r="A16114" s="1"/>
    </row>
    <row r="16115" spans="1:1">
      <c r="A16115" s="1"/>
    </row>
    <row r="16116" spans="1:1">
      <c r="A16116" s="1"/>
    </row>
    <row r="16117" spans="1:1">
      <c r="A16117" s="1"/>
    </row>
    <row r="16118" spans="1:1">
      <c r="A16118" s="1"/>
    </row>
    <row r="16119" spans="1:1">
      <c r="A16119" s="1"/>
    </row>
    <row r="16120" spans="1:1">
      <c r="A16120" s="1"/>
    </row>
    <row r="16121" spans="1:1">
      <c r="A16121" s="1"/>
    </row>
    <row r="16122" spans="1:1">
      <c r="A16122" s="1"/>
    </row>
    <row r="16123" spans="1:1">
      <c r="A16123" s="1"/>
    </row>
    <row r="16124" spans="1:1">
      <c r="A16124" s="1"/>
    </row>
    <row r="16125" spans="1:1">
      <c r="A16125" s="1"/>
    </row>
    <row r="16126" spans="1:1">
      <c r="A16126" s="1"/>
    </row>
    <row r="16127" spans="1:1">
      <c r="A16127" s="1"/>
    </row>
    <row r="16128" spans="1:1">
      <c r="A16128" s="1"/>
    </row>
    <row r="16129" spans="1:1">
      <c r="A16129" s="1"/>
    </row>
    <row r="16130" spans="1:1">
      <c r="A16130" s="1"/>
    </row>
    <row r="16131" spans="1:1">
      <c r="A16131" s="1"/>
    </row>
    <row r="16132" spans="1:1">
      <c r="A16132" s="1"/>
    </row>
    <row r="16133" spans="1:1">
      <c r="A16133" s="1"/>
    </row>
    <row r="16134" spans="1:1">
      <c r="A16134" s="1"/>
    </row>
    <row r="16135" spans="1:1">
      <c r="A16135" s="1"/>
    </row>
    <row r="16136" spans="1:1">
      <c r="A16136" s="1"/>
    </row>
    <row r="16137" spans="1:1">
      <c r="A16137" s="1"/>
    </row>
    <row r="16138" spans="1:1">
      <c r="A16138" s="1"/>
    </row>
    <row r="16139" spans="1:1">
      <c r="A16139" s="1"/>
    </row>
    <row r="16140" spans="1:1">
      <c r="A16140" s="1"/>
    </row>
    <row r="16141" spans="1:1">
      <c r="A16141" s="1"/>
    </row>
    <row r="16142" spans="1:1">
      <c r="A16142" s="1"/>
    </row>
    <row r="16143" spans="1:1">
      <c r="A16143" s="1"/>
    </row>
    <row r="16144" spans="1:1">
      <c r="A16144" s="1"/>
    </row>
    <row r="16145" spans="1:1">
      <c r="A16145" s="1"/>
    </row>
    <row r="16146" spans="1:1">
      <c r="A16146" s="1"/>
    </row>
    <row r="16147" spans="1:1">
      <c r="A16147" s="1"/>
    </row>
    <row r="16148" spans="1:1">
      <c r="A16148" s="1"/>
    </row>
    <row r="16149" spans="1:1">
      <c r="A16149" s="1"/>
    </row>
    <row r="16150" spans="1:1">
      <c r="A16150" s="1"/>
    </row>
    <row r="16151" spans="1:1">
      <c r="A16151" s="1"/>
    </row>
    <row r="16152" spans="1:1">
      <c r="A16152" s="1"/>
    </row>
    <row r="16153" spans="1:1">
      <c r="A16153" s="1"/>
    </row>
    <row r="16154" spans="1:1">
      <c r="A16154" s="1"/>
    </row>
    <row r="16155" spans="1:1">
      <c r="A16155" s="1"/>
    </row>
    <row r="16156" spans="1:1">
      <c r="A16156" s="1"/>
    </row>
    <row r="16157" spans="1:1">
      <c r="A16157" s="1"/>
    </row>
    <row r="16158" spans="1:1">
      <c r="A16158" s="1"/>
    </row>
    <row r="16159" spans="1:1">
      <c r="A16159" s="1"/>
    </row>
    <row r="16160" spans="1:1">
      <c r="A16160" s="1"/>
    </row>
    <row r="16161" spans="1:1">
      <c r="A16161" s="1"/>
    </row>
    <row r="16162" spans="1:1">
      <c r="A16162" s="1"/>
    </row>
    <row r="16163" spans="1:1">
      <c r="A16163" s="1"/>
    </row>
    <row r="16164" spans="1:1">
      <c r="A16164" s="1"/>
    </row>
    <row r="16165" spans="1:1">
      <c r="A16165" s="1"/>
    </row>
    <row r="16166" spans="1:1">
      <c r="A16166" s="1"/>
    </row>
    <row r="16167" spans="1:1">
      <c r="A16167" s="1"/>
    </row>
    <row r="16168" spans="1:1">
      <c r="A16168" s="1"/>
    </row>
    <row r="16169" spans="1:1">
      <c r="A16169" s="1"/>
    </row>
    <row r="16170" spans="1:1">
      <c r="A16170" s="1"/>
    </row>
    <row r="16171" spans="1:1">
      <c r="A16171" s="1"/>
    </row>
    <row r="16172" spans="1:1">
      <c r="A16172" s="1"/>
    </row>
    <row r="16173" spans="1:1">
      <c r="A16173" s="1"/>
    </row>
    <row r="16174" spans="1:1">
      <c r="A16174" s="1"/>
    </row>
    <row r="16175" spans="1:1">
      <c r="A16175" s="1"/>
    </row>
    <row r="16176" spans="1:1">
      <c r="A16176" s="1"/>
    </row>
    <row r="16177" spans="1:1">
      <c r="A16177" s="1"/>
    </row>
    <row r="16178" spans="1:1">
      <c r="A16178" s="1"/>
    </row>
    <row r="16179" spans="1:1">
      <c r="A16179" s="1"/>
    </row>
    <row r="16180" spans="1:1">
      <c r="A16180" s="1"/>
    </row>
    <row r="16181" spans="1:1">
      <c r="A16181" s="1"/>
    </row>
    <row r="16182" spans="1:1">
      <c r="A16182" s="1"/>
    </row>
    <row r="16183" spans="1:1">
      <c r="A16183" s="1"/>
    </row>
    <row r="16184" spans="1:1">
      <c r="A16184" s="1"/>
    </row>
    <row r="16185" spans="1:1">
      <c r="A16185" s="1"/>
    </row>
    <row r="16186" spans="1:1">
      <c r="A16186" s="1"/>
    </row>
    <row r="16187" spans="1:1">
      <c r="A16187" s="1"/>
    </row>
    <row r="16188" spans="1:1">
      <c r="A16188" s="1"/>
    </row>
    <row r="16189" spans="1:1">
      <c r="A16189" s="1"/>
    </row>
    <row r="16190" spans="1:1">
      <c r="A16190" s="1"/>
    </row>
    <row r="16191" spans="1:1">
      <c r="A16191" s="1"/>
    </row>
    <row r="16192" spans="1:1">
      <c r="A16192" s="1"/>
    </row>
    <row r="16193" spans="1:1">
      <c r="A16193" s="1"/>
    </row>
    <row r="16194" spans="1:1">
      <c r="A16194" s="1"/>
    </row>
    <row r="16195" spans="1:1">
      <c r="A16195" s="1"/>
    </row>
    <row r="16196" spans="1:1">
      <c r="A16196" s="1"/>
    </row>
    <row r="16197" spans="1:1">
      <c r="A16197" s="1"/>
    </row>
    <row r="16198" spans="1:1">
      <c r="A16198" s="1"/>
    </row>
    <row r="16199" spans="1:1">
      <c r="A16199" s="1"/>
    </row>
    <row r="16200" spans="1:1">
      <c r="A16200" s="1"/>
    </row>
    <row r="16201" spans="1:1">
      <c r="A16201" s="1"/>
    </row>
    <row r="16202" spans="1:1">
      <c r="A16202" s="1"/>
    </row>
    <row r="16203" spans="1:1">
      <c r="A16203" s="1"/>
    </row>
    <row r="16204" spans="1:1">
      <c r="A16204" s="1"/>
    </row>
    <row r="16205" spans="1:1">
      <c r="A16205" s="1"/>
    </row>
    <row r="16206" spans="1:1">
      <c r="A16206" s="1"/>
    </row>
    <row r="16207" spans="1:1">
      <c r="A16207" s="1"/>
    </row>
    <row r="16208" spans="1:1">
      <c r="A16208" s="1"/>
    </row>
    <row r="16209" spans="1:1">
      <c r="A16209" s="1"/>
    </row>
    <row r="16210" spans="1:1">
      <c r="A16210" s="1"/>
    </row>
    <row r="16211" spans="1:1">
      <c r="A16211" s="1"/>
    </row>
    <row r="16212" spans="1:1">
      <c r="A16212" s="1"/>
    </row>
    <row r="16213" spans="1:1">
      <c r="A16213" s="1"/>
    </row>
    <row r="16214" spans="1:1">
      <c r="A16214" s="1"/>
    </row>
    <row r="16215" spans="1:1">
      <c r="A16215" s="1"/>
    </row>
    <row r="16216" spans="1:1">
      <c r="A16216" s="1"/>
    </row>
    <row r="16217" spans="1:1">
      <c r="A16217" s="1"/>
    </row>
    <row r="16218" spans="1:1">
      <c r="A16218" s="1"/>
    </row>
    <row r="16219" spans="1:1">
      <c r="A16219" s="1"/>
    </row>
    <row r="16220" spans="1:1">
      <c r="A16220" s="1"/>
    </row>
    <row r="16221" spans="1:1">
      <c r="A16221" s="1"/>
    </row>
    <row r="16222" spans="1:1">
      <c r="A16222" s="1"/>
    </row>
    <row r="16223" spans="1:1">
      <c r="A16223" s="1"/>
    </row>
    <row r="16224" spans="1:1">
      <c r="A16224" s="1"/>
    </row>
    <row r="16225" spans="1:1">
      <c r="A16225" s="1"/>
    </row>
    <row r="16226" spans="1:1">
      <c r="A16226" s="1"/>
    </row>
    <row r="16227" spans="1:1">
      <c r="A16227" s="1"/>
    </row>
    <row r="16228" spans="1:1">
      <c r="A16228" s="1"/>
    </row>
    <row r="16229" spans="1:1">
      <c r="A16229" s="1"/>
    </row>
    <row r="16230" spans="1:1">
      <c r="A16230" s="1"/>
    </row>
    <row r="16231" spans="1:1">
      <c r="A16231" s="1"/>
    </row>
    <row r="16232" spans="1:1">
      <c r="A16232" s="1"/>
    </row>
    <row r="16233" spans="1:1">
      <c r="A16233" s="1"/>
    </row>
    <row r="16234" spans="1:1">
      <c r="A16234" s="1"/>
    </row>
    <row r="16235" spans="1:1">
      <c r="A16235" s="1"/>
    </row>
    <row r="16236" spans="1:1">
      <c r="A16236" s="1"/>
    </row>
    <row r="16237" spans="1:1">
      <c r="A16237" s="1"/>
    </row>
    <row r="16238" spans="1:1">
      <c r="A16238" s="1"/>
    </row>
    <row r="16239" spans="1:1">
      <c r="A16239" s="1"/>
    </row>
    <row r="16240" spans="1:1">
      <c r="A16240" s="1"/>
    </row>
    <row r="16241" spans="1:1">
      <c r="A16241" s="1"/>
    </row>
    <row r="16242" spans="1:1">
      <c r="A16242" s="1"/>
    </row>
    <row r="16243" spans="1:1">
      <c r="A16243" s="1"/>
    </row>
    <row r="16244" spans="1:1">
      <c r="A16244" s="1"/>
    </row>
    <row r="16245" spans="1:1">
      <c r="A16245" s="1"/>
    </row>
    <row r="16246" spans="1:1">
      <c r="A16246" s="1"/>
    </row>
    <row r="16247" spans="1:1">
      <c r="A16247" s="1"/>
    </row>
    <row r="16248" spans="1:1">
      <c r="A16248" s="1"/>
    </row>
    <row r="16249" spans="1:1">
      <c r="A16249" s="1"/>
    </row>
    <row r="16250" spans="1:1">
      <c r="A16250" s="1"/>
    </row>
    <row r="16251" spans="1:1">
      <c r="A16251" s="1"/>
    </row>
    <row r="16252" spans="1:1">
      <c r="A16252" s="1"/>
    </row>
    <row r="16253" spans="1:1">
      <c r="A16253" s="1"/>
    </row>
    <row r="16254" spans="1:1">
      <c r="A16254" s="1"/>
    </row>
    <row r="16255" spans="1:1">
      <c r="A16255" s="1"/>
    </row>
    <row r="16256" spans="1:1">
      <c r="A16256" s="1"/>
    </row>
    <row r="16257" spans="1:1">
      <c r="A16257" s="1"/>
    </row>
    <row r="16258" spans="1:1">
      <c r="A16258" s="1"/>
    </row>
    <row r="16259" spans="1:1">
      <c r="A16259" s="1"/>
    </row>
    <row r="16260" spans="1:1">
      <c r="A16260" s="1"/>
    </row>
    <row r="16261" spans="1:1">
      <c r="A16261" s="1"/>
    </row>
    <row r="16262" spans="1:1">
      <c r="A16262" s="1"/>
    </row>
    <row r="16263" spans="1:1">
      <c r="A16263" s="1"/>
    </row>
    <row r="16264" spans="1:1">
      <c r="A16264" s="1"/>
    </row>
    <row r="16265" spans="1:1">
      <c r="A16265" s="1"/>
    </row>
    <row r="16266" spans="1:1">
      <c r="A16266" s="1"/>
    </row>
    <row r="16267" spans="1:1">
      <c r="A16267" s="1"/>
    </row>
    <row r="16268" spans="1:1">
      <c r="A16268" s="1"/>
    </row>
    <row r="16269" spans="1:1">
      <c r="A16269" s="1"/>
    </row>
    <row r="16270" spans="1:1">
      <c r="A16270" s="1"/>
    </row>
    <row r="16271" spans="1:1">
      <c r="A16271" s="1"/>
    </row>
    <row r="16272" spans="1:1">
      <c r="A16272" s="1"/>
    </row>
    <row r="16273" spans="1:1">
      <c r="A16273" s="1"/>
    </row>
    <row r="16274" spans="1:1">
      <c r="A16274" s="1"/>
    </row>
    <row r="16275" spans="1:1">
      <c r="A16275" s="1"/>
    </row>
    <row r="16276" spans="1:1">
      <c r="A16276" s="1"/>
    </row>
    <row r="16277" spans="1:1">
      <c r="A16277" s="1"/>
    </row>
    <row r="16278" spans="1:1">
      <c r="A16278" s="1"/>
    </row>
    <row r="16279" spans="1:1">
      <c r="A16279" s="1"/>
    </row>
    <row r="16280" spans="1:1">
      <c r="A16280" s="1"/>
    </row>
    <row r="16281" spans="1:1">
      <c r="A16281" s="1"/>
    </row>
    <row r="16282" spans="1:1">
      <c r="A16282" s="1"/>
    </row>
    <row r="16283" spans="1:1">
      <c r="A16283" s="1"/>
    </row>
    <row r="16284" spans="1:1">
      <c r="A16284" s="1"/>
    </row>
    <row r="16285" spans="1:1">
      <c r="A16285" s="1"/>
    </row>
    <row r="16286" spans="1:1">
      <c r="A16286" s="1"/>
    </row>
    <row r="16287" spans="1:1">
      <c r="A16287" s="1"/>
    </row>
    <row r="16288" spans="1:1">
      <c r="A16288" s="1"/>
    </row>
    <row r="16289" spans="1:1">
      <c r="A16289" s="1"/>
    </row>
    <row r="16290" spans="1:1">
      <c r="A16290" s="1"/>
    </row>
    <row r="16291" spans="1:1">
      <c r="A16291" s="1"/>
    </row>
    <row r="16292" spans="1:1">
      <c r="A16292" s="1"/>
    </row>
    <row r="16293" spans="1:1">
      <c r="A16293" s="1"/>
    </row>
    <row r="16294" spans="1:1">
      <c r="A16294" s="1"/>
    </row>
    <row r="16295" spans="1:1">
      <c r="A16295" s="1"/>
    </row>
    <row r="16296" spans="1:1">
      <c r="A16296" s="1"/>
    </row>
    <row r="16297" spans="1:1">
      <c r="A16297" s="1"/>
    </row>
    <row r="16298" spans="1:1">
      <c r="A16298" s="1"/>
    </row>
    <row r="16299" spans="1:1">
      <c r="A16299" s="1"/>
    </row>
    <row r="16300" spans="1:1">
      <c r="A16300" s="1"/>
    </row>
    <row r="16301" spans="1:1">
      <c r="A16301" s="1"/>
    </row>
    <row r="16302" spans="1:1">
      <c r="A16302" s="1"/>
    </row>
    <row r="16303" spans="1:1">
      <c r="A16303" s="1"/>
    </row>
    <row r="16304" spans="1:1">
      <c r="A16304" s="1"/>
    </row>
    <row r="16305" spans="1:1">
      <c r="A16305" s="1"/>
    </row>
    <row r="16306" spans="1:1">
      <c r="A16306" s="1"/>
    </row>
    <row r="16307" spans="1:1">
      <c r="A16307" s="1"/>
    </row>
    <row r="16308" spans="1:1">
      <c r="A16308" s="1"/>
    </row>
    <row r="16309" spans="1:1">
      <c r="A16309" s="1"/>
    </row>
    <row r="16310" spans="1:1">
      <c r="A16310" s="1"/>
    </row>
    <row r="16311" spans="1:1">
      <c r="A16311" s="1"/>
    </row>
    <row r="16312" spans="1:1">
      <c r="A16312" s="1"/>
    </row>
    <row r="16313" spans="1:1">
      <c r="A16313" s="1"/>
    </row>
    <row r="16314" spans="1:1">
      <c r="A16314" s="1"/>
    </row>
    <row r="16315" spans="1:1">
      <c r="A16315" s="1"/>
    </row>
    <row r="16316" spans="1:1">
      <c r="A16316" s="1"/>
    </row>
    <row r="16317" spans="1:1">
      <c r="A16317" s="1"/>
    </row>
    <row r="16318" spans="1:1">
      <c r="A16318" s="1"/>
    </row>
    <row r="16319" spans="1:1">
      <c r="A16319" s="1"/>
    </row>
    <row r="16320" spans="1:1">
      <c r="A16320" s="1"/>
    </row>
    <row r="16321" spans="1:1">
      <c r="A16321" s="1"/>
    </row>
    <row r="16322" spans="1:1">
      <c r="A16322" s="1"/>
    </row>
    <row r="16323" spans="1:1">
      <c r="A16323" s="1"/>
    </row>
    <row r="16324" spans="1:1">
      <c r="A16324" s="1"/>
    </row>
    <row r="16325" spans="1:1">
      <c r="A16325" s="1"/>
    </row>
    <row r="16326" spans="1:1">
      <c r="A16326" s="1"/>
    </row>
    <row r="16327" spans="1:1">
      <c r="A16327" s="1"/>
    </row>
    <row r="16328" spans="1:1">
      <c r="A16328" s="1"/>
    </row>
    <row r="16329" spans="1:1">
      <c r="A16329" s="1"/>
    </row>
    <row r="16330" spans="1:1">
      <c r="A16330" s="1"/>
    </row>
    <row r="16331" spans="1:1">
      <c r="A16331" s="1"/>
    </row>
    <row r="16332" spans="1:1">
      <c r="A16332" s="1"/>
    </row>
    <row r="16333" spans="1:1">
      <c r="A16333" s="1"/>
    </row>
    <row r="16334" spans="1:1">
      <c r="A16334" s="1"/>
    </row>
    <row r="16335" spans="1:1">
      <c r="A16335" s="1"/>
    </row>
    <row r="16336" spans="1:1">
      <c r="A16336" s="1"/>
    </row>
    <row r="16337" spans="1:1">
      <c r="A16337" s="1"/>
    </row>
    <row r="16338" spans="1:1">
      <c r="A16338" s="1"/>
    </row>
    <row r="16339" spans="1:1">
      <c r="A16339" s="1"/>
    </row>
    <row r="16340" spans="1:1">
      <c r="A16340" s="1"/>
    </row>
    <row r="16341" spans="1:1">
      <c r="A16341" s="1"/>
    </row>
    <row r="16342" spans="1:1">
      <c r="A16342" s="1"/>
    </row>
    <row r="16343" spans="1:1">
      <c r="A16343" s="1"/>
    </row>
    <row r="16344" spans="1:1">
      <c r="A16344" s="1"/>
    </row>
    <row r="16345" spans="1:1">
      <c r="A16345" s="1"/>
    </row>
    <row r="16346" spans="1:1">
      <c r="A16346" s="1"/>
    </row>
    <row r="16347" spans="1:1">
      <c r="A16347" s="1"/>
    </row>
    <row r="16348" spans="1:1">
      <c r="A16348" s="1"/>
    </row>
    <row r="16349" spans="1:1">
      <c r="A16349" s="1"/>
    </row>
    <row r="16350" spans="1:1">
      <c r="A16350" s="1"/>
    </row>
    <row r="16351" spans="1:1">
      <c r="A16351" s="1"/>
    </row>
    <row r="16352" spans="1:1">
      <c r="A16352" s="1"/>
    </row>
    <row r="16353" spans="1:1">
      <c r="A16353" s="1"/>
    </row>
    <row r="16354" spans="1:1">
      <c r="A16354" s="1"/>
    </row>
    <row r="16355" spans="1:1">
      <c r="A16355" s="1"/>
    </row>
    <row r="16356" spans="1:1">
      <c r="A16356" s="1"/>
    </row>
    <row r="16357" spans="1:1">
      <c r="A16357" s="1"/>
    </row>
    <row r="16358" spans="1:1">
      <c r="A16358" s="1"/>
    </row>
    <row r="16359" spans="1:1">
      <c r="A16359" s="1"/>
    </row>
    <row r="16360" spans="1:1">
      <c r="A16360" s="1"/>
    </row>
    <row r="16361" spans="1:1">
      <c r="A16361" s="1"/>
    </row>
    <row r="16362" spans="1:1">
      <c r="A16362" s="1"/>
    </row>
    <row r="16363" spans="1:1">
      <c r="A16363" s="1"/>
    </row>
    <row r="16364" spans="1:1">
      <c r="A16364" s="1"/>
    </row>
    <row r="16365" spans="1:1">
      <c r="A16365" s="1"/>
    </row>
    <row r="16366" spans="1:1">
      <c r="A16366" s="1"/>
    </row>
    <row r="16367" spans="1:1">
      <c r="A16367" s="1"/>
    </row>
    <row r="16368" spans="1:1">
      <c r="A16368" s="1"/>
    </row>
    <row r="16369" spans="1:1">
      <c r="A16369" s="1"/>
    </row>
    <row r="16370" spans="1:1">
      <c r="A16370" s="1"/>
    </row>
    <row r="16371" spans="1:1">
      <c r="A16371" s="1"/>
    </row>
    <row r="16372" spans="1:1">
      <c r="A16372" s="1"/>
    </row>
    <row r="16373" spans="1:1">
      <c r="A16373" s="1"/>
    </row>
    <row r="16374" spans="1:1">
      <c r="A16374" s="1"/>
    </row>
    <row r="16375" spans="1:1">
      <c r="A16375" s="1"/>
    </row>
    <row r="16376" spans="1:1">
      <c r="A16376" s="1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16384" spans="1:1">
      <c r="A16384" s="1"/>
    </row>
    <row r="16385" spans="1:2">
      <c r="A16385" s="1"/>
    </row>
    <row r="16386" spans="1:2">
      <c r="B16386">
        <v>200</v>
      </c>
    </row>
    <row r="16387" spans="1:2">
      <c r="B16387">
        <v>200</v>
      </c>
    </row>
    <row r="16388" spans="1:2">
      <c r="B16388">
        <v>800</v>
      </c>
    </row>
    <row r="16389" spans="1:2">
      <c r="B16389">
        <v>200</v>
      </c>
    </row>
    <row r="16390" spans="1:2">
      <c r="B16390">
        <v>1044</v>
      </c>
    </row>
    <row r="16391" spans="1:2">
      <c r="B16391">
        <v>998.40000000000009</v>
      </c>
    </row>
    <row r="16392" spans="1:2">
      <c r="B16392">
        <v>272</v>
      </c>
    </row>
    <row r="16393" spans="1:2">
      <c r="B16393">
        <v>200</v>
      </c>
    </row>
    <row r="16394" spans="1:2">
      <c r="B16394">
        <v>214</v>
      </c>
    </row>
    <row r="16395" spans="1:2">
      <c r="B16395">
        <v>200</v>
      </c>
    </row>
    <row r="16396" spans="1:2">
      <c r="B16396">
        <v>152</v>
      </c>
    </row>
    <row r="16397" spans="1:2">
      <c r="B16397">
        <v>200</v>
      </c>
    </row>
    <row r="16398" spans="1:2">
      <c r="B16398">
        <v>300</v>
      </c>
    </row>
    <row r="16399" spans="1:2">
      <c r="B16399">
        <v>104</v>
      </c>
    </row>
    <row r="16400" spans="1:2">
      <c r="B16400">
        <v>162</v>
      </c>
    </row>
    <row r="16401" spans="2:2">
      <c r="B16401">
        <v>200</v>
      </c>
    </row>
    <row r="16402" spans="2:2">
      <c r="B16402">
        <v>200</v>
      </c>
    </row>
    <row r="16403" spans="2:2">
      <c r="B16403">
        <v>200</v>
      </c>
    </row>
    <row r="16404" spans="2:2">
      <c r="B16404">
        <v>200</v>
      </c>
    </row>
    <row r="16405" spans="2:2">
      <c r="B16405">
        <v>200</v>
      </c>
    </row>
    <row r="16406" spans="2:2">
      <c r="B16406">
        <v>200</v>
      </c>
    </row>
    <row r="16407" spans="2:2">
      <c r="B16407">
        <v>200</v>
      </c>
    </row>
    <row r="16408" spans="2:2">
      <c r="B16408">
        <v>200</v>
      </c>
    </row>
    <row r="16409" spans="2:2">
      <c r="B16409">
        <v>800</v>
      </c>
    </row>
    <row r="16410" spans="2:2">
      <c r="B16410">
        <v>300</v>
      </c>
    </row>
    <row r="16411" spans="2:2">
      <c r="B16411">
        <v>778</v>
      </c>
    </row>
    <row r="16412" spans="2:2">
      <c r="B16412">
        <v>614</v>
      </c>
    </row>
    <row r="16413" spans="2:2">
      <c r="B16413">
        <v>444</v>
      </c>
    </row>
    <row r="16414" spans="2:2">
      <c r="B16414">
        <v>800</v>
      </c>
    </row>
    <row r="16415" spans="2:2">
      <c r="B16415">
        <v>200</v>
      </c>
    </row>
    <row r="16416" spans="2:2">
      <c r="B16416">
        <v>780</v>
      </c>
    </row>
    <row r="16417" spans="2:146">
      <c r="B16417">
        <v>174</v>
      </c>
    </row>
    <row r="16418" spans="2:146">
      <c r="B16418">
        <v>194</v>
      </c>
    </row>
    <row r="16419" spans="2:146">
      <c r="B16419">
        <v>782</v>
      </c>
    </row>
    <row r="16420" spans="2:146">
      <c r="B16420">
        <v>236</v>
      </c>
    </row>
    <row r="16421" spans="2:146">
      <c r="B16421">
        <v>144</v>
      </c>
    </row>
    <row r="16422" spans="2:146">
      <c r="B16422">
        <v>200</v>
      </c>
    </row>
    <row r="16423" spans="2:146">
      <c r="B16423">
        <v>240</v>
      </c>
    </row>
    <row r="16424" spans="2:146">
      <c r="B16424">
        <v>200</v>
      </c>
    </row>
    <row r="16425" spans="2:146">
      <c r="B16425">
        <v>612</v>
      </c>
    </row>
    <row r="16426" spans="2:146">
      <c r="B16426">
        <v>156</v>
      </c>
    </row>
    <row r="16427" spans="2:146">
      <c r="B16427">
        <v>116</v>
      </c>
    </row>
    <row r="16428" spans="2:146">
      <c r="B16428">
        <v>160</v>
      </c>
    </row>
    <row r="16429" spans="2:146">
      <c r="B16429">
        <v>80</v>
      </c>
      <c r="EL16429">
        <v>0.66</v>
      </c>
      <c r="EM16429">
        <v>0.66</v>
      </c>
      <c r="EN16429">
        <v>0.66</v>
      </c>
      <c r="EO16429">
        <v>0.66</v>
      </c>
      <c r="EP16429">
        <v>0.66</v>
      </c>
    </row>
    <row r="16430" spans="2:146">
      <c r="B16430">
        <v>1144</v>
      </c>
      <c r="BV16430">
        <v>5.0999999999999996</v>
      </c>
      <c r="BW16430">
        <v>5.0999999999999996</v>
      </c>
      <c r="DB16430">
        <v>10.210000000000001</v>
      </c>
      <c r="DC16430">
        <v>10.210000000000001</v>
      </c>
      <c r="DD16430">
        <v>10.210000000000001</v>
      </c>
      <c r="DE16430">
        <v>10.210000000000001</v>
      </c>
      <c r="DF16430">
        <v>10.210000000000001</v>
      </c>
      <c r="DG16430">
        <v>10.210000000000001</v>
      </c>
      <c r="DH16430">
        <v>10.210000000000001</v>
      </c>
    </row>
    <row r="16431" spans="2:146">
      <c r="B16431">
        <v>1240</v>
      </c>
      <c r="EE16431">
        <v>8.15</v>
      </c>
      <c r="EF16431">
        <v>8.15</v>
      </c>
      <c r="EG16431">
        <v>8.15</v>
      </c>
      <c r="EH16431">
        <v>8.15</v>
      </c>
      <c r="EI16431">
        <v>8.15</v>
      </c>
      <c r="EJ16431">
        <v>8.15</v>
      </c>
      <c r="EK16431">
        <v>8.15</v>
      </c>
    </row>
    <row r="16432" spans="2:146">
      <c r="B16432">
        <v>2083.2000000000003</v>
      </c>
      <c r="DI16432">
        <v>20.03</v>
      </c>
      <c r="DJ16432">
        <v>20.03</v>
      </c>
      <c r="DQ16432">
        <v>20.03</v>
      </c>
      <c r="DT16432">
        <v>20.03</v>
      </c>
      <c r="DW16432">
        <v>20.03</v>
      </c>
    </row>
    <row r="16433" spans="2:134">
      <c r="B16433">
        <v>357.20000000000005</v>
      </c>
      <c r="DI16433">
        <v>3.88</v>
      </c>
      <c r="DJ16433">
        <v>3.88</v>
      </c>
      <c r="DV16433">
        <v>3.88</v>
      </c>
      <c r="DW16433">
        <v>3.88</v>
      </c>
    </row>
    <row r="16434" spans="2:134">
      <c r="B16434">
        <v>391.20000000000005</v>
      </c>
      <c r="DI16434">
        <v>3.62</v>
      </c>
      <c r="DJ16434">
        <v>3.62</v>
      </c>
      <c r="DR16434">
        <v>3.62</v>
      </c>
      <c r="DU16434">
        <v>3.62</v>
      </c>
      <c r="DV16434">
        <v>3.62</v>
      </c>
    </row>
    <row r="16435" spans="2:134">
      <c r="B16435">
        <v>762.80000000000007</v>
      </c>
      <c r="DI16435">
        <v>6.15</v>
      </c>
      <c r="DJ16435">
        <v>6.15</v>
      </c>
      <c r="DQ16435">
        <v>6.15</v>
      </c>
      <c r="DR16435">
        <v>6.15</v>
      </c>
      <c r="DS16435">
        <v>6.15</v>
      </c>
      <c r="DT16435">
        <v>6.15</v>
      </c>
    </row>
    <row r="16436" spans="2:134">
      <c r="B16436">
        <v>1280</v>
      </c>
      <c r="DI16436">
        <v>10.66</v>
      </c>
      <c r="DJ16436">
        <v>10.66</v>
      </c>
      <c r="DK16436">
        <v>10.66</v>
      </c>
      <c r="DL16436">
        <v>10.66</v>
      </c>
      <c r="DM16436">
        <v>10.66</v>
      </c>
      <c r="DN16436">
        <v>10.66</v>
      </c>
    </row>
    <row r="16437" spans="2:134">
      <c r="B16437">
        <v>234</v>
      </c>
      <c r="CT16437">
        <v>2.5</v>
      </c>
      <c r="CU16437">
        <v>2.5</v>
      </c>
      <c r="CV16437">
        <v>2.5</v>
      </c>
    </row>
    <row r="16438" spans="2:134">
      <c r="B16438">
        <v>354</v>
      </c>
      <c r="CY16438">
        <v>3.98</v>
      </c>
      <c r="CZ16438">
        <v>3.98</v>
      </c>
      <c r="DA16438">
        <v>3.98</v>
      </c>
    </row>
    <row r="16439" spans="2:134">
      <c r="B16439">
        <v>392</v>
      </c>
      <c r="DI16439">
        <v>3.52</v>
      </c>
      <c r="DJ16439">
        <v>3.52</v>
      </c>
      <c r="DL16439">
        <v>3.52</v>
      </c>
      <c r="DO16439">
        <v>3.52</v>
      </c>
    </row>
    <row r="16440" spans="2:134">
      <c r="B16440">
        <v>304</v>
      </c>
      <c r="CE16440">
        <v>3.8</v>
      </c>
      <c r="CF16440">
        <v>3.8</v>
      </c>
    </row>
    <row r="16441" spans="2:134">
      <c r="B16441">
        <v>144</v>
      </c>
      <c r="DZ16441">
        <v>1.62</v>
      </c>
      <c r="EA16441">
        <v>1.62</v>
      </c>
      <c r="EB16441">
        <v>1.62</v>
      </c>
      <c r="EC16441">
        <v>0.81</v>
      </c>
      <c r="ED16441">
        <v>0.81</v>
      </c>
    </row>
    <row r="16442" spans="2:134">
      <c r="B16442">
        <v>602.40000000000009</v>
      </c>
      <c r="BY16442">
        <v>6.02</v>
      </c>
      <c r="BZ16442">
        <v>6.02</v>
      </c>
      <c r="CB16442">
        <v>3.01</v>
      </c>
      <c r="CC16442">
        <v>3.01</v>
      </c>
      <c r="CD16442">
        <v>3.01</v>
      </c>
      <c r="CI16442">
        <v>6.02</v>
      </c>
      <c r="CJ16442">
        <v>6.02</v>
      </c>
      <c r="CK16442">
        <v>6.02</v>
      </c>
    </row>
    <row r="16443" spans="2:134">
      <c r="B16443">
        <v>307.60000000000002</v>
      </c>
      <c r="BY16443">
        <v>3.34</v>
      </c>
      <c r="BZ16443">
        <v>3.34</v>
      </c>
      <c r="CG16443">
        <v>3.34</v>
      </c>
      <c r="CH16443">
        <v>3.34</v>
      </c>
    </row>
    <row r="16444" spans="2:134">
      <c r="B16444">
        <v>358</v>
      </c>
      <c r="BY16444">
        <v>2.37</v>
      </c>
      <c r="BZ16444">
        <v>2.37</v>
      </c>
      <c r="CA16444">
        <v>2.37</v>
      </c>
      <c r="DX16444">
        <v>4.74</v>
      </c>
      <c r="DY16444">
        <v>4.74</v>
      </c>
    </row>
    <row r="16445" spans="2:134">
      <c r="B16445">
        <v>286</v>
      </c>
      <c r="BT16445">
        <v>1.43</v>
      </c>
      <c r="BV16445">
        <v>1.43</v>
      </c>
      <c r="BW16445">
        <v>1.43</v>
      </c>
      <c r="BX16445">
        <v>1.43</v>
      </c>
      <c r="CO16445">
        <v>2.86</v>
      </c>
      <c r="CP16445">
        <v>2.86</v>
      </c>
      <c r="CQ16445">
        <v>2.86</v>
      </c>
      <c r="CR16445">
        <v>2.86</v>
      </c>
      <c r="CS16445">
        <v>2.86</v>
      </c>
    </row>
    <row r="16446" spans="2:134">
      <c r="B16446">
        <v>410</v>
      </c>
      <c r="BY16446">
        <v>2.88</v>
      </c>
      <c r="BZ16446">
        <v>2.88</v>
      </c>
      <c r="CA16446">
        <v>2.88</v>
      </c>
      <c r="CW16446">
        <v>5.76</v>
      </c>
      <c r="CX16446">
        <v>5.76</v>
      </c>
    </row>
    <row r="16447" spans="2:134">
      <c r="B16447">
        <v>346</v>
      </c>
      <c r="BR16447">
        <v>3.6</v>
      </c>
      <c r="BS16447">
        <v>3.6</v>
      </c>
      <c r="BT16447">
        <v>1.8</v>
      </c>
      <c r="CL16447">
        <v>3.6</v>
      </c>
      <c r="CM16447">
        <v>3.6</v>
      </c>
      <c r="CN16447">
        <v>3.6</v>
      </c>
    </row>
    <row r="16448" spans="2:134">
      <c r="B16448">
        <v>302</v>
      </c>
      <c r="BR16448">
        <v>3.28</v>
      </c>
      <c r="BS16448">
        <v>3.28</v>
      </c>
      <c r="BT16448">
        <v>1.64</v>
      </c>
      <c r="BU16448">
        <v>1.64</v>
      </c>
      <c r="CL16448">
        <v>3.28</v>
      </c>
      <c r="CM16448">
        <v>3.28</v>
      </c>
      <c r="CN16448">
        <v>3.28</v>
      </c>
    </row>
    <row r="16449" spans="2:146">
      <c r="B16449">
        <v>204</v>
      </c>
      <c r="BR16449">
        <v>2.12</v>
      </c>
      <c r="BS16449">
        <v>2.12</v>
      </c>
      <c r="BT16449">
        <v>1.06</v>
      </c>
      <c r="CL16449">
        <v>2.12</v>
      </c>
      <c r="CM16449">
        <v>2.12</v>
      </c>
      <c r="CN16449">
        <v>2.12</v>
      </c>
    </row>
    <row r="16451" spans="2:146">
      <c r="B16451">
        <v>26358.800000000003</v>
      </c>
      <c r="BQ16451">
        <v>0</v>
      </c>
      <c r="BR16451">
        <v>9</v>
      </c>
      <c r="BS16451">
        <v>9</v>
      </c>
      <c r="BT16451">
        <v>5.93</v>
      </c>
      <c r="BU16451">
        <v>1.64</v>
      </c>
      <c r="BV16451">
        <v>6.5299999999999994</v>
      </c>
      <c r="BW16451">
        <v>6.5299999999999994</v>
      </c>
      <c r="BX16451">
        <v>1.43</v>
      </c>
      <c r="BY16451">
        <v>14.61</v>
      </c>
      <c r="BZ16451">
        <v>14.61</v>
      </c>
      <c r="CA16451">
        <v>5.25</v>
      </c>
      <c r="CB16451">
        <v>3.01</v>
      </c>
      <c r="CC16451">
        <v>3.01</v>
      </c>
      <c r="CD16451">
        <v>3.01</v>
      </c>
      <c r="CE16451">
        <v>3.8</v>
      </c>
      <c r="CF16451">
        <v>3.8</v>
      </c>
      <c r="CG16451">
        <v>3.34</v>
      </c>
      <c r="CH16451">
        <v>3.34</v>
      </c>
      <c r="CI16451">
        <v>6.02</v>
      </c>
      <c r="CJ16451">
        <v>6.02</v>
      </c>
      <c r="CK16451">
        <v>6.02</v>
      </c>
      <c r="CL16451">
        <v>9</v>
      </c>
      <c r="CM16451">
        <v>9</v>
      </c>
      <c r="CN16451">
        <v>9</v>
      </c>
      <c r="CO16451">
        <v>2.86</v>
      </c>
      <c r="CP16451">
        <v>2.86</v>
      </c>
      <c r="CQ16451">
        <v>2.86</v>
      </c>
      <c r="CR16451">
        <v>2.86</v>
      </c>
      <c r="CS16451">
        <v>2.86</v>
      </c>
      <c r="CT16451">
        <v>2.5</v>
      </c>
      <c r="CU16451">
        <v>2.5</v>
      </c>
      <c r="CV16451">
        <v>2.5</v>
      </c>
      <c r="CW16451">
        <v>5.76</v>
      </c>
      <c r="CX16451">
        <v>5.76</v>
      </c>
      <c r="CY16451">
        <v>3.98</v>
      </c>
      <c r="CZ16451">
        <v>3.98</v>
      </c>
      <c r="DA16451">
        <v>3.98</v>
      </c>
      <c r="DB16451">
        <v>10.210000000000001</v>
      </c>
      <c r="DC16451">
        <v>10.210000000000001</v>
      </c>
      <c r="DD16451">
        <v>10.210000000000001</v>
      </c>
      <c r="DE16451">
        <v>10.210000000000001</v>
      </c>
      <c r="DF16451">
        <v>10.210000000000001</v>
      </c>
      <c r="DG16451">
        <v>10.210000000000001</v>
      </c>
      <c r="DH16451">
        <v>10.210000000000001</v>
      </c>
      <c r="DI16451">
        <v>47.860000000000007</v>
      </c>
      <c r="DJ16451">
        <v>47.860000000000007</v>
      </c>
      <c r="DK16451">
        <v>10.66</v>
      </c>
      <c r="DL16451">
        <v>14.18</v>
      </c>
      <c r="DM16451">
        <v>10.66</v>
      </c>
      <c r="DN16451">
        <v>10.66</v>
      </c>
      <c r="DO16451">
        <v>3.52</v>
      </c>
      <c r="DP16451">
        <v>0</v>
      </c>
      <c r="DQ16451">
        <v>26.18</v>
      </c>
      <c r="DR16451">
        <v>9.77</v>
      </c>
      <c r="DS16451">
        <v>6.15</v>
      </c>
      <c r="DT16451">
        <v>26.18</v>
      </c>
      <c r="DU16451">
        <v>3.62</v>
      </c>
      <c r="DV16451">
        <v>7.5</v>
      </c>
      <c r="DW16451">
        <v>23.91</v>
      </c>
      <c r="DX16451">
        <v>4.74</v>
      </c>
      <c r="DY16451">
        <v>4.74</v>
      </c>
      <c r="DZ16451">
        <v>1.62</v>
      </c>
      <c r="EA16451">
        <v>1.62</v>
      </c>
      <c r="EB16451">
        <v>1.62</v>
      </c>
      <c r="EC16451">
        <v>0.81</v>
      </c>
      <c r="ED16451">
        <v>0.81</v>
      </c>
      <c r="EE16451">
        <v>8.15</v>
      </c>
      <c r="EF16451">
        <v>8.15</v>
      </c>
      <c r="EG16451">
        <v>8.15</v>
      </c>
      <c r="EH16451">
        <v>8.15</v>
      </c>
      <c r="EI16451">
        <v>8.15</v>
      </c>
      <c r="EJ16451">
        <v>8.15</v>
      </c>
      <c r="EK16451">
        <v>8.15</v>
      </c>
      <c r="EL16451">
        <v>0.66</v>
      </c>
      <c r="EM16451">
        <v>0.66</v>
      </c>
      <c r="EN16451">
        <v>0.66</v>
      </c>
      <c r="EO16451">
        <v>0.66</v>
      </c>
      <c r="EP16451">
        <v>0.66</v>
      </c>
    </row>
    <row r="16452" spans="2:146">
      <c r="B16452" t="s">
        <v>265</v>
      </c>
      <c r="BQ16452" t="s">
        <v>345</v>
      </c>
      <c r="BR16452" t="s">
        <v>131</v>
      </c>
      <c r="BS16452" t="s">
        <v>131</v>
      </c>
      <c r="BT16452" t="s">
        <v>357</v>
      </c>
      <c r="BU16452" t="s">
        <v>131</v>
      </c>
      <c r="BV16452" t="s">
        <v>360</v>
      </c>
      <c r="BW16452" t="s">
        <v>360</v>
      </c>
      <c r="BX16452" t="s">
        <v>360</v>
      </c>
      <c r="BY16452" t="s">
        <v>364</v>
      </c>
      <c r="BZ16452" t="s">
        <v>364</v>
      </c>
      <c r="CA16452" t="s">
        <v>364</v>
      </c>
      <c r="CB16452" t="s">
        <v>368</v>
      </c>
      <c r="CC16452" t="s">
        <v>368</v>
      </c>
      <c r="CD16452" t="s">
        <v>368</v>
      </c>
      <c r="CE16452" t="s">
        <v>352</v>
      </c>
      <c r="CF16452" t="s">
        <v>352</v>
      </c>
      <c r="CG16452" t="s">
        <v>372</v>
      </c>
      <c r="CH16452" t="s">
        <v>372</v>
      </c>
      <c r="CI16452" t="s">
        <v>375</v>
      </c>
      <c r="CJ16452" t="s">
        <v>375</v>
      </c>
      <c r="CK16452" t="s">
        <v>375</v>
      </c>
      <c r="CL16452" t="s">
        <v>379</v>
      </c>
      <c r="CM16452" t="s">
        <v>379</v>
      </c>
      <c r="CN16452" t="s">
        <v>379</v>
      </c>
      <c r="CO16452" t="s">
        <v>383</v>
      </c>
      <c r="CP16452" t="s">
        <v>383</v>
      </c>
      <c r="CQ16452" t="s">
        <v>383</v>
      </c>
      <c r="CR16452" t="s">
        <v>383</v>
      </c>
      <c r="CS16452" t="s">
        <v>383</v>
      </c>
      <c r="CT16452" t="s">
        <v>389</v>
      </c>
      <c r="CU16452" t="s">
        <v>389</v>
      </c>
      <c r="CV16452" t="s">
        <v>389</v>
      </c>
      <c r="CW16452" t="s">
        <v>393</v>
      </c>
      <c r="CX16452" t="s">
        <v>393</v>
      </c>
      <c r="CY16452" t="s">
        <v>396</v>
      </c>
      <c r="CZ16452" t="s">
        <v>396</v>
      </c>
      <c r="DA16452" t="s">
        <v>396</v>
      </c>
      <c r="DB16452" t="s">
        <v>400</v>
      </c>
      <c r="DC16452" t="s">
        <v>400</v>
      </c>
      <c r="DD16452" t="s">
        <v>400</v>
      </c>
      <c r="DE16452" t="s">
        <v>400</v>
      </c>
      <c r="DF16452" t="s">
        <v>400</v>
      </c>
      <c r="DG16452" t="s">
        <v>400</v>
      </c>
      <c r="DH16452" t="s">
        <v>400</v>
      </c>
      <c r="DI16452" t="s">
        <v>121</v>
      </c>
      <c r="DJ16452" t="s">
        <v>121</v>
      </c>
      <c r="DK16452" t="s">
        <v>121</v>
      </c>
      <c r="DL16452" t="s">
        <v>121</v>
      </c>
      <c r="DM16452" t="s">
        <v>121</v>
      </c>
      <c r="DN16452" t="s">
        <v>121</v>
      </c>
      <c r="DO16452" t="s">
        <v>121</v>
      </c>
      <c r="DP16452" t="s">
        <v>121</v>
      </c>
      <c r="DQ16452" t="s">
        <v>121</v>
      </c>
      <c r="DR16452" t="s">
        <v>121</v>
      </c>
      <c r="DS16452" t="s">
        <v>121</v>
      </c>
      <c r="DT16452" t="s">
        <v>121</v>
      </c>
      <c r="DU16452" t="s">
        <v>121</v>
      </c>
      <c r="DV16452" t="s">
        <v>121</v>
      </c>
      <c r="DW16452" t="s">
        <v>121</v>
      </c>
      <c r="DX16452" t="s">
        <v>423</v>
      </c>
      <c r="DY16452" t="s">
        <v>423</v>
      </c>
      <c r="DZ16452" t="s">
        <v>426</v>
      </c>
      <c r="EA16452" t="s">
        <v>426</v>
      </c>
      <c r="EB16452" t="s">
        <v>426</v>
      </c>
      <c r="EC16452" t="s">
        <v>426</v>
      </c>
      <c r="ED16452" t="s">
        <v>426</v>
      </c>
      <c r="EE16452" t="s">
        <v>432</v>
      </c>
      <c r="EF16452" t="s">
        <v>432</v>
      </c>
      <c r="EG16452" t="s">
        <v>432</v>
      </c>
      <c r="EH16452" t="s">
        <v>432</v>
      </c>
      <c r="EI16452" t="s">
        <v>432</v>
      </c>
      <c r="EJ16452" t="s">
        <v>432</v>
      </c>
      <c r="EK16452" t="s">
        <v>432</v>
      </c>
      <c r="EL16452" t="s">
        <v>440</v>
      </c>
      <c r="EM16452" t="s">
        <v>440</v>
      </c>
      <c r="EN16452" t="s">
        <v>440</v>
      </c>
      <c r="EO16452" t="s">
        <v>440</v>
      </c>
      <c r="EP16452" t="s">
        <v>440</v>
      </c>
    </row>
    <row r="16453" spans="2:146">
      <c r="BQ16453" t="s">
        <v>351</v>
      </c>
      <c r="BR16453" t="s">
        <v>355</v>
      </c>
      <c r="BS16453" t="s">
        <v>356</v>
      </c>
      <c r="BT16453" t="s">
        <v>358</v>
      </c>
      <c r="BU16453" t="s">
        <v>359</v>
      </c>
      <c r="BV16453" t="s">
        <v>361</v>
      </c>
      <c r="BW16453" t="s">
        <v>362</v>
      </c>
      <c r="BX16453" t="s">
        <v>363</v>
      </c>
      <c r="BY16453" t="s">
        <v>365</v>
      </c>
      <c r="BZ16453" t="s">
        <v>366</v>
      </c>
      <c r="CA16453" t="s">
        <v>367</v>
      </c>
      <c r="CB16453" t="s">
        <v>369</v>
      </c>
      <c r="CC16453" t="s">
        <v>370</v>
      </c>
      <c r="CD16453" t="s">
        <v>371</v>
      </c>
      <c r="CE16453" t="s">
        <v>353</v>
      </c>
      <c r="CF16453" t="s">
        <v>354</v>
      </c>
      <c r="CG16453" t="s">
        <v>373</v>
      </c>
      <c r="CH16453" t="s">
        <v>374</v>
      </c>
      <c r="CI16453" t="s">
        <v>376</v>
      </c>
      <c r="CJ16453" t="s">
        <v>377</v>
      </c>
      <c r="CK16453" t="s">
        <v>378</v>
      </c>
      <c r="CL16453" t="s">
        <v>380</v>
      </c>
      <c r="CM16453" t="s">
        <v>381</v>
      </c>
      <c r="CN16453" t="s">
        <v>382</v>
      </c>
      <c r="CO16453" t="s">
        <v>384</v>
      </c>
      <c r="CP16453" t="s">
        <v>385</v>
      </c>
      <c r="CQ16453" t="s">
        <v>386</v>
      </c>
      <c r="CR16453" t="s">
        <v>387</v>
      </c>
      <c r="CS16453" t="s">
        <v>388</v>
      </c>
      <c r="CT16453" t="s">
        <v>390</v>
      </c>
      <c r="CU16453" t="s">
        <v>391</v>
      </c>
      <c r="CV16453" t="s">
        <v>392</v>
      </c>
      <c r="CW16453" t="s">
        <v>394</v>
      </c>
      <c r="CX16453" t="s">
        <v>395</v>
      </c>
      <c r="CY16453" t="s">
        <v>397</v>
      </c>
      <c r="CZ16453" t="s">
        <v>398</v>
      </c>
      <c r="DA16453" t="s">
        <v>399</v>
      </c>
      <c r="DB16453" t="s">
        <v>401</v>
      </c>
      <c r="DC16453" t="s">
        <v>402</v>
      </c>
      <c r="DD16453" t="s">
        <v>403</v>
      </c>
      <c r="DE16453" t="s">
        <v>404</v>
      </c>
      <c r="DF16453" t="s">
        <v>405</v>
      </c>
      <c r="DG16453" t="s">
        <v>406</v>
      </c>
      <c r="DH16453" t="s">
        <v>407</v>
      </c>
      <c r="DI16453" t="s">
        <v>408</v>
      </c>
      <c r="DJ16453" t="s">
        <v>409</v>
      </c>
      <c r="DK16453" t="s">
        <v>410</v>
      </c>
      <c r="DL16453" t="s">
        <v>411</v>
      </c>
      <c r="DM16453" t="s">
        <v>412</v>
      </c>
      <c r="DN16453" t="s">
        <v>413</v>
      </c>
      <c r="DO16453" t="s">
        <v>414</v>
      </c>
      <c r="DP16453" t="s">
        <v>415</v>
      </c>
      <c r="DQ16453" t="s">
        <v>416</v>
      </c>
      <c r="DR16453" t="s">
        <v>417</v>
      </c>
      <c r="DS16453" t="s">
        <v>418</v>
      </c>
      <c r="DT16453" t="s">
        <v>419</v>
      </c>
      <c r="DU16453" t="s">
        <v>420</v>
      </c>
      <c r="DV16453" t="s">
        <v>421</v>
      </c>
      <c r="DW16453" t="s">
        <v>422</v>
      </c>
      <c r="DX16453" t="s">
        <v>424</v>
      </c>
      <c r="DY16453" t="s">
        <v>425</v>
      </c>
      <c r="DZ16453" t="s">
        <v>427</v>
      </c>
      <c r="EA16453" t="s">
        <v>428</v>
      </c>
      <c r="EB16453" t="s">
        <v>429</v>
      </c>
      <c r="EC16453" t="s">
        <v>430</v>
      </c>
      <c r="ED16453" t="s">
        <v>431</v>
      </c>
      <c r="EE16453" t="s">
        <v>433</v>
      </c>
      <c r="EF16453" t="s">
        <v>434</v>
      </c>
      <c r="EG16453" t="s">
        <v>435</v>
      </c>
      <c r="EH16453" t="s">
        <v>436</v>
      </c>
      <c r="EI16453" t="s">
        <v>437</v>
      </c>
      <c r="EJ16453" t="s">
        <v>438</v>
      </c>
      <c r="EK16453" t="s">
        <v>439</v>
      </c>
      <c r="EL16453" t="s">
        <v>441</v>
      </c>
      <c r="EM16453" t="s">
        <v>442</v>
      </c>
      <c r="EN16453" t="s">
        <v>443</v>
      </c>
      <c r="EO16453" t="s">
        <v>444</v>
      </c>
      <c r="EP16453" t="s">
        <v>445</v>
      </c>
    </row>
    <row r="16454" spans="2:146">
      <c r="BQ16454">
        <v>67</v>
      </c>
      <c r="BR16454">
        <v>68</v>
      </c>
      <c r="BS16454">
        <v>69</v>
      </c>
      <c r="BT16454">
        <v>70</v>
      </c>
      <c r="BU16454">
        <v>71</v>
      </c>
      <c r="BV16454">
        <v>72</v>
      </c>
      <c r="BW16454">
        <v>73</v>
      </c>
      <c r="BX16454">
        <v>74</v>
      </c>
      <c r="BY16454">
        <v>75</v>
      </c>
      <c r="BZ16454">
        <v>76</v>
      </c>
      <c r="CA16454">
        <v>77</v>
      </c>
      <c r="CB16454">
        <v>78</v>
      </c>
      <c r="CC16454">
        <v>79</v>
      </c>
      <c r="CD16454">
        <v>80</v>
      </c>
      <c r="CE16454">
        <v>81</v>
      </c>
      <c r="CF16454">
        <v>82</v>
      </c>
      <c r="CG16454">
        <v>83</v>
      </c>
      <c r="CH16454">
        <v>84</v>
      </c>
      <c r="CI16454">
        <v>85</v>
      </c>
      <c r="CJ16454">
        <v>86</v>
      </c>
      <c r="CK16454">
        <v>87</v>
      </c>
      <c r="CL16454">
        <v>88</v>
      </c>
      <c r="CM16454">
        <v>89</v>
      </c>
      <c r="CN16454">
        <v>90</v>
      </c>
      <c r="CO16454">
        <v>91</v>
      </c>
      <c r="CP16454">
        <v>92</v>
      </c>
      <c r="CQ16454">
        <v>93</v>
      </c>
      <c r="CR16454">
        <v>94</v>
      </c>
      <c r="CS16454">
        <v>95</v>
      </c>
      <c r="CT16454">
        <v>96</v>
      </c>
      <c r="CU16454">
        <v>97</v>
      </c>
      <c r="CV16454">
        <v>98</v>
      </c>
      <c r="CW16454">
        <v>99</v>
      </c>
      <c r="CX16454">
        <v>100</v>
      </c>
      <c r="CY16454">
        <v>101</v>
      </c>
      <c r="CZ16454">
        <v>102</v>
      </c>
      <c r="DA16454">
        <v>103</v>
      </c>
      <c r="DB16454">
        <v>104</v>
      </c>
      <c r="DC16454">
        <v>105</v>
      </c>
      <c r="DD16454">
        <v>106</v>
      </c>
      <c r="DE16454">
        <v>107</v>
      </c>
      <c r="DF16454">
        <v>108</v>
      </c>
      <c r="DG16454">
        <v>109</v>
      </c>
      <c r="DH16454">
        <v>110</v>
      </c>
      <c r="DI16454">
        <v>111</v>
      </c>
      <c r="DJ16454">
        <v>112</v>
      </c>
      <c r="DK16454">
        <v>113</v>
      </c>
      <c r="DL16454">
        <v>114</v>
      </c>
      <c r="DM16454">
        <v>115</v>
      </c>
      <c r="DN16454">
        <v>116</v>
      </c>
      <c r="DO16454">
        <v>117</v>
      </c>
      <c r="DP16454">
        <v>118</v>
      </c>
      <c r="DQ16454">
        <v>119</v>
      </c>
      <c r="DR16454">
        <v>120</v>
      </c>
      <c r="DS16454">
        <v>121</v>
      </c>
      <c r="DT16454">
        <v>122</v>
      </c>
      <c r="DU16454">
        <v>123</v>
      </c>
      <c r="DV16454">
        <v>124</v>
      </c>
      <c r="DW16454">
        <v>125</v>
      </c>
      <c r="DX16454">
        <v>126</v>
      </c>
      <c r="DY16454">
        <v>127</v>
      </c>
      <c r="DZ16454">
        <v>128</v>
      </c>
      <c r="EA16454">
        <v>129</v>
      </c>
      <c r="EB16454">
        <v>130</v>
      </c>
      <c r="EC16454">
        <v>131</v>
      </c>
      <c r="ED16454">
        <v>132</v>
      </c>
      <c r="EE16454">
        <v>133</v>
      </c>
      <c r="EF16454">
        <v>134</v>
      </c>
      <c r="EG16454">
        <v>135</v>
      </c>
      <c r="EH16454">
        <v>136</v>
      </c>
      <c r="EI16454">
        <v>137</v>
      </c>
      <c r="EJ16454">
        <v>138</v>
      </c>
      <c r="EK16454">
        <v>139</v>
      </c>
      <c r="EL16454">
        <v>140</v>
      </c>
      <c r="EM16454">
        <v>141</v>
      </c>
      <c r="EN16454">
        <v>142</v>
      </c>
      <c r="EO16454">
        <v>143</v>
      </c>
      <c r="EP16454">
        <v>144</v>
      </c>
    </row>
    <row r="16455" spans="2:146">
      <c r="CE16455" t="s">
        <v>451</v>
      </c>
    </row>
    <row r="32770" spans="2:2">
      <c r="B32770">
        <v>200</v>
      </c>
    </row>
    <row r="32771" spans="2:2">
      <c r="B32771">
        <v>200</v>
      </c>
    </row>
    <row r="32772" spans="2:2">
      <c r="B32772">
        <v>800</v>
      </c>
    </row>
    <row r="32773" spans="2:2">
      <c r="B32773">
        <v>200</v>
      </c>
    </row>
    <row r="32774" spans="2:2">
      <c r="B32774">
        <v>1044</v>
      </c>
    </row>
    <row r="32775" spans="2:2">
      <c r="B32775">
        <v>998.40000000000009</v>
      </c>
    </row>
    <row r="32776" spans="2:2">
      <c r="B32776">
        <v>272</v>
      </c>
    </row>
    <row r="32777" spans="2:2">
      <c r="B32777">
        <v>200</v>
      </c>
    </row>
    <row r="32778" spans="2:2">
      <c r="B32778">
        <v>214</v>
      </c>
    </row>
    <row r="32779" spans="2:2">
      <c r="B32779">
        <v>200</v>
      </c>
    </row>
    <row r="32780" spans="2:2">
      <c r="B32780">
        <v>152</v>
      </c>
    </row>
    <row r="32781" spans="2:2">
      <c r="B32781">
        <v>200</v>
      </c>
    </row>
    <row r="32782" spans="2:2">
      <c r="B32782">
        <v>300</v>
      </c>
    </row>
    <row r="32783" spans="2:2">
      <c r="B32783">
        <v>104</v>
      </c>
    </row>
    <row r="32784" spans="2:2">
      <c r="B32784">
        <v>162</v>
      </c>
    </row>
    <row r="32785" spans="2:2">
      <c r="B32785">
        <v>200</v>
      </c>
    </row>
    <row r="32786" spans="2:2">
      <c r="B32786">
        <v>200</v>
      </c>
    </row>
    <row r="32787" spans="2:2">
      <c r="B32787">
        <v>200</v>
      </c>
    </row>
    <row r="32788" spans="2:2">
      <c r="B32788">
        <v>200</v>
      </c>
    </row>
    <row r="32789" spans="2:2">
      <c r="B32789">
        <v>200</v>
      </c>
    </row>
    <row r="32790" spans="2:2">
      <c r="B32790">
        <v>200</v>
      </c>
    </row>
    <row r="32791" spans="2:2">
      <c r="B32791">
        <v>200</v>
      </c>
    </row>
    <row r="32792" spans="2:2">
      <c r="B32792">
        <v>200</v>
      </c>
    </row>
    <row r="32793" spans="2:2">
      <c r="B32793">
        <v>800</v>
      </c>
    </row>
    <row r="32794" spans="2:2">
      <c r="B32794">
        <v>300</v>
      </c>
    </row>
    <row r="32795" spans="2:2">
      <c r="B32795">
        <v>778</v>
      </c>
    </row>
    <row r="32796" spans="2:2">
      <c r="B32796">
        <v>614</v>
      </c>
    </row>
    <row r="32797" spans="2:2">
      <c r="B32797">
        <v>444</v>
      </c>
    </row>
    <row r="32798" spans="2:2">
      <c r="B32798">
        <v>800</v>
      </c>
    </row>
    <row r="32799" spans="2:2">
      <c r="B32799">
        <v>200</v>
      </c>
    </row>
    <row r="32800" spans="2:2">
      <c r="B32800">
        <v>780</v>
      </c>
    </row>
    <row r="32801" spans="2:146">
      <c r="B32801">
        <v>174</v>
      </c>
    </row>
    <row r="32802" spans="2:146">
      <c r="B32802">
        <v>194</v>
      </c>
    </row>
    <row r="32803" spans="2:146">
      <c r="B32803">
        <v>782</v>
      </c>
    </row>
    <row r="32804" spans="2:146">
      <c r="B32804">
        <v>236</v>
      </c>
    </row>
    <row r="32805" spans="2:146">
      <c r="B32805">
        <v>144</v>
      </c>
    </row>
    <row r="32806" spans="2:146">
      <c r="B32806">
        <v>200</v>
      </c>
    </row>
    <row r="32807" spans="2:146">
      <c r="B32807">
        <v>240</v>
      </c>
    </row>
    <row r="32808" spans="2:146">
      <c r="B32808">
        <v>200</v>
      </c>
    </row>
    <row r="32809" spans="2:146">
      <c r="B32809">
        <v>612</v>
      </c>
    </row>
    <row r="32810" spans="2:146">
      <c r="B32810">
        <v>156</v>
      </c>
    </row>
    <row r="32811" spans="2:146">
      <c r="B32811">
        <v>116</v>
      </c>
    </row>
    <row r="32812" spans="2:146">
      <c r="B32812">
        <v>160</v>
      </c>
    </row>
    <row r="32813" spans="2:146">
      <c r="B32813">
        <v>80</v>
      </c>
      <c r="EL32813">
        <v>0.66</v>
      </c>
      <c r="EM32813">
        <v>0.66</v>
      </c>
      <c r="EN32813">
        <v>0.66</v>
      </c>
      <c r="EO32813">
        <v>0.66</v>
      </c>
      <c r="EP32813">
        <v>0.66</v>
      </c>
    </row>
    <row r="32814" spans="2:146">
      <c r="B32814">
        <v>1144</v>
      </c>
      <c r="BV32814">
        <v>5.0999999999999996</v>
      </c>
      <c r="BW32814">
        <v>5.0999999999999996</v>
      </c>
      <c r="DB32814">
        <v>10.210000000000001</v>
      </c>
      <c r="DC32814">
        <v>10.210000000000001</v>
      </c>
      <c r="DD32814">
        <v>10.210000000000001</v>
      </c>
      <c r="DE32814">
        <v>10.210000000000001</v>
      </c>
      <c r="DF32814">
        <v>10.210000000000001</v>
      </c>
      <c r="DG32814">
        <v>10.210000000000001</v>
      </c>
      <c r="DH32814">
        <v>10.210000000000001</v>
      </c>
    </row>
    <row r="32815" spans="2:146">
      <c r="B32815">
        <v>1240</v>
      </c>
      <c r="EE32815">
        <v>8.15</v>
      </c>
      <c r="EF32815">
        <v>8.15</v>
      </c>
      <c r="EG32815">
        <v>8.15</v>
      </c>
      <c r="EH32815">
        <v>8.15</v>
      </c>
      <c r="EI32815">
        <v>8.15</v>
      </c>
      <c r="EJ32815">
        <v>8.15</v>
      </c>
      <c r="EK32815">
        <v>8.15</v>
      </c>
    </row>
    <row r="32816" spans="2:146">
      <c r="B32816">
        <v>2083.2000000000003</v>
      </c>
      <c r="DI32816">
        <v>20.03</v>
      </c>
      <c r="DJ32816">
        <v>20.03</v>
      </c>
      <c r="DQ32816">
        <v>20.03</v>
      </c>
      <c r="DT32816">
        <v>20.03</v>
      </c>
      <c r="DW32816">
        <v>20.03</v>
      </c>
    </row>
    <row r="32817" spans="2:134">
      <c r="B32817">
        <v>357.20000000000005</v>
      </c>
      <c r="DI32817">
        <v>3.88</v>
      </c>
      <c r="DJ32817">
        <v>3.88</v>
      </c>
      <c r="DV32817">
        <v>3.88</v>
      </c>
      <c r="DW32817">
        <v>3.88</v>
      </c>
    </row>
    <row r="32818" spans="2:134">
      <c r="B32818">
        <v>391.20000000000005</v>
      </c>
      <c r="DI32818">
        <v>3.62</v>
      </c>
      <c r="DJ32818">
        <v>3.62</v>
      </c>
      <c r="DR32818">
        <v>3.62</v>
      </c>
      <c r="DU32818">
        <v>3.62</v>
      </c>
      <c r="DV32818">
        <v>3.62</v>
      </c>
    </row>
    <row r="32819" spans="2:134">
      <c r="B32819">
        <v>762.80000000000007</v>
      </c>
      <c r="DI32819">
        <v>6.15</v>
      </c>
      <c r="DJ32819">
        <v>6.15</v>
      </c>
      <c r="DQ32819">
        <v>6.15</v>
      </c>
      <c r="DR32819">
        <v>6.15</v>
      </c>
      <c r="DS32819">
        <v>6.15</v>
      </c>
      <c r="DT32819">
        <v>6.15</v>
      </c>
    </row>
    <row r="32820" spans="2:134">
      <c r="B32820">
        <v>1280</v>
      </c>
      <c r="DI32820">
        <v>10.66</v>
      </c>
      <c r="DJ32820">
        <v>10.66</v>
      </c>
      <c r="DK32820">
        <v>10.66</v>
      </c>
      <c r="DL32820">
        <v>10.66</v>
      </c>
      <c r="DM32820">
        <v>10.66</v>
      </c>
      <c r="DN32820">
        <v>10.66</v>
      </c>
    </row>
    <row r="32821" spans="2:134">
      <c r="B32821">
        <v>234</v>
      </c>
      <c r="CT32821">
        <v>2.5</v>
      </c>
      <c r="CU32821">
        <v>2.5</v>
      </c>
      <c r="CV32821">
        <v>2.5</v>
      </c>
    </row>
    <row r="32822" spans="2:134">
      <c r="B32822">
        <v>354</v>
      </c>
      <c r="CY32822">
        <v>3.98</v>
      </c>
      <c r="CZ32822">
        <v>3.98</v>
      </c>
      <c r="DA32822">
        <v>3.98</v>
      </c>
    </row>
    <row r="32823" spans="2:134">
      <c r="B32823">
        <v>392</v>
      </c>
      <c r="DI32823">
        <v>3.52</v>
      </c>
      <c r="DJ32823">
        <v>3.52</v>
      </c>
      <c r="DL32823">
        <v>3.52</v>
      </c>
      <c r="DO32823">
        <v>3.52</v>
      </c>
    </row>
    <row r="32824" spans="2:134">
      <c r="B32824">
        <v>304</v>
      </c>
      <c r="CE32824">
        <v>3.8</v>
      </c>
      <c r="CF32824">
        <v>3.8</v>
      </c>
    </row>
    <row r="32825" spans="2:134">
      <c r="B32825">
        <v>144</v>
      </c>
      <c r="DZ32825">
        <v>1.62</v>
      </c>
      <c r="EA32825">
        <v>1.62</v>
      </c>
      <c r="EB32825">
        <v>1.62</v>
      </c>
      <c r="EC32825">
        <v>0.81</v>
      </c>
      <c r="ED32825">
        <v>0.81</v>
      </c>
    </row>
    <row r="32826" spans="2:134">
      <c r="B32826">
        <v>602.40000000000009</v>
      </c>
      <c r="BY32826">
        <v>6.02</v>
      </c>
      <c r="BZ32826">
        <v>6.02</v>
      </c>
      <c r="CB32826">
        <v>3.01</v>
      </c>
      <c r="CC32826">
        <v>3.01</v>
      </c>
      <c r="CD32826">
        <v>3.01</v>
      </c>
      <c r="CI32826">
        <v>6.02</v>
      </c>
      <c r="CJ32826">
        <v>6.02</v>
      </c>
      <c r="CK32826">
        <v>6.02</v>
      </c>
    </row>
    <row r="32827" spans="2:134">
      <c r="B32827">
        <v>307.60000000000002</v>
      </c>
      <c r="BY32827">
        <v>3.34</v>
      </c>
      <c r="BZ32827">
        <v>3.34</v>
      </c>
      <c r="CG32827">
        <v>3.34</v>
      </c>
      <c r="CH32827">
        <v>3.34</v>
      </c>
    </row>
    <row r="32828" spans="2:134">
      <c r="B32828">
        <v>358</v>
      </c>
      <c r="BY32828">
        <v>2.37</v>
      </c>
      <c r="BZ32828">
        <v>2.37</v>
      </c>
      <c r="CA32828">
        <v>2.37</v>
      </c>
      <c r="DX32828">
        <v>4.74</v>
      </c>
      <c r="DY32828">
        <v>4.74</v>
      </c>
    </row>
    <row r="32829" spans="2:134">
      <c r="B32829">
        <v>286</v>
      </c>
      <c r="BT32829">
        <v>1.43</v>
      </c>
      <c r="BV32829">
        <v>1.43</v>
      </c>
      <c r="BW32829">
        <v>1.43</v>
      </c>
      <c r="BX32829">
        <v>1.43</v>
      </c>
      <c r="CO32829">
        <v>2.86</v>
      </c>
      <c r="CP32829">
        <v>2.86</v>
      </c>
      <c r="CQ32829">
        <v>2.86</v>
      </c>
      <c r="CR32829">
        <v>2.86</v>
      </c>
      <c r="CS32829">
        <v>2.86</v>
      </c>
    </row>
    <row r="32830" spans="2:134">
      <c r="B32830">
        <v>410</v>
      </c>
      <c r="BY32830">
        <v>2.88</v>
      </c>
      <c r="BZ32830">
        <v>2.88</v>
      </c>
      <c r="CA32830">
        <v>2.88</v>
      </c>
      <c r="CW32830">
        <v>5.76</v>
      </c>
      <c r="CX32830">
        <v>5.76</v>
      </c>
    </row>
    <row r="32831" spans="2:134">
      <c r="B32831">
        <v>346</v>
      </c>
      <c r="BR32831">
        <v>3.6</v>
      </c>
      <c r="BS32831">
        <v>3.6</v>
      </c>
      <c r="BT32831">
        <v>1.8</v>
      </c>
      <c r="CL32831">
        <v>3.6</v>
      </c>
      <c r="CM32831">
        <v>3.6</v>
      </c>
      <c r="CN32831">
        <v>3.6</v>
      </c>
    </row>
    <row r="32832" spans="2:134">
      <c r="B32832">
        <v>302</v>
      </c>
      <c r="BR32832">
        <v>3.28</v>
      </c>
      <c r="BS32832">
        <v>3.28</v>
      </c>
      <c r="BT32832">
        <v>1.64</v>
      </c>
      <c r="BU32832">
        <v>1.64</v>
      </c>
      <c r="CL32832">
        <v>3.28</v>
      </c>
      <c r="CM32832">
        <v>3.28</v>
      </c>
      <c r="CN32832">
        <v>3.28</v>
      </c>
    </row>
    <row r="32833" spans="2:146">
      <c r="B32833">
        <v>204</v>
      </c>
      <c r="BR32833">
        <v>2.12</v>
      </c>
      <c r="BS32833">
        <v>2.12</v>
      </c>
      <c r="BT32833">
        <v>1.06</v>
      </c>
      <c r="CL32833">
        <v>2.12</v>
      </c>
      <c r="CM32833">
        <v>2.12</v>
      </c>
      <c r="CN32833">
        <v>2.12</v>
      </c>
    </row>
    <row r="32835" spans="2:146">
      <c r="B32835">
        <v>26358.800000000003</v>
      </c>
      <c r="BQ32835">
        <v>0</v>
      </c>
      <c r="BR32835">
        <v>9</v>
      </c>
      <c r="BS32835">
        <v>9</v>
      </c>
      <c r="BT32835">
        <v>5.93</v>
      </c>
      <c r="BU32835">
        <v>1.64</v>
      </c>
      <c r="BV32835">
        <v>6.5299999999999994</v>
      </c>
      <c r="BW32835">
        <v>6.5299999999999994</v>
      </c>
      <c r="BX32835">
        <v>1.43</v>
      </c>
      <c r="BY32835">
        <v>14.61</v>
      </c>
      <c r="BZ32835">
        <v>14.61</v>
      </c>
      <c r="CA32835">
        <v>5.25</v>
      </c>
      <c r="CB32835">
        <v>3.01</v>
      </c>
      <c r="CC32835">
        <v>3.01</v>
      </c>
      <c r="CD32835">
        <v>3.01</v>
      </c>
      <c r="CE32835">
        <v>3.8</v>
      </c>
      <c r="CF32835">
        <v>3.8</v>
      </c>
      <c r="CG32835">
        <v>3.34</v>
      </c>
      <c r="CH32835">
        <v>3.34</v>
      </c>
      <c r="CI32835">
        <v>6.02</v>
      </c>
      <c r="CJ32835">
        <v>6.02</v>
      </c>
      <c r="CK32835">
        <v>6.02</v>
      </c>
      <c r="CL32835">
        <v>9</v>
      </c>
      <c r="CM32835">
        <v>9</v>
      </c>
      <c r="CN32835">
        <v>9</v>
      </c>
      <c r="CO32835">
        <v>2.86</v>
      </c>
      <c r="CP32835">
        <v>2.86</v>
      </c>
      <c r="CQ32835">
        <v>2.86</v>
      </c>
      <c r="CR32835">
        <v>2.86</v>
      </c>
      <c r="CS32835">
        <v>2.86</v>
      </c>
      <c r="CT32835">
        <v>2.5</v>
      </c>
      <c r="CU32835">
        <v>2.5</v>
      </c>
      <c r="CV32835">
        <v>2.5</v>
      </c>
      <c r="CW32835">
        <v>5.76</v>
      </c>
      <c r="CX32835">
        <v>5.76</v>
      </c>
      <c r="CY32835">
        <v>3.98</v>
      </c>
      <c r="CZ32835">
        <v>3.98</v>
      </c>
      <c r="DA32835">
        <v>3.98</v>
      </c>
      <c r="DB32835">
        <v>10.210000000000001</v>
      </c>
      <c r="DC32835">
        <v>10.210000000000001</v>
      </c>
      <c r="DD32835">
        <v>10.210000000000001</v>
      </c>
      <c r="DE32835">
        <v>10.210000000000001</v>
      </c>
      <c r="DF32835">
        <v>10.210000000000001</v>
      </c>
      <c r="DG32835">
        <v>10.210000000000001</v>
      </c>
      <c r="DH32835">
        <v>10.210000000000001</v>
      </c>
      <c r="DI32835">
        <v>47.860000000000007</v>
      </c>
      <c r="DJ32835">
        <v>47.860000000000007</v>
      </c>
      <c r="DK32835">
        <v>10.66</v>
      </c>
      <c r="DL32835">
        <v>14.18</v>
      </c>
      <c r="DM32835">
        <v>10.66</v>
      </c>
      <c r="DN32835">
        <v>10.66</v>
      </c>
      <c r="DO32835">
        <v>3.52</v>
      </c>
      <c r="DP32835">
        <v>0</v>
      </c>
      <c r="DQ32835">
        <v>26.18</v>
      </c>
      <c r="DR32835">
        <v>9.77</v>
      </c>
      <c r="DS32835">
        <v>6.15</v>
      </c>
      <c r="DT32835">
        <v>26.18</v>
      </c>
      <c r="DU32835">
        <v>3.62</v>
      </c>
      <c r="DV32835">
        <v>7.5</v>
      </c>
      <c r="DW32835">
        <v>23.91</v>
      </c>
      <c r="DX32835">
        <v>4.74</v>
      </c>
      <c r="DY32835">
        <v>4.74</v>
      </c>
      <c r="DZ32835">
        <v>1.62</v>
      </c>
      <c r="EA32835">
        <v>1.62</v>
      </c>
      <c r="EB32835">
        <v>1.62</v>
      </c>
      <c r="EC32835">
        <v>0.81</v>
      </c>
      <c r="ED32835">
        <v>0.81</v>
      </c>
      <c r="EE32835">
        <v>8.15</v>
      </c>
      <c r="EF32835">
        <v>8.15</v>
      </c>
      <c r="EG32835">
        <v>8.15</v>
      </c>
      <c r="EH32835">
        <v>8.15</v>
      </c>
      <c r="EI32835">
        <v>8.15</v>
      </c>
      <c r="EJ32835">
        <v>8.15</v>
      </c>
      <c r="EK32835">
        <v>8.15</v>
      </c>
      <c r="EL32835">
        <v>0.66</v>
      </c>
      <c r="EM32835">
        <v>0.66</v>
      </c>
      <c r="EN32835">
        <v>0.66</v>
      </c>
      <c r="EO32835">
        <v>0.66</v>
      </c>
      <c r="EP32835">
        <v>0.66</v>
      </c>
    </row>
    <row r="32836" spans="2:146">
      <c r="B32836" t="s">
        <v>265</v>
      </c>
      <c r="BQ32836" t="s">
        <v>345</v>
      </c>
      <c r="BR32836" t="s">
        <v>131</v>
      </c>
      <c r="BS32836" t="s">
        <v>131</v>
      </c>
      <c r="BT32836" t="s">
        <v>357</v>
      </c>
      <c r="BU32836" t="s">
        <v>131</v>
      </c>
      <c r="BV32836" t="s">
        <v>360</v>
      </c>
      <c r="BW32836" t="s">
        <v>360</v>
      </c>
      <c r="BX32836" t="s">
        <v>360</v>
      </c>
      <c r="BY32836" t="s">
        <v>364</v>
      </c>
      <c r="BZ32836" t="s">
        <v>364</v>
      </c>
      <c r="CA32836" t="s">
        <v>364</v>
      </c>
      <c r="CB32836" t="s">
        <v>368</v>
      </c>
      <c r="CC32836" t="s">
        <v>368</v>
      </c>
      <c r="CD32836" t="s">
        <v>368</v>
      </c>
      <c r="CE32836" t="s">
        <v>352</v>
      </c>
      <c r="CF32836" t="s">
        <v>352</v>
      </c>
      <c r="CG32836" t="s">
        <v>372</v>
      </c>
      <c r="CH32836" t="s">
        <v>372</v>
      </c>
      <c r="CI32836" t="s">
        <v>375</v>
      </c>
      <c r="CJ32836" t="s">
        <v>375</v>
      </c>
      <c r="CK32836" t="s">
        <v>375</v>
      </c>
      <c r="CL32836" t="s">
        <v>379</v>
      </c>
      <c r="CM32836" t="s">
        <v>379</v>
      </c>
      <c r="CN32836" t="s">
        <v>379</v>
      </c>
      <c r="CO32836" t="s">
        <v>383</v>
      </c>
      <c r="CP32836" t="s">
        <v>383</v>
      </c>
      <c r="CQ32836" t="s">
        <v>383</v>
      </c>
      <c r="CR32836" t="s">
        <v>383</v>
      </c>
      <c r="CS32836" t="s">
        <v>383</v>
      </c>
      <c r="CT32836" t="s">
        <v>389</v>
      </c>
      <c r="CU32836" t="s">
        <v>389</v>
      </c>
      <c r="CV32836" t="s">
        <v>389</v>
      </c>
      <c r="CW32836" t="s">
        <v>393</v>
      </c>
      <c r="CX32836" t="s">
        <v>393</v>
      </c>
      <c r="CY32836" t="s">
        <v>396</v>
      </c>
      <c r="CZ32836" t="s">
        <v>396</v>
      </c>
      <c r="DA32836" t="s">
        <v>396</v>
      </c>
      <c r="DB32836" t="s">
        <v>400</v>
      </c>
      <c r="DC32836" t="s">
        <v>400</v>
      </c>
      <c r="DD32836" t="s">
        <v>400</v>
      </c>
      <c r="DE32836" t="s">
        <v>400</v>
      </c>
      <c r="DF32836" t="s">
        <v>400</v>
      </c>
      <c r="DG32836" t="s">
        <v>400</v>
      </c>
      <c r="DH32836" t="s">
        <v>400</v>
      </c>
      <c r="DI32836" t="s">
        <v>121</v>
      </c>
      <c r="DJ32836" t="s">
        <v>121</v>
      </c>
      <c r="DK32836" t="s">
        <v>121</v>
      </c>
      <c r="DL32836" t="s">
        <v>121</v>
      </c>
      <c r="DM32836" t="s">
        <v>121</v>
      </c>
      <c r="DN32836" t="s">
        <v>121</v>
      </c>
      <c r="DO32836" t="s">
        <v>121</v>
      </c>
      <c r="DP32836" t="s">
        <v>121</v>
      </c>
      <c r="DQ32836" t="s">
        <v>121</v>
      </c>
      <c r="DR32836" t="s">
        <v>121</v>
      </c>
      <c r="DS32836" t="s">
        <v>121</v>
      </c>
      <c r="DT32836" t="s">
        <v>121</v>
      </c>
      <c r="DU32836" t="s">
        <v>121</v>
      </c>
      <c r="DV32836" t="s">
        <v>121</v>
      </c>
      <c r="DW32836" t="s">
        <v>121</v>
      </c>
      <c r="DX32836" t="s">
        <v>423</v>
      </c>
      <c r="DY32836" t="s">
        <v>423</v>
      </c>
      <c r="DZ32836" t="s">
        <v>426</v>
      </c>
      <c r="EA32836" t="s">
        <v>426</v>
      </c>
      <c r="EB32836" t="s">
        <v>426</v>
      </c>
      <c r="EC32836" t="s">
        <v>426</v>
      </c>
      <c r="ED32836" t="s">
        <v>426</v>
      </c>
      <c r="EE32836" t="s">
        <v>432</v>
      </c>
      <c r="EF32836" t="s">
        <v>432</v>
      </c>
      <c r="EG32836" t="s">
        <v>432</v>
      </c>
      <c r="EH32836" t="s">
        <v>432</v>
      </c>
      <c r="EI32836" t="s">
        <v>432</v>
      </c>
      <c r="EJ32836" t="s">
        <v>432</v>
      </c>
      <c r="EK32836" t="s">
        <v>432</v>
      </c>
      <c r="EL32836" t="s">
        <v>440</v>
      </c>
      <c r="EM32836" t="s">
        <v>440</v>
      </c>
      <c r="EN32836" t="s">
        <v>440</v>
      </c>
      <c r="EO32836" t="s">
        <v>440</v>
      </c>
      <c r="EP32836" t="s">
        <v>440</v>
      </c>
    </row>
    <row r="32837" spans="2:146">
      <c r="BQ32837" t="s">
        <v>351</v>
      </c>
      <c r="BR32837" t="s">
        <v>355</v>
      </c>
      <c r="BS32837" t="s">
        <v>356</v>
      </c>
      <c r="BT32837" t="s">
        <v>358</v>
      </c>
      <c r="BU32837" t="s">
        <v>359</v>
      </c>
      <c r="BV32837" t="s">
        <v>361</v>
      </c>
      <c r="BW32837" t="s">
        <v>362</v>
      </c>
      <c r="BX32837" t="s">
        <v>363</v>
      </c>
      <c r="BY32837" t="s">
        <v>365</v>
      </c>
      <c r="BZ32837" t="s">
        <v>366</v>
      </c>
      <c r="CA32837" t="s">
        <v>367</v>
      </c>
      <c r="CB32837" t="s">
        <v>369</v>
      </c>
      <c r="CC32837" t="s">
        <v>370</v>
      </c>
      <c r="CD32837" t="s">
        <v>371</v>
      </c>
      <c r="CE32837" t="s">
        <v>353</v>
      </c>
      <c r="CF32837" t="s">
        <v>354</v>
      </c>
      <c r="CG32837" t="s">
        <v>373</v>
      </c>
      <c r="CH32837" t="s">
        <v>374</v>
      </c>
      <c r="CI32837" t="s">
        <v>376</v>
      </c>
      <c r="CJ32837" t="s">
        <v>377</v>
      </c>
      <c r="CK32837" t="s">
        <v>378</v>
      </c>
      <c r="CL32837" t="s">
        <v>380</v>
      </c>
      <c r="CM32837" t="s">
        <v>381</v>
      </c>
      <c r="CN32837" t="s">
        <v>382</v>
      </c>
      <c r="CO32837" t="s">
        <v>384</v>
      </c>
      <c r="CP32837" t="s">
        <v>385</v>
      </c>
      <c r="CQ32837" t="s">
        <v>386</v>
      </c>
      <c r="CR32837" t="s">
        <v>387</v>
      </c>
      <c r="CS32837" t="s">
        <v>388</v>
      </c>
      <c r="CT32837" t="s">
        <v>390</v>
      </c>
      <c r="CU32837" t="s">
        <v>391</v>
      </c>
      <c r="CV32837" t="s">
        <v>392</v>
      </c>
      <c r="CW32837" t="s">
        <v>394</v>
      </c>
      <c r="CX32837" t="s">
        <v>395</v>
      </c>
      <c r="CY32837" t="s">
        <v>397</v>
      </c>
      <c r="CZ32837" t="s">
        <v>398</v>
      </c>
      <c r="DA32837" t="s">
        <v>399</v>
      </c>
      <c r="DB32837" t="s">
        <v>401</v>
      </c>
      <c r="DC32837" t="s">
        <v>402</v>
      </c>
      <c r="DD32837" t="s">
        <v>403</v>
      </c>
      <c r="DE32837" t="s">
        <v>404</v>
      </c>
      <c r="DF32837" t="s">
        <v>405</v>
      </c>
      <c r="DG32837" t="s">
        <v>406</v>
      </c>
      <c r="DH32837" t="s">
        <v>407</v>
      </c>
      <c r="DI32837" t="s">
        <v>408</v>
      </c>
      <c r="DJ32837" t="s">
        <v>409</v>
      </c>
      <c r="DK32837" t="s">
        <v>410</v>
      </c>
      <c r="DL32837" t="s">
        <v>411</v>
      </c>
      <c r="DM32837" t="s">
        <v>412</v>
      </c>
      <c r="DN32837" t="s">
        <v>413</v>
      </c>
      <c r="DO32837" t="s">
        <v>414</v>
      </c>
      <c r="DP32837" t="s">
        <v>415</v>
      </c>
      <c r="DQ32837" t="s">
        <v>416</v>
      </c>
      <c r="DR32837" t="s">
        <v>417</v>
      </c>
      <c r="DS32837" t="s">
        <v>418</v>
      </c>
      <c r="DT32837" t="s">
        <v>419</v>
      </c>
      <c r="DU32837" t="s">
        <v>420</v>
      </c>
      <c r="DV32837" t="s">
        <v>421</v>
      </c>
      <c r="DW32837" t="s">
        <v>422</v>
      </c>
      <c r="DX32837" t="s">
        <v>424</v>
      </c>
      <c r="DY32837" t="s">
        <v>425</v>
      </c>
      <c r="DZ32837" t="s">
        <v>427</v>
      </c>
      <c r="EA32837" t="s">
        <v>428</v>
      </c>
      <c r="EB32837" t="s">
        <v>429</v>
      </c>
      <c r="EC32837" t="s">
        <v>430</v>
      </c>
      <c r="ED32837" t="s">
        <v>431</v>
      </c>
      <c r="EE32837" t="s">
        <v>433</v>
      </c>
      <c r="EF32837" t="s">
        <v>434</v>
      </c>
      <c r="EG32837" t="s">
        <v>435</v>
      </c>
      <c r="EH32837" t="s">
        <v>436</v>
      </c>
      <c r="EI32837" t="s">
        <v>437</v>
      </c>
      <c r="EJ32837" t="s">
        <v>438</v>
      </c>
      <c r="EK32837" t="s">
        <v>439</v>
      </c>
      <c r="EL32837" t="s">
        <v>441</v>
      </c>
      <c r="EM32837" t="s">
        <v>442</v>
      </c>
      <c r="EN32837" t="s">
        <v>443</v>
      </c>
      <c r="EO32837" t="s">
        <v>444</v>
      </c>
      <c r="EP32837" t="s">
        <v>445</v>
      </c>
    </row>
    <row r="32838" spans="2:146">
      <c r="BQ32838">
        <v>67</v>
      </c>
      <c r="BR32838">
        <v>68</v>
      </c>
      <c r="BS32838">
        <v>69</v>
      </c>
      <c r="BT32838">
        <v>70</v>
      </c>
      <c r="BU32838">
        <v>71</v>
      </c>
      <c r="BV32838">
        <v>72</v>
      </c>
      <c r="BW32838">
        <v>73</v>
      </c>
      <c r="BX32838">
        <v>74</v>
      </c>
      <c r="BY32838">
        <v>75</v>
      </c>
      <c r="BZ32838">
        <v>76</v>
      </c>
      <c r="CA32838">
        <v>77</v>
      </c>
      <c r="CB32838">
        <v>78</v>
      </c>
      <c r="CC32838">
        <v>79</v>
      </c>
      <c r="CD32838">
        <v>80</v>
      </c>
      <c r="CE32838">
        <v>81</v>
      </c>
      <c r="CF32838">
        <v>82</v>
      </c>
      <c r="CG32838">
        <v>83</v>
      </c>
      <c r="CH32838">
        <v>84</v>
      </c>
      <c r="CI32838">
        <v>85</v>
      </c>
      <c r="CJ32838">
        <v>86</v>
      </c>
      <c r="CK32838">
        <v>87</v>
      </c>
      <c r="CL32838">
        <v>88</v>
      </c>
      <c r="CM32838">
        <v>89</v>
      </c>
      <c r="CN32838">
        <v>90</v>
      </c>
      <c r="CO32838">
        <v>91</v>
      </c>
      <c r="CP32838">
        <v>92</v>
      </c>
      <c r="CQ32838">
        <v>93</v>
      </c>
      <c r="CR32838">
        <v>94</v>
      </c>
      <c r="CS32838">
        <v>95</v>
      </c>
      <c r="CT32838">
        <v>96</v>
      </c>
      <c r="CU32838">
        <v>97</v>
      </c>
      <c r="CV32838">
        <v>98</v>
      </c>
      <c r="CW32838">
        <v>99</v>
      </c>
      <c r="CX32838">
        <v>100</v>
      </c>
      <c r="CY32838">
        <v>101</v>
      </c>
      <c r="CZ32838">
        <v>102</v>
      </c>
      <c r="DA32838">
        <v>103</v>
      </c>
      <c r="DB32838">
        <v>104</v>
      </c>
      <c r="DC32838">
        <v>105</v>
      </c>
      <c r="DD32838">
        <v>106</v>
      </c>
      <c r="DE32838">
        <v>107</v>
      </c>
      <c r="DF32838">
        <v>108</v>
      </c>
      <c r="DG32838">
        <v>109</v>
      </c>
      <c r="DH32838">
        <v>110</v>
      </c>
      <c r="DI32838">
        <v>111</v>
      </c>
      <c r="DJ32838">
        <v>112</v>
      </c>
      <c r="DK32838">
        <v>113</v>
      </c>
      <c r="DL32838">
        <v>114</v>
      </c>
      <c r="DM32838">
        <v>115</v>
      </c>
      <c r="DN32838">
        <v>116</v>
      </c>
      <c r="DO32838">
        <v>117</v>
      </c>
      <c r="DP32838">
        <v>118</v>
      </c>
      <c r="DQ32838">
        <v>119</v>
      </c>
      <c r="DR32838">
        <v>120</v>
      </c>
      <c r="DS32838">
        <v>121</v>
      </c>
      <c r="DT32838">
        <v>122</v>
      </c>
      <c r="DU32838">
        <v>123</v>
      </c>
      <c r="DV32838">
        <v>124</v>
      </c>
      <c r="DW32838">
        <v>125</v>
      </c>
      <c r="DX32838">
        <v>126</v>
      </c>
      <c r="DY32838">
        <v>127</v>
      </c>
      <c r="DZ32838">
        <v>128</v>
      </c>
      <c r="EA32838">
        <v>129</v>
      </c>
      <c r="EB32838">
        <v>130</v>
      </c>
      <c r="EC32838">
        <v>131</v>
      </c>
      <c r="ED32838">
        <v>132</v>
      </c>
      <c r="EE32838">
        <v>133</v>
      </c>
      <c r="EF32838">
        <v>134</v>
      </c>
      <c r="EG32838">
        <v>135</v>
      </c>
      <c r="EH32838">
        <v>136</v>
      </c>
      <c r="EI32838">
        <v>137</v>
      </c>
      <c r="EJ32838">
        <v>138</v>
      </c>
      <c r="EK32838">
        <v>139</v>
      </c>
      <c r="EL32838">
        <v>140</v>
      </c>
      <c r="EM32838">
        <v>141</v>
      </c>
      <c r="EN32838">
        <v>142</v>
      </c>
      <c r="EO32838">
        <v>143</v>
      </c>
      <c r="EP32838">
        <v>144</v>
      </c>
    </row>
    <row r="32839" spans="2:146">
      <c r="CE32839" t="s">
        <v>451</v>
      </c>
    </row>
    <row r="49154" spans="2:2">
      <c r="B49154">
        <v>200</v>
      </c>
    </row>
    <row r="49155" spans="2:2">
      <c r="B49155">
        <v>200</v>
      </c>
    </row>
    <row r="49156" spans="2:2">
      <c r="B49156">
        <v>800</v>
      </c>
    </row>
    <row r="49157" spans="2:2">
      <c r="B49157">
        <v>200</v>
      </c>
    </row>
    <row r="49158" spans="2:2">
      <c r="B49158">
        <v>1044</v>
      </c>
    </row>
    <row r="49159" spans="2:2">
      <c r="B49159">
        <v>998.40000000000009</v>
      </c>
    </row>
    <row r="49160" spans="2:2">
      <c r="B49160">
        <v>272</v>
      </c>
    </row>
    <row r="49161" spans="2:2">
      <c r="B49161">
        <v>200</v>
      </c>
    </row>
    <row r="49162" spans="2:2">
      <c r="B49162">
        <v>214</v>
      </c>
    </row>
    <row r="49163" spans="2:2">
      <c r="B49163">
        <v>200</v>
      </c>
    </row>
    <row r="49164" spans="2:2">
      <c r="B49164">
        <v>152</v>
      </c>
    </row>
    <row r="49165" spans="2:2">
      <c r="B49165">
        <v>200</v>
      </c>
    </row>
    <row r="49166" spans="2:2">
      <c r="B49166">
        <v>300</v>
      </c>
    </row>
    <row r="49167" spans="2:2">
      <c r="B49167">
        <v>104</v>
      </c>
    </row>
    <row r="49168" spans="2:2">
      <c r="B49168">
        <v>162</v>
      </c>
    </row>
    <row r="49169" spans="2:2">
      <c r="B49169">
        <v>200</v>
      </c>
    </row>
    <row r="49170" spans="2:2">
      <c r="B49170">
        <v>200</v>
      </c>
    </row>
    <row r="49171" spans="2:2">
      <c r="B49171">
        <v>200</v>
      </c>
    </row>
    <row r="49172" spans="2:2">
      <c r="B49172">
        <v>200</v>
      </c>
    </row>
    <row r="49173" spans="2:2">
      <c r="B49173">
        <v>200</v>
      </c>
    </row>
    <row r="49174" spans="2:2">
      <c r="B49174">
        <v>200</v>
      </c>
    </row>
    <row r="49175" spans="2:2">
      <c r="B49175">
        <v>200</v>
      </c>
    </row>
    <row r="49176" spans="2:2">
      <c r="B49176">
        <v>200</v>
      </c>
    </row>
    <row r="49177" spans="2:2">
      <c r="B49177">
        <v>800</v>
      </c>
    </row>
    <row r="49178" spans="2:2">
      <c r="B49178">
        <v>300</v>
      </c>
    </row>
    <row r="49179" spans="2:2">
      <c r="B49179">
        <v>778</v>
      </c>
    </row>
    <row r="49180" spans="2:2">
      <c r="B49180">
        <v>614</v>
      </c>
    </row>
    <row r="49181" spans="2:2">
      <c r="B49181">
        <v>444</v>
      </c>
    </row>
    <row r="49182" spans="2:2">
      <c r="B49182">
        <v>800</v>
      </c>
    </row>
    <row r="49183" spans="2:2">
      <c r="B49183">
        <v>200</v>
      </c>
    </row>
    <row r="49184" spans="2:2">
      <c r="B49184">
        <v>780</v>
      </c>
    </row>
    <row r="49185" spans="2:146">
      <c r="B49185">
        <v>174</v>
      </c>
    </row>
    <row r="49186" spans="2:146">
      <c r="B49186">
        <v>194</v>
      </c>
    </row>
    <row r="49187" spans="2:146">
      <c r="B49187">
        <v>782</v>
      </c>
    </row>
    <row r="49188" spans="2:146">
      <c r="B49188">
        <v>236</v>
      </c>
    </row>
    <row r="49189" spans="2:146">
      <c r="B49189">
        <v>144</v>
      </c>
    </row>
    <row r="49190" spans="2:146">
      <c r="B49190">
        <v>200</v>
      </c>
    </row>
    <row r="49191" spans="2:146">
      <c r="B49191">
        <v>240</v>
      </c>
    </row>
    <row r="49192" spans="2:146">
      <c r="B49192">
        <v>200</v>
      </c>
    </row>
    <row r="49193" spans="2:146">
      <c r="B49193">
        <v>612</v>
      </c>
    </row>
    <row r="49194" spans="2:146">
      <c r="B49194">
        <v>156</v>
      </c>
    </row>
    <row r="49195" spans="2:146">
      <c r="B49195">
        <v>116</v>
      </c>
    </row>
    <row r="49196" spans="2:146">
      <c r="B49196">
        <v>160</v>
      </c>
    </row>
    <row r="49197" spans="2:146">
      <c r="B49197">
        <v>80</v>
      </c>
      <c r="EL49197">
        <v>0.66</v>
      </c>
      <c r="EM49197">
        <v>0.66</v>
      </c>
      <c r="EN49197">
        <v>0.66</v>
      </c>
      <c r="EO49197">
        <v>0.66</v>
      </c>
      <c r="EP49197">
        <v>0.66</v>
      </c>
    </row>
    <row r="49198" spans="2:146">
      <c r="B49198">
        <v>1144</v>
      </c>
      <c r="BV49198">
        <v>5.0999999999999996</v>
      </c>
      <c r="BW49198">
        <v>5.0999999999999996</v>
      </c>
      <c r="DB49198">
        <v>10.210000000000001</v>
      </c>
      <c r="DC49198">
        <v>10.210000000000001</v>
      </c>
      <c r="DD49198">
        <v>10.210000000000001</v>
      </c>
      <c r="DE49198">
        <v>10.210000000000001</v>
      </c>
      <c r="DF49198">
        <v>10.210000000000001</v>
      </c>
      <c r="DG49198">
        <v>10.210000000000001</v>
      </c>
      <c r="DH49198">
        <v>10.210000000000001</v>
      </c>
    </row>
    <row r="49199" spans="2:146">
      <c r="B49199">
        <v>1240</v>
      </c>
      <c r="EE49199">
        <v>8.15</v>
      </c>
      <c r="EF49199">
        <v>8.15</v>
      </c>
      <c r="EG49199">
        <v>8.15</v>
      </c>
      <c r="EH49199">
        <v>8.15</v>
      </c>
      <c r="EI49199">
        <v>8.15</v>
      </c>
      <c r="EJ49199">
        <v>8.15</v>
      </c>
      <c r="EK49199">
        <v>8.15</v>
      </c>
    </row>
    <row r="49200" spans="2:146">
      <c r="B49200">
        <v>2083.2000000000003</v>
      </c>
      <c r="DI49200">
        <v>20.03</v>
      </c>
      <c r="DJ49200">
        <v>20.03</v>
      </c>
      <c r="DQ49200">
        <v>20.03</v>
      </c>
      <c r="DT49200">
        <v>20.03</v>
      </c>
      <c r="DW49200">
        <v>20.03</v>
      </c>
    </row>
    <row r="49201" spans="2:134">
      <c r="B49201">
        <v>357.20000000000005</v>
      </c>
      <c r="DI49201">
        <v>3.88</v>
      </c>
      <c r="DJ49201">
        <v>3.88</v>
      </c>
      <c r="DV49201">
        <v>3.88</v>
      </c>
      <c r="DW49201">
        <v>3.88</v>
      </c>
    </row>
    <row r="49202" spans="2:134">
      <c r="B49202">
        <v>391.20000000000005</v>
      </c>
      <c r="DI49202">
        <v>3.62</v>
      </c>
      <c r="DJ49202">
        <v>3.62</v>
      </c>
      <c r="DR49202">
        <v>3.62</v>
      </c>
      <c r="DU49202">
        <v>3.62</v>
      </c>
      <c r="DV49202">
        <v>3.62</v>
      </c>
    </row>
    <row r="49203" spans="2:134">
      <c r="B49203">
        <v>762.80000000000007</v>
      </c>
      <c r="DI49203">
        <v>6.15</v>
      </c>
      <c r="DJ49203">
        <v>6.15</v>
      </c>
      <c r="DQ49203">
        <v>6.15</v>
      </c>
      <c r="DR49203">
        <v>6.15</v>
      </c>
      <c r="DS49203">
        <v>6.15</v>
      </c>
      <c r="DT49203">
        <v>6.15</v>
      </c>
    </row>
    <row r="49204" spans="2:134">
      <c r="B49204">
        <v>1280</v>
      </c>
      <c r="DI49204">
        <v>10.66</v>
      </c>
      <c r="DJ49204">
        <v>10.66</v>
      </c>
      <c r="DK49204">
        <v>10.66</v>
      </c>
      <c r="DL49204">
        <v>10.66</v>
      </c>
      <c r="DM49204">
        <v>10.66</v>
      </c>
      <c r="DN49204">
        <v>10.66</v>
      </c>
    </row>
    <row r="49205" spans="2:134">
      <c r="B49205">
        <v>234</v>
      </c>
      <c r="CT49205">
        <v>2.5</v>
      </c>
      <c r="CU49205">
        <v>2.5</v>
      </c>
      <c r="CV49205">
        <v>2.5</v>
      </c>
    </row>
    <row r="49206" spans="2:134">
      <c r="B49206">
        <v>354</v>
      </c>
      <c r="CY49206">
        <v>3.98</v>
      </c>
      <c r="CZ49206">
        <v>3.98</v>
      </c>
      <c r="DA49206">
        <v>3.98</v>
      </c>
    </row>
    <row r="49207" spans="2:134">
      <c r="B49207">
        <v>392</v>
      </c>
      <c r="DI49207">
        <v>3.52</v>
      </c>
      <c r="DJ49207">
        <v>3.52</v>
      </c>
      <c r="DL49207">
        <v>3.52</v>
      </c>
      <c r="DO49207">
        <v>3.52</v>
      </c>
    </row>
    <row r="49208" spans="2:134">
      <c r="B49208">
        <v>304</v>
      </c>
      <c r="CE49208">
        <v>3.8</v>
      </c>
      <c r="CF49208">
        <v>3.8</v>
      </c>
    </row>
    <row r="49209" spans="2:134">
      <c r="B49209">
        <v>144</v>
      </c>
      <c r="DZ49209">
        <v>1.62</v>
      </c>
      <c r="EA49209">
        <v>1.62</v>
      </c>
      <c r="EB49209">
        <v>1.62</v>
      </c>
      <c r="EC49209">
        <v>0.81</v>
      </c>
      <c r="ED49209">
        <v>0.81</v>
      </c>
    </row>
    <row r="49210" spans="2:134">
      <c r="B49210">
        <v>602.40000000000009</v>
      </c>
      <c r="BY49210">
        <v>6.02</v>
      </c>
      <c r="BZ49210">
        <v>6.02</v>
      </c>
      <c r="CB49210">
        <v>3.01</v>
      </c>
      <c r="CC49210">
        <v>3.01</v>
      </c>
      <c r="CD49210">
        <v>3.01</v>
      </c>
      <c r="CI49210">
        <v>6.02</v>
      </c>
      <c r="CJ49210">
        <v>6.02</v>
      </c>
      <c r="CK49210">
        <v>6.02</v>
      </c>
    </row>
    <row r="49211" spans="2:134">
      <c r="B49211">
        <v>307.60000000000002</v>
      </c>
      <c r="BY49211">
        <v>3.34</v>
      </c>
      <c r="BZ49211">
        <v>3.34</v>
      </c>
      <c r="CG49211">
        <v>3.34</v>
      </c>
      <c r="CH49211">
        <v>3.34</v>
      </c>
    </row>
    <row r="49212" spans="2:134">
      <c r="B49212">
        <v>358</v>
      </c>
      <c r="BY49212">
        <v>2.37</v>
      </c>
      <c r="BZ49212">
        <v>2.37</v>
      </c>
      <c r="CA49212">
        <v>2.37</v>
      </c>
      <c r="DX49212">
        <v>4.74</v>
      </c>
      <c r="DY49212">
        <v>4.74</v>
      </c>
    </row>
    <row r="49213" spans="2:134">
      <c r="B49213">
        <v>286</v>
      </c>
      <c r="BT49213">
        <v>1.43</v>
      </c>
      <c r="BV49213">
        <v>1.43</v>
      </c>
      <c r="BW49213">
        <v>1.43</v>
      </c>
      <c r="BX49213">
        <v>1.43</v>
      </c>
      <c r="CO49213">
        <v>2.86</v>
      </c>
      <c r="CP49213">
        <v>2.86</v>
      </c>
      <c r="CQ49213">
        <v>2.86</v>
      </c>
      <c r="CR49213">
        <v>2.86</v>
      </c>
      <c r="CS49213">
        <v>2.86</v>
      </c>
    </row>
    <row r="49214" spans="2:134">
      <c r="B49214">
        <v>410</v>
      </c>
      <c r="BY49214">
        <v>2.88</v>
      </c>
      <c r="BZ49214">
        <v>2.88</v>
      </c>
      <c r="CA49214">
        <v>2.88</v>
      </c>
      <c r="CW49214">
        <v>5.76</v>
      </c>
      <c r="CX49214">
        <v>5.76</v>
      </c>
    </row>
    <row r="49215" spans="2:134">
      <c r="B49215">
        <v>346</v>
      </c>
      <c r="BR49215">
        <v>3.6</v>
      </c>
      <c r="BS49215">
        <v>3.6</v>
      </c>
      <c r="BT49215">
        <v>1.8</v>
      </c>
      <c r="CL49215">
        <v>3.6</v>
      </c>
      <c r="CM49215">
        <v>3.6</v>
      </c>
      <c r="CN49215">
        <v>3.6</v>
      </c>
    </row>
    <row r="49216" spans="2:134">
      <c r="B49216">
        <v>302</v>
      </c>
      <c r="BR49216">
        <v>3.28</v>
      </c>
      <c r="BS49216">
        <v>3.28</v>
      </c>
      <c r="BT49216">
        <v>1.64</v>
      </c>
      <c r="BU49216">
        <v>1.64</v>
      </c>
      <c r="CL49216">
        <v>3.28</v>
      </c>
      <c r="CM49216">
        <v>3.28</v>
      </c>
      <c r="CN49216">
        <v>3.28</v>
      </c>
    </row>
    <row r="49217" spans="2:146">
      <c r="B49217">
        <v>204</v>
      </c>
      <c r="BR49217">
        <v>2.12</v>
      </c>
      <c r="BS49217">
        <v>2.12</v>
      </c>
      <c r="BT49217">
        <v>1.06</v>
      </c>
      <c r="CL49217">
        <v>2.12</v>
      </c>
      <c r="CM49217">
        <v>2.12</v>
      </c>
      <c r="CN49217">
        <v>2.12</v>
      </c>
    </row>
    <row r="49219" spans="2:146">
      <c r="B49219">
        <v>26358.800000000003</v>
      </c>
      <c r="BQ49219">
        <v>0</v>
      </c>
      <c r="BR49219">
        <v>9</v>
      </c>
      <c r="BS49219">
        <v>9</v>
      </c>
      <c r="BT49219">
        <v>5.93</v>
      </c>
      <c r="BU49219">
        <v>1.64</v>
      </c>
      <c r="BV49219">
        <v>6.5299999999999994</v>
      </c>
      <c r="BW49219">
        <v>6.5299999999999994</v>
      </c>
      <c r="BX49219">
        <v>1.43</v>
      </c>
      <c r="BY49219">
        <v>14.61</v>
      </c>
      <c r="BZ49219">
        <v>14.61</v>
      </c>
      <c r="CA49219">
        <v>5.25</v>
      </c>
      <c r="CB49219">
        <v>3.01</v>
      </c>
      <c r="CC49219">
        <v>3.01</v>
      </c>
      <c r="CD49219">
        <v>3.01</v>
      </c>
      <c r="CE49219">
        <v>3.8</v>
      </c>
      <c r="CF49219">
        <v>3.8</v>
      </c>
      <c r="CG49219">
        <v>3.34</v>
      </c>
      <c r="CH49219">
        <v>3.34</v>
      </c>
      <c r="CI49219">
        <v>6.02</v>
      </c>
      <c r="CJ49219">
        <v>6.02</v>
      </c>
      <c r="CK49219">
        <v>6.02</v>
      </c>
      <c r="CL49219">
        <v>9</v>
      </c>
      <c r="CM49219">
        <v>9</v>
      </c>
      <c r="CN49219">
        <v>9</v>
      </c>
      <c r="CO49219">
        <v>2.86</v>
      </c>
      <c r="CP49219">
        <v>2.86</v>
      </c>
      <c r="CQ49219">
        <v>2.86</v>
      </c>
      <c r="CR49219">
        <v>2.86</v>
      </c>
      <c r="CS49219">
        <v>2.86</v>
      </c>
      <c r="CT49219">
        <v>2.5</v>
      </c>
      <c r="CU49219">
        <v>2.5</v>
      </c>
      <c r="CV49219">
        <v>2.5</v>
      </c>
      <c r="CW49219">
        <v>5.76</v>
      </c>
      <c r="CX49219">
        <v>5.76</v>
      </c>
      <c r="CY49219">
        <v>3.98</v>
      </c>
      <c r="CZ49219">
        <v>3.98</v>
      </c>
      <c r="DA49219">
        <v>3.98</v>
      </c>
      <c r="DB49219">
        <v>10.210000000000001</v>
      </c>
      <c r="DC49219">
        <v>10.210000000000001</v>
      </c>
      <c r="DD49219">
        <v>10.210000000000001</v>
      </c>
      <c r="DE49219">
        <v>10.210000000000001</v>
      </c>
      <c r="DF49219">
        <v>10.210000000000001</v>
      </c>
      <c r="DG49219">
        <v>10.210000000000001</v>
      </c>
      <c r="DH49219">
        <v>10.210000000000001</v>
      </c>
      <c r="DI49219">
        <v>47.860000000000007</v>
      </c>
      <c r="DJ49219">
        <v>47.860000000000007</v>
      </c>
      <c r="DK49219">
        <v>10.66</v>
      </c>
      <c r="DL49219">
        <v>14.18</v>
      </c>
      <c r="DM49219">
        <v>10.66</v>
      </c>
      <c r="DN49219">
        <v>10.66</v>
      </c>
      <c r="DO49219">
        <v>3.52</v>
      </c>
      <c r="DP49219">
        <v>0</v>
      </c>
      <c r="DQ49219">
        <v>26.18</v>
      </c>
      <c r="DR49219">
        <v>9.77</v>
      </c>
      <c r="DS49219">
        <v>6.15</v>
      </c>
      <c r="DT49219">
        <v>26.18</v>
      </c>
      <c r="DU49219">
        <v>3.62</v>
      </c>
      <c r="DV49219">
        <v>7.5</v>
      </c>
      <c r="DW49219">
        <v>23.91</v>
      </c>
      <c r="DX49219">
        <v>4.74</v>
      </c>
      <c r="DY49219">
        <v>4.74</v>
      </c>
      <c r="DZ49219">
        <v>1.62</v>
      </c>
      <c r="EA49219">
        <v>1.62</v>
      </c>
      <c r="EB49219">
        <v>1.62</v>
      </c>
      <c r="EC49219">
        <v>0.81</v>
      </c>
      <c r="ED49219">
        <v>0.81</v>
      </c>
      <c r="EE49219">
        <v>8.15</v>
      </c>
      <c r="EF49219">
        <v>8.15</v>
      </c>
      <c r="EG49219">
        <v>8.15</v>
      </c>
      <c r="EH49219">
        <v>8.15</v>
      </c>
      <c r="EI49219">
        <v>8.15</v>
      </c>
      <c r="EJ49219">
        <v>8.15</v>
      </c>
      <c r="EK49219">
        <v>8.15</v>
      </c>
      <c r="EL49219">
        <v>0.66</v>
      </c>
      <c r="EM49219">
        <v>0.66</v>
      </c>
      <c r="EN49219">
        <v>0.66</v>
      </c>
      <c r="EO49219">
        <v>0.66</v>
      </c>
      <c r="EP49219">
        <v>0.66</v>
      </c>
    </row>
    <row r="49220" spans="2:146">
      <c r="B49220" t="s">
        <v>265</v>
      </c>
      <c r="BQ49220" t="s">
        <v>345</v>
      </c>
      <c r="BR49220" t="s">
        <v>131</v>
      </c>
      <c r="BS49220" t="s">
        <v>131</v>
      </c>
      <c r="BT49220" t="s">
        <v>357</v>
      </c>
      <c r="BU49220" t="s">
        <v>131</v>
      </c>
      <c r="BV49220" t="s">
        <v>360</v>
      </c>
      <c r="BW49220" t="s">
        <v>360</v>
      </c>
      <c r="BX49220" t="s">
        <v>360</v>
      </c>
      <c r="BY49220" t="s">
        <v>364</v>
      </c>
      <c r="BZ49220" t="s">
        <v>364</v>
      </c>
      <c r="CA49220" t="s">
        <v>364</v>
      </c>
      <c r="CB49220" t="s">
        <v>368</v>
      </c>
      <c r="CC49220" t="s">
        <v>368</v>
      </c>
      <c r="CD49220" t="s">
        <v>368</v>
      </c>
      <c r="CE49220" t="s">
        <v>352</v>
      </c>
      <c r="CF49220" t="s">
        <v>352</v>
      </c>
      <c r="CG49220" t="s">
        <v>372</v>
      </c>
      <c r="CH49220" t="s">
        <v>372</v>
      </c>
      <c r="CI49220" t="s">
        <v>375</v>
      </c>
      <c r="CJ49220" t="s">
        <v>375</v>
      </c>
      <c r="CK49220" t="s">
        <v>375</v>
      </c>
      <c r="CL49220" t="s">
        <v>379</v>
      </c>
      <c r="CM49220" t="s">
        <v>379</v>
      </c>
      <c r="CN49220" t="s">
        <v>379</v>
      </c>
      <c r="CO49220" t="s">
        <v>383</v>
      </c>
      <c r="CP49220" t="s">
        <v>383</v>
      </c>
      <c r="CQ49220" t="s">
        <v>383</v>
      </c>
      <c r="CR49220" t="s">
        <v>383</v>
      </c>
      <c r="CS49220" t="s">
        <v>383</v>
      </c>
      <c r="CT49220" t="s">
        <v>389</v>
      </c>
      <c r="CU49220" t="s">
        <v>389</v>
      </c>
      <c r="CV49220" t="s">
        <v>389</v>
      </c>
      <c r="CW49220" t="s">
        <v>393</v>
      </c>
      <c r="CX49220" t="s">
        <v>393</v>
      </c>
      <c r="CY49220" t="s">
        <v>396</v>
      </c>
      <c r="CZ49220" t="s">
        <v>396</v>
      </c>
      <c r="DA49220" t="s">
        <v>396</v>
      </c>
      <c r="DB49220" t="s">
        <v>400</v>
      </c>
      <c r="DC49220" t="s">
        <v>400</v>
      </c>
      <c r="DD49220" t="s">
        <v>400</v>
      </c>
      <c r="DE49220" t="s">
        <v>400</v>
      </c>
      <c r="DF49220" t="s">
        <v>400</v>
      </c>
      <c r="DG49220" t="s">
        <v>400</v>
      </c>
      <c r="DH49220" t="s">
        <v>400</v>
      </c>
      <c r="DI49220" t="s">
        <v>121</v>
      </c>
      <c r="DJ49220" t="s">
        <v>121</v>
      </c>
      <c r="DK49220" t="s">
        <v>121</v>
      </c>
      <c r="DL49220" t="s">
        <v>121</v>
      </c>
      <c r="DM49220" t="s">
        <v>121</v>
      </c>
      <c r="DN49220" t="s">
        <v>121</v>
      </c>
      <c r="DO49220" t="s">
        <v>121</v>
      </c>
      <c r="DP49220" t="s">
        <v>121</v>
      </c>
      <c r="DQ49220" t="s">
        <v>121</v>
      </c>
      <c r="DR49220" t="s">
        <v>121</v>
      </c>
      <c r="DS49220" t="s">
        <v>121</v>
      </c>
      <c r="DT49220" t="s">
        <v>121</v>
      </c>
      <c r="DU49220" t="s">
        <v>121</v>
      </c>
      <c r="DV49220" t="s">
        <v>121</v>
      </c>
      <c r="DW49220" t="s">
        <v>121</v>
      </c>
      <c r="DX49220" t="s">
        <v>423</v>
      </c>
      <c r="DY49220" t="s">
        <v>423</v>
      </c>
      <c r="DZ49220" t="s">
        <v>426</v>
      </c>
      <c r="EA49220" t="s">
        <v>426</v>
      </c>
      <c r="EB49220" t="s">
        <v>426</v>
      </c>
      <c r="EC49220" t="s">
        <v>426</v>
      </c>
      <c r="ED49220" t="s">
        <v>426</v>
      </c>
      <c r="EE49220" t="s">
        <v>432</v>
      </c>
      <c r="EF49220" t="s">
        <v>432</v>
      </c>
      <c r="EG49220" t="s">
        <v>432</v>
      </c>
      <c r="EH49220" t="s">
        <v>432</v>
      </c>
      <c r="EI49220" t="s">
        <v>432</v>
      </c>
      <c r="EJ49220" t="s">
        <v>432</v>
      </c>
      <c r="EK49220" t="s">
        <v>432</v>
      </c>
      <c r="EL49220" t="s">
        <v>440</v>
      </c>
      <c r="EM49220" t="s">
        <v>440</v>
      </c>
      <c r="EN49220" t="s">
        <v>440</v>
      </c>
      <c r="EO49220" t="s">
        <v>440</v>
      </c>
      <c r="EP49220" t="s">
        <v>440</v>
      </c>
    </row>
    <row r="49221" spans="2:146">
      <c r="BQ49221" t="s">
        <v>351</v>
      </c>
      <c r="BR49221" t="s">
        <v>355</v>
      </c>
      <c r="BS49221" t="s">
        <v>356</v>
      </c>
      <c r="BT49221" t="s">
        <v>358</v>
      </c>
      <c r="BU49221" t="s">
        <v>359</v>
      </c>
      <c r="BV49221" t="s">
        <v>361</v>
      </c>
      <c r="BW49221" t="s">
        <v>362</v>
      </c>
      <c r="BX49221" t="s">
        <v>363</v>
      </c>
      <c r="BY49221" t="s">
        <v>365</v>
      </c>
      <c r="BZ49221" t="s">
        <v>366</v>
      </c>
      <c r="CA49221" t="s">
        <v>367</v>
      </c>
      <c r="CB49221" t="s">
        <v>369</v>
      </c>
      <c r="CC49221" t="s">
        <v>370</v>
      </c>
      <c r="CD49221" t="s">
        <v>371</v>
      </c>
      <c r="CE49221" t="s">
        <v>353</v>
      </c>
      <c r="CF49221" t="s">
        <v>354</v>
      </c>
      <c r="CG49221" t="s">
        <v>373</v>
      </c>
      <c r="CH49221" t="s">
        <v>374</v>
      </c>
      <c r="CI49221" t="s">
        <v>376</v>
      </c>
      <c r="CJ49221" t="s">
        <v>377</v>
      </c>
      <c r="CK49221" t="s">
        <v>378</v>
      </c>
      <c r="CL49221" t="s">
        <v>380</v>
      </c>
      <c r="CM49221" t="s">
        <v>381</v>
      </c>
      <c r="CN49221" t="s">
        <v>382</v>
      </c>
      <c r="CO49221" t="s">
        <v>384</v>
      </c>
      <c r="CP49221" t="s">
        <v>385</v>
      </c>
      <c r="CQ49221" t="s">
        <v>386</v>
      </c>
      <c r="CR49221" t="s">
        <v>387</v>
      </c>
      <c r="CS49221" t="s">
        <v>388</v>
      </c>
      <c r="CT49221" t="s">
        <v>390</v>
      </c>
      <c r="CU49221" t="s">
        <v>391</v>
      </c>
      <c r="CV49221" t="s">
        <v>392</v>
      </c>
      <c r="CW49221" t="s">
        <v>394</v>
      </c>
      <c r="CX49221" t="s">
        <v>395</v>
      </c>
      <c r="CY49221" t="s">
        <v>397</v>
      </c>
      <c r="CZ49221" t="s">
        <v>398</v>
      </c>
      <c r="DA49221" t="s">
        <v>399</v>
      </c>
      <c r="DB49221" t="s">
        <v>401</v>
      </c>
      <c r="DC49221" t="s">
        <v>402</v>
      </c>
      <c r="DD49221" t="s">
        <v>403</v>
      </c>
      <c r="DE49221" t="s">
        <v>404</v>
      </c>
      <c r="DF49221" t="s">
        <v>405</v>
      </c>
      <c r="DG49221" t="s">
        <v>406</v>
      </c>
      <c r="DH49221" t="s">
        <v>407</v>
      </c>
      <c r="DI49221" t="s">
        <v>408</v>
      </c>
      <c r="DJ49221" t="s">
        <v>409</v>
      </c>
      <c r="DK49221" t="s">
        <v>410</v>
      </c>
      <c r="DL49221" t="s">
        <v>411</v>
      </c>
      <c r="DM49221" t="s">
        <v>412</v>
      </c>
      <c r="DN49221" t="s">
        <v>413</v>
      </c>
      <c r="DO49221" t="s">
        <v>414</v>
      </c>
      <c r="DP49221" t="s">
        <v>415</v>
      </c>
      <c r="DQ49221" t="s">
        <v>416</v>
      </c>
      <c r="DR49221" t="s">
        <v>417</v>
      </c>
      <c r="DS49221" t="s">
        <v>418</v>
      </c>
      <c r="DT49221" t="s">
        <v>419</v>
      </c>
      <c r="DU49221" t="s">
        <v>420</v>
      </c>
      <c r="DV49221" t="s">
        <v>421</v>
      </c>
      <c r="DW49221" t="s">
        <v>422</v>
      </c>
      <c r="DX49221" t="s">
        <v>424</v>
      </c>
      <c r="DY49221" t="s">
        <v>425</v>
      </c>
      <c r="DZ49221" t="s">
        <v>427</v>
      </c>
      <c r="EA49221" t="s">
        <v>428</v>
      </c>
      <c r="EB49221" t="s">
        <v>429</v>
      </c>
      <c r="EC49221" t="s">
        <v>430</v>
      </c>
      <c r="ED49221" t="s">
        <v>431</v>
      </c>
      <c r="EE49221" t="s">
        <v>433</v>
      </c>
      <c r="EF49221" t="s">
        <v>434</v>
      </c>
      <c r="EG49221" t="s">
        <v>435</v>
      </c>
      <c r="EH49221" t="s">
        <v>436</v>
      </c>
      <c r="EI49221" t="s">
        <v>437</v>
      </c>
      <c r="EJ49221" t="s">
        <v>438</v>
      </c>
      <c r="EK49221" t="s">
        <v>439</v>
      </c>
      <c r="EL49221" t="s">
        <v>441</v>
      </c>
      <c r="EM49221" t="s">
        <v>442</v>
      </c>
      <c r="EN49221" t="s">
        <v>443</v>
      </c>
      <c r="EO49221" t="s">
        <v>444</v>
      </c>
      <c r="EP49221" t="s">
        <v>445</v>
      </c>
    </row>
    <row r="49222" spans="2:146">
      <c r="BQ49222">
        <v>67</v>
      </c>
      <c r="BR49222">
        <v>68</v>
      </c>
      <c r="BS49222">
        <v>69</v>
      </c>
      <c r="BT49222">
        <v>70</v>
      </c>
      <c r="BU49222">
        <v>71</v>
      </c>
      <c r="BV49222">
        <v>72</v>
      </c>
      <c r="BW49222">
        <v>73</v>
      </c>
      <c r="BX49222">
        <v>74</v>
      </c>
      <c r="BY49222">
        <v>75</v>
      </c>
      <c r="BZ49222">
        <v>76</v>
      </c>
      <c r="CA49222">
        <v>77</v>
      </c>
      <c r="CB49222">
        <v>78</v>
      </c>
      <c r="CC49222">
        <v>79</v>
      </c>
      <c r="CD49222">
        <v>80</v>
      </c>
      <c r="CE49222">
        <v>81</v>
      </c>
      <c r="CF49222">
        <v>82</v>
      </c>
      <c r="CG49222">
        <v>83</v>
      </c>
      <c r="CH49222">
        <v>84</v>
      </c>
      <c r="CI49222">
        <v>85</v>
      </c>
      <c r="CJ49222">
        <v>86</v>
      </c>
      <c r="CK49222">
        <v>87</v>
      </c>
      <c r="CL49222">
        <v>88</v>
      </c>
      <c r="CM49222">
        <v>89</v>
      </c>
      <c r="CN49222">
        <v>90</v>
      </c>
      <c r="CO49222">
        <v>91</v>
      </c>
      <c r="CP49222">
        <v>92</v>
      </c>
      <c r="CQ49222">
        <v>93</v>
      </c>
      <c r="CR49222">
        <v>94</v>
      </c>
      <c r="CS49222">
        <v>95</v>
      </c>
      <c r="CT49222">
        <v>96</v>
      </c>
      <c r="CU49222">
        <v>97</v>
      </c>
      <c r="CV49222">
        <v>98</v>
      </c>
      <c r="CW49222">
        <v>99</v>
      </c>
      <c r="CX49222">
        <v>100</v>
      </c>
      <c r="CY49222">
        <v>101</v>
      </c>
      <c r="CZ49222">
        <v>102</v>
      </c>
      <c r="DA49222">
        <v>103</v>
      </c>
      <c r="DB49222">
        <v>104</v>
      </c>
      <c r="DC49222">
        <v>105</v>
      </c>
      <c r="DD49222">
        <v>106</v>
      </c>
      <c r="DE49222">
        <v>107</v>
      </c>
      <c r="DF49222">
        <v>108</v>
      </c>
      <c r="DG49222">
        <v>109</v>
      </c>
      <c r="DH49222">
        <v>110</v>
      </c>
      <c r="DI49222">
        <v>111</v>
      </c>
      <c r="DJ49222">
        <v>112</v>
      </c>
      <c r="DK49222">
        <v>113</v>
      </c>
      <c r="DL49222">
        <v>114</v>
      </c>
      <c r="DM49222">
        <v>115</v>
      </c>
      <c r="DN49222">
        <v>116</v>
      </c>
      <c r="DO49222">
        <v>117</v>
      </c>
      <c r="DP49222">
        <v>118</v>
      </c>
      <c r="DQ49222">
        <v>119</v>
      </c>
      <c r="DR49222">
        <v>120</v>
      </c>
      <c r="DS49222">
        <v>121</v>
      </c>
      <c r="DT49222">
        <v>122</v>
      </c>
      <c r="DU49222">
        <v>123</v>
      </c>
      <c r="DV49222">
        <v>124</v>
      </c>
      <c r="DW49222">
        <v>125</v>
      </c>
      <c r="DX49222">
        <v>126</v>
      </c>
      <c r="DY49222">
        <v>127</v>
      </c>
      <c r="DZ49222">
        <v>128</v>
      </c>
      <c r="EA49222">
        <v>129</v>
      </c>
      <c r="EB49222">
        <v>130</v>
      </c>
      <c r="EC49222">
        <v>131</v>
      </c>
      <c r="ED49222">
        <v>132</v>
      </c>
      <c r="EE49222">
        <v>133</v>
      </c>
      <c r="EF49222">
        <v>134</v>
      </c>
      <c r="EG49222">
        <v>135</v>
      </c>
      <c r="EH49222">
        <v>136</v>
      </c>
      <c r="EI49222">
        <v>137</v>
      </c>
      <c r="EJ49222">
        <v>138</v>
      </c>
      <c r="EK49222">
        <v>139</v>
      </c>
      <c r="EL49222">
        <v>140</v>
      </c>
      <c r="EM49222">
        <v>141</v>
      </c>
      <c r="EN49222">
        <v>142</v>
      </c>
      <c r="EO49222">
        <v>143</v>
      </c>
      <c r="EP49222">
        <v>144</v>
      </c>
    </row>
    <row r="49223" spans="2:146">
      <c r="CE49223" t="s">
        <v>451</v>
      </c>
    </row>
    <row r="65538" spans="2:2">
      <c r="B65538">
        <v>200</v>
      </c>
    </row>
    <row r="65539" spans="2:2">
      <c r="B65539">
        <v>200</v>
      </c>
    </row>
    <row r="65540" spans="2:2">
      <c r="B65540">
        <v>800</v>
      </c>
    </row>
    <row r="65541" spans="2:2">
      <c r="B65541">
        <v>200</v>
      </c>
    </row>
    <row r="65542" spans="2:2">
      <c r="B65542">
        <v>1044</v>
      </c>
    </row>
    <row r="65543" spans="2:2">
      <c r="B65543">
        <v>998.40000000000009</v>
      </c>
    </row>
    <row r="65544" spans="2:2">
      <c r="B65544">
        <v>272</v>
      </c>
    </row>
    <row r="65545" spans="2:2">
      <c r="B65545">
        <v>200</v>
      </c>
    </row>
    <row r="65546" spans="2:2">
      <c r="B65546">
        <v>214</v>
      </c>
    </row>
    <row r="65547" spans="2:2">
      <c r="B65547">
        <v>200</v>
      </c>
    </row>
    <row r="65548" spans="2:2">
      <c r="B65548">
        <v>152</v>
      </c>
    </row>
    <row r="65549" spans="2:2">
      <c r="B65549">
        <v>200</v>
      </c>
    </row>
    <row r="65550" spans="2:2">
      <c r="B65550">
        <v>300</v>
      </c>
    </row>
    <row r="65551" spans="2:2">
      <c r="B65551">
        <v>104</v>
      </c>
    </row>
    <row r="65552" spans="2:2">
      <c r="B65552">
        <v>162</v>
      </c>
    </row>
    <row r="65553" spans="2:2">
      <c r="B65553">
        <v>200</v>
      </c>
    </row>
    <row r="65554" spans="2:2">
      <c r="B65554">
        <v>200</v>
      </c>
    </row>
    <row r="65555" spans="2:2">
      <c r="B65555">
        <v>200</v>
      </c>
    </row>
    <row r="65556" spans="2:2">
      <c r="B65556">
        <v>200</v>
      </c>
    </row>
    <row r="65557" spans="2:2">
      <c r="B65557">
        <v>200</v>
      </c>
    </row>
    <row r="65558" spans="2:2">
      <c r="B65558">
        <v>200</v>
      </c>
    </row>
    <row r="65559" spans="2:2">
      <c r="B65559">
        <v>200</v>
      </c>
    </row>
    <row r="65560" spans="2:2">
      <c r="B65560">
        <v>200</v>
      </c>
    </row>
    <row r="65561" spans="2:2">
      <c r="B65561">
        <v>800</v>
      </c>
    </row>
    <row r="65562" spans="2:2">
      <c r="B65562">
        <v>300</v>
      </c>
    </row>
    <row r="65563" spans="2:2">
      <c r="B65563">
        <v>778</v>
      </c>
    </row>
    <row r="65564" spans="2:2">
      <c r="B65564">
        <v>614</v>
      </c>
    </row>
    <row r="65565" spans="2:2">
      <c r="B65565">
        <v>444</v>
      </c>
    </row>
    <row r="65566" spans="2:2">
      <c r="B65566">
        <v>800</v>
      </c>
    </row>
    <row r="65567" spans="2:2">
      <c r="B65567">
        <v>200</v>
      </c>
    </row>
    <row r="65568" spans="2:2">
      <c r="B65568">
        <v>780</v>
      </c>
    </row>
    <row r="65569" spans="2:146">
      <c r="B65569">
        <v>174</v>
      </c>
    </row>
    <row r="65570" spans="2:146">
      <c r="B65570">
        <v>194</v>
      </c>
    </row>
    <row r="65571" spans="2:146">
      <c r="B65571">
        <v>782</v>
      </c>
    </row>
    <row r="65572" spans="2:146">
      <c r="B65572">
        <v>236</v>
      </c>
    </row>
    <row r="65573" spans="2:146">
      <c r="B65573">
        <v>144</v>
      </c>
    </row>
    <row r="65574" spans="2:146">
      <c r="B65574">
        <v>200</v>
      </c>
    </row>
    <row r="65575" spans="2:146">
      <c r="B65575">
        <v>240</v>
      </c>
    </row>
    <row r="65576" spans="2:146">
      <c r="B65576">
        <v>200</v>
      </c>
    </row>
    <row r="65577" spans="2:146">
      <c r="B65577">
        <v>612</v>
      </c>
    </row>
    <row r="65578" spans="2:146">
      <c r="B65578">
        <v>156</v>
      </c>
    </row>
    <row r="65579" spans="2:146">
      <c r="B65579">
        <v>116</v>
      </c>
    </row>
    <row r="65580" spans="2:146">
      <c r="B65580">
        <v>160</v>
      </c>
    </row>
    <row r="65581" spans="2:146">
      <c r="B65581">
        <v>80</v>
      </c>
      <c r="EL65581">
        <v>0.66</v>
      </c>
      <c r="EM65581">
        <v>0.66</v>
      </c>
      <c r="EN65581">
        <v>0.66</v>
      </c>
      <c r="EO65581">
        <v>0.66</v>
      </c>
      <c r="EP65581">
        <v>0.66</v>
      </c>
    </row>
    <row r="65582" spans="2:146">
      <c r="B65582">
        <v>1144</v>
      </c>
      <c r="BV65582">
        <v>5.0999999999999996</v>
      </c>
      <c r="BW65582">
        <v>5.0999999999999996</v>
      </c>
      <c r="DB65582">
        <v>10.210000000000001</v>
      </c>
      <c r="DC65582">
        <v>10.210000000000001</v>
      </c>
      <c r="DD65582">
        <v>10.210000000000001</v>
      </c>
      <c r="DE65582">
        <v>10.210000000000001</v>
      </c>
      <c r="DF65582">
        <v>10.210000000000001</v>
      </c>
      <c r="DG65582">
        <v>10.210000000000001</v>
      </c>
      <c r="DH65582">
        <v>10.210000000000001</v>
      </c>
    </row>
    <row r="65583" spans="2:146">
      <c r="B65583">
        <v>1240</v>
      </c>
      <c r="EE65583">
        <v>8.15</v>
      </c>
      <c r="EF65583">
        <v>8.15</v>
      </c>
      <c r="EG65583">
        <v>8.15</v>
      </c>
      <c r="EH65583">
        <v>8.15</v>
      </c>
      <c r="EI65583">
        <v>8.15</v>
      </c>
      <c r="EJ65583">
        <v>8.15</v>
      </c>
      <c r="EK65583">
        <v>8.15</v>
      </c>
    </row>
    <row r="65584" spans="2:146">
      <c r="B65584">
        <v>2083.2000000000003</v>
      </c>
      <c r="DI65584">
        <v>20.03</v>
      </c>
      <c r="DJ65584">
        <v>20.03</v>
      </c>
      <c r="DQ65584">
        <v>20.03</v>
      </c>
      <c r="DT65584">
        <v>20.03</v>
      </c>
      <c r="DW65584">
        <v>20.03</v>
      </c>
    </row>
    <row r="65585" spans="2:134">
      <c r="B65585">
        <v>357.20000000000005</v>
      </c>
      <c r="DI65585">
        <v>3.88</v>
      </c>
      <c r="DJ65585">
        <v>3.88</v>
      </c>
      <c r="DV65585">
        <v>3.88</v>
      </c>
      <c r="DW65585">
        <v>3.88</v>
      </c>
    </row>
    <row r="65586" spans="2:134">
      <c r="B65586">
        <v>391.20000000000005</v>
      </c>
      <c r="DI65586">
        <v>3.62</v>
      </c>
      <c r="DJ65586">
        <v>3.62</v>
      </c>
      <c r="DR65586">
        <v>3.62</v>
      </c>
      <c r="DU65586">
        <v>3.62</v>
      </c>
      <c r="DV65586">
        <v>3.62</v>
      </c>
    </row>
    <row r="65587" spans="2:134">
      <c r="B65587">
        <v>762.80000000000007</v>
      </c>
      <c r="DI65587">
        <v>6.15</v>
      </c>
      <c r="DJ65587">
        <v>6.15</v>
      </c>
      <c r="DQ65587">
        <v>6.15</v>
      </c>
      <c r="DR65587">
        <v>6.15</v>
      </c>
      <c r="DS65587">
        <v>6.15</v>
      </c>
      <c r="DT65587">
        <v>6.15</v>
      </c>
    </row>
    <row r="65588" spans="2:134">
      <c r="B65588">
        <v>1280</v>
      </c>
      <c r="DI65588">
        <v>10.66</v>
      </c>
      <c r="DJ65588">
        <v>10.66</v>
      </c>
      <c r="DK65588">
        <v>10.66</v>
      </c>
      <c r="DL65588">
        <v>10.66</v>
      </c>
      <c r="DM65588">
        <v>10.66</v>
      </c>
      <c r="DN65588">
        <v>10.66</v>
      </c>
    </row>
    <row r="65589" spans="2:134">
      <c r="B65589">
        <v>234</v>
      </c>
      <c r="CT65589">
        <v>2.5</v>
      </c>
      <c r="CU65589">
        <v>2.5</v>
      </c>
      <c r="CV65589">
        <v>2.5</v>
      </c>
    </row>
    <row r="65590" spans="2:134">
      <c r="B65590">
        <v>354</v>
      </c>
      <c r="CY65590">
        <v>3.98</v>
      </c>
      <c r="CZ65590">
        <v>3.98</v>
      </c>
      <c r="DA65590">
        <v>3.98</v>
      </c>
    </row>
    <row r="65591" spans="2:134">
      <c r="B65591">
        <v>392</v>
      </c>
      <c r="DI65591">
        <v>3.52</v>
      </c>
      <c r="DJ65591">
        <v>3.52</v>
      </c>
      <c r="DL65591">
        <v>3.52</v>
      </c>
      <c r="DO65591">
        <v>3.52</v>
      </c>
    </row>
    <row r="65592" spans="2:134">
      <c r="B65592">
        <v>304</v>
      </c>
      <c r="CE65592">
        <v>3.8</v>
      </c>
      <c r="CF65592">
        <v>3.8</v>
      </c>
    </row>
    <row r="65593" spans="2:134">
      <c r="B65593">
        <v>144</v>
      </c>
      <c r="DZ65593">
        <v>1.62</v>
      </c>
      <c r="EA65593">
        <v>1.62</v>
      </c>
      <c r="EB65593">
        <v>1.62</v>
      </c>
      <c r="EC65593">
        <v>0.81</v>
      </c>
      <c r="ED65593">
        <v>0.81</v>
      </c>
    </row>
    <row r="65594" spans="2:134">
      <c r="B65594">
        <v>602.40000000000009</v>
      </c>
      <c r="BY65594">
        <v>6.02</v>
      </c>
      <c r="BZ65594">
        <v>6.02</v>
      </c>
      <c r="CB65594">
        <v>3.01</v>
      </c>
      <c r="CC65594">
        <v>3.01</v>
      </c>
      <c r="CD65594">
        <v>3.01</v>
      </c>
      <c r="CI65594">
        <v>6.02</v>
      </c>
      <c r="CJ65594">
        <v>6.02</v>
      </c>
      <c r="CK65594">
        <v>6.02</v>
      </c>
    </row>
    <row r="65595" spans="2:134">
      <c r="B65595">
        <v>307.60000000000002</v>
      </c>
      <c r="BY65595">
        <v>3.34</v>
      </c>
      <c r="BZ65595">
        <v>3.34</v>
      </c>
      <c r="CG65595">
        <v>3.34</v>
      </c>
      <c r="CH65595">
        <v>3.34</v>
      </c>
    </row>
    <row r="65596" spans="2:134">
      <c r="B65596">
        <v>358</v>
      </c>
      <c r="BY65596">
        <v>2.37</v>
      </c>
      <c r="BZ65596">
        <v>2.37</v>
      </c>
      <c r="CA65596">
        <v>2.37</v>
      </c>
      <c r="DX65596">
        <v>4.74</v>
      </c>
      <c r="DY65596">
        <v>4.74</v>
      </c>
    </row>
    <row r="65597" spans="2:134">
      <c r="B65597">
        <v>286</v>
      </c>
      <c r="BT65597">
        <v>1.43</v>
      </c>
      <c r="BV65597">
        <v>1.43</v>
      </c>
      <c r="BW65597">
        <v>1.43</v>
      </c>
      <c r="BX65597">
        <v>1.43</v>
      </c>
      <c r="CO65597">
        <v>2.86</v>
      </c>
      <c r="CP65597">
        <v>2.86</v>
      </c>
      <c r="CQ65597">
        <v>2.86</v>
      </c>
      <c r="CR65597">
        <v>2.86</v>
      </c>
      <c r="CS65597">
        <v>2.86</v>
      </c>
    </row>
    <row r="65598" spans="2:134">
      <c r="B65598">
        <v>410</v>
      </c>
      <c r="BY65598">
        <v>2.88</v>
      </c>
      <c r="BZ65598">
        <v>2.88</v>
      </c>
      <c r="CA65598">
        <v>2.88</v>
      </c>
      <c r="CW65598">
        <v>5.76</v>
      </c>
      <c r="CX65598">
        <v>5.76</v>
      </c>
    </row>
    <row r="65599" spans="2:134">
      <c r="B65599">
        <v>346</v>
      </c>
      <c r="BR65599">
        <v>3.6</v>
      </c>
      <c r="BS65599">
        <v>3.6</v>
      </c>
      <c r="BT65599">
        <v>1.8</v>
      </c>
      <c r="CL65599">
        <v>3.6</v>
      </c>
      <c r="CM65599">
        <v>3.6</v>
      </c>
      <c r="CN65599">
        <v>3.6</v>
      </c>
    </row>
    <row r="65600" spans="2:134">
      <c r="B65600">
        <v>302</v>
      </c>
      <c r="BR65600">
        <v>3.28</v>
      </c>
      <c r="BS65600">
        <v>3.28</v>
      </c>
      <c r="BT65600">
        <v>1.64</v>
      </c>
      <c r="BU65600">
        <v>1.64</v>
      </c>
      <c r="CL65600">
        <v>3.28</v>
      </c>
      <c r="CM65600">
        <v>3.28</v>
      </c>
      <c r="CN65600">
        <v>3.28</v>
      </c>
    </row>
    <row r="65601" spans="2:146">
      <c r="B65601">
        <v>204</v>
      </c>
      <c r="BR65601">
        <v>2.12</v>
      </c>
      <c r="BS65601">
        <v>2.12</v>
      </c>
      <c r="BT65601">
        <v>1.06</v>
      </c>
      <c r="CL65601">
        <v>2.12</v>
      </c>
      <c r="CM65601">
        <v>2.12</v>
      </c>
      <c r="CN65601">
        <v>2.12</v>
      </c>
    </row>
    <row r="65603" spans="2:146">
      <c r="B65603">
        <v>26358.800000000003</v>
      </c>
      <c r="BQ65603">
        <v>0</v>
      </c>
      <c r="BR65603">
        <v>9</v>
      </c>
      <c r="BS65603">
        <v>9</v>
      </c>
      <c r="BT65603">
        <v>5.93</v>
      </c>
      <c r="BU65603">
        <v>1.64</v>
      </c>
      <c r="BV65603">
        <v>6.5299999999999994</v>
      </c>
      <c r="BW65603">
        <v>6.5299999999999994</v>
      </c>
      <c r="BX65603">
        <v>1.43</v>
      </c>
      <c r="BY65603">
        <v>14.61</v>
      </c>
      <c r="BZ65603">
        <v>14.61</v>
      </c>
      <c r="CA65603">
        <v>5.25</v>
      </c>
      <c r="CB65603">
        <v>3.01</v>
      </c>
      <c r="CC65603">
        <v>3.01</v>
      </c>
      <c r="CD65603">
        <v>3.01</v>
      </c>
      <c r="CE65603">
        <v>3.8</v>
      </c>
      <c r="CF65603">
        <v>3.8</v>
      </c>
      <c r="CG65603">
        <v>3.34</v>
      </c>
      <c r="CH65603">
        <v>3.34</v>
      </c>
      <c r="CI65603">
        <v>6.02</v>
      </c>
      <c r="CJ65603">
        <v>6.02</v>
      </c>
      <c r="CK65603">
        <v>6.02</v>
      </c>
      <c r="CL65603">
        <v>9</v>
      </c>
      <c r="CM65603">
        <v>9</v>
      </c>
      <c r="CN65603">
        <v>9</v>
      </c>
      <c r="CO65603">
        <v>2.86</v>
      </c>
      <c r="CP65603">
        <v>2.86</v>
      </c>
      <c r="CQ65603">
        <v>2.86</v>
      </c>
      <c r="CR65603">
        <v>2.86</v>
      </c>
      <c r="CS65603">
        <v>2.86</v>
      </c>
      <c r="CT65603">
        <v>2.5</v>
      </c>
      <c r="CU65603">
        <v>2.5</v>
      </c>
      <c r="CV65603">
        <v>2.5</v>
      </c>
      <c r="CW65603">
        <v>5.76</v>
      </c>
      <c r="CX65603">
        <v>5.76</v>
      </c>
      <c r="CY65603">
        <v>3.98</v>
      </c>
      <c r="CZ65603">
        <v>3.98</v>
      </c>
      <c r="DA65603">
        <v>3.98</v>
      </c>
      <c r="DB65603">
        <v>10.210000000000001</v>
      </c>
      <c r="DC65603">
        <v>10.210000000000001</v>
      </c>
      <c r="DD65603">
        <v>10.210000000000001</v>
      </c>
      <c r="DE65603">
        <v>10.210000000000001</v>
      </c>
      <c r="DF65603">
        <v>10.210000000000001</v>
      </c>
      <c r="DG65603">
        <v>10.210000000000001</v>
      </c>
      <c r="DH65603">
        <v>10.210000000000001</v>
      </c>
      <c r="DI65603">
        <v>47.860000000000007</v>
      </c>
      <c r="DJ65603">
        <v>47.860000000000007</v>
      </c>
      <c r="DK65603">
        <v>10.66</v>
      </c>
      <c r="DL65603">
        <v>14.18</v>
      </c>
      <c r="DM65603">
        <v>10.66</v>
      </c>
      <c r="DN65603">
        <v>10.66</v>
      </c>
      <c r="DO65603">
        <v>3.52</v>
      </c>
      <c r="DP65603">
        <v>0</v>
      </c>
      <c r="DQ65603">
        <v>26.18</v>
      </c>
      <c r="DR65603">
        <v>9.77</v>
      </c>
      <c r="DS65603">
        <v>6.15</v>
      </c>
      <c r="DT65603">
        <v>26.18</v>
      </c>
      <c r="DU65603">
        <v>3.62</v>
      </c>
      <c r="DV65603">
        <v>7.5</v>
      </c>
      <c r="DW65603">
        <v>23.91</v>
      </c>
      <c r="DX65603">
        <v>4.74</v>
      </c>
      <c r="DY65603">
        <v>4.74</v>
      </c>
      <c r="DZ65603">
        <v>1.62</v>
      </c>
      <c r="EA65603">
        <v>1.62</v>
      </c>
      <c r="EB65603">
        <v>1.62</v>
      </c>
      <c r="EC65603">
        <v>0.81</v>
      </c>
      <c r="ED65603">
        <v>0.81</v>
      </c>
      <c r="EE65603">
        <v>8.15</v>
      </c>
      <c r="EF65603">
        <v>8.15</v>
      </c>
      <c r="EG65603">
        <v>8.15</v>
      </c>
      <c r="EH65603">
        <v>8.15</v>
      </c>
      <c r="EI65603">
        <v>8.15</v>
      </c>
      <c r="EJ65603">
        <v>8.15</v>
      </c>
      <c r="EK65603">
        <v>8.15</v>
      </c>
      <c r="EL65603">
        <v>0.66</v>
      </c>
      <c r="EM65603">
        <v>0.66</v>
      </c>
      <c r="EN65603">
        <v>0.66</v>
      </c>
      <c r="EO65603">
        <v>0.66</v>
      </c>
      <c r="EP65603">
        <v>0.66</v>
      </c>
    </row>
    <row r="65604" spans="2:146">
      <c r="B65604" t="s">
        <v>265</v>
      </c>
      <c r="BQ65604" t="s">
        <v>345</v>
      </c>
      <c r="BR65604" t="s">
        <v>131</v>
      </c>
      <c r="BS65604" t="s">
        <v>131</v>
      </c>
      <c r="BT65604" t="s">
        <v>357</v>
      </c>
      <c r="BU65604" t="s">
        <v>131</v>
      </c>
      <c r="BV65604" t="s">
        <v>360</v>
      </c>
      <c r="BW65604" t="s">
        <v>360</v>
      </c>
      <c r="BX65604" t="s">
        <v>360</v>
      </c>
      <c r="BY65604" t="s">
        <v>364</v>
      </c>
      <c r="BZ65604" t="s">
        <v>364</v>
      </c>
      <c r="CA65604" t="s">
        <v>364</v>
      </c>
      <c r="CB65604" t="s">
        <v>368</v>
      </c>
      <c r="CC65604" t="s">
        <v>368</v>
      </c>
      <c r="CD65604" t="s">
        <v>368</v>
      </c>
      <c r="CE65604" t="s">
        <v>352</v>
      </c>
      <c r="CF65604" t="s">
        <v>352</v>
      </c>
      <c r="CG65604" t="s">
        <v>372</v>
      </c>
      <c r="CH65604" t="s">
        <v>372</v>
      </c>
      <c r="CI65604" t="s">
        <v>375</v>
      </c>
      <c r="CJ65604" t="s">
        <v>375</v>
      </c>
      <c r="CK65604" t="s">
        <v>375</v>
      </c>
      <c r="CL65604" t="s">
        <v>379</v>
      </c>
      <c r="CM65604" t="s">
        <v>379</v>
      </c>
      <c r="CN65604" t="s">
        <v>379</v>
      </c>
      <c r="CO65604" t="s">
        <v>383</v>
      </c>
      <c r="CP65604" t="s">
        <v>383</v>
      </c>
      <c r="CQ65604" t="s">
        <v>383</v>
      </c>
      <c r="CR65604" t="s">
        <v>383</v>
      </c>
      <c r="CS65604" t="s">
        <v>383</v>
      </c>
      <c r="CT65604" t="s">
        <v>389</v>
      </c>
      <c r="CU65604" t="s">
        <v>389</v>
      </c>
      <c r="CV65604" t="s">
        <v>389</v>
      </c>
      <c r="CW65604" t="s">
        <v>393</v>
      </c>
      <c r="CX65604" t="s">
        <v>393</v>
      </c>
      <c r="CY65604" t="s">
        <v>396</v>
      </c>
      <c r="CZ65604" t="s">
        <v>396</v>
      </c>
      <c r="DA65604" t="s">
        <v>396</v>
      </c>
      <c r="DB65604" t="s">
        <v>400</v>
      </c>
      <c r="DC65604" t="s">
        <v>400</v>
      </c>
      <c r="DD65604" t="s">
        <v>400</v>
      </c>
      <c r="DE65604" t="s">
        <v>400</v>
      </c>
      <c r="DF65604" t="s">
        <v>400</v>
      </c>
      <c r="DG65604" t="s">
        <v>400</v>
      </c>
      <c r="DH65604" t="s">
        <v>400</v>
      </c>
      <c r="DI65604" t="s">
        <v>121</v>
      </c>
      <c r="DJ65604" t="s">
        <v>121</v>
      </c>
      <c r="DK65604" t="s">
        <v>121</v>
      </c>
      <c r="DL65604" t="s">
        <v>121</v>
      </c>
      <c r="DM65604" t="s">
        <v>121</v>
      </c>
      <c r="DN65604" t="s">
        <v>121</v>
      </c>
      <c r="DO65604" t="s">
        <v>121</v>
      </c>
      <c r="DP65604" t="s">
        <v>121</v>
      </c>
      <c r="DQ65604" t="s">
        <v>121</v>
      </c>
      <c r="DR65604" t="s">
        <v>121</v>
      </c>
      <c r="DS65604" t="s">
        <v>121</v>
      </c>
      <c r="DT65604" t="s">
        <v>121</v>
      </c>
      <c r="DU65604" t="s">
        <v>121</v>
      </c>
      <c r="DV65604" t="s">
        <v>121</v>
      </c>
      <c r="DW65604" t="s">
        <v>121</v>
      </c>
      <c r="DX65604" t="s">
        <v>423</v>
      </c>
      <c r="DY65604" t="s">
        <v>423</v>
      </c>
      <c r="DZ65604" t="s">
        <v>426</v>
      </c>
      <c r="EA65604" t="s">
        <v>426</v>
      </c>
      <c r="EB65604" t="s">
        <v>426</v>
      </c>
      <c r="EC65604" t="s">
        <v>426</v>
      </c>
      <c r="ED65604" t="s">
        <v>426</v>
      </c>
      <c r="EE65604" t="s">
        <v>432</v>
      </c>
      <c r="EF65604" t="s">
        <v>432</v>
      </c>
      <c r="EG65604" t="s">
        <v>432</v>
      </c>
      <c r="EH65604" t="s">
        <v>432</v>
      </c>
      <c r="EI65604" t="s">
        <v>432</v>
      </c>
      <c r="EJ65604" t="s">
        <v>432</v>
      </c>
      <c r="EK65604" t="s">
        <v>432</v>
      </c>
      <c r="EL65604" t="s">
        <v>440</v>
      </c>
      <c r="EM65604" t="s">
        <v>440</v>
      </c>
      <c r="EN65604" t="s">
        <v>440</v>
      </c>
      <c r="EO65604" t="s">
        <v>440</v>
      </c>
      <c r="EP65604" t="s">
        <v>440</v>
      </c>
    </row>
    <row r="65605" spans="2:146">
      <c r="BQ65605" t="s">
        <v>351</v>
      </c>
      <c r="BR65605" t="s">
        <v>355</v>
      </c>
      <c r="BS65605" t="s">
        <v>356</v>
      </c>
      <c r="BT65605" t="s">
        <v>358</v>
      </c>
      <c r="BU65605" t="s">
        <v>359</v>
      </c>
      <c r="BV65605" t="s">
        <v>361</v>
      </c>
      <c r="BW65605" t="s">
        <v>362</v>
      </c>
      <c r="BX65605" t="s">
        <v>363</v>
      </c>
      <c r="BY65605" t="s">
        <v>365</v>
      </c>
      <c r="BZ65605" t="s">
        <v>366</v>
      </c>
      <c r="CA65605" t="s">
        <v>367</v>
      </c>
      <c r="CB65605" t="s">
        <v>369</v>
      </c>
      <c r="CC65605" t="s">
        <v>370</v>
      </c>
      <c r="CD65605" t="s">
        <v>371</v>
      </c>
      <c r="CE65605" t="s">
        <v>353</v>
      </c>
      <c r="CF65605" t="s">
        <v>354</v>
      </c>
      <c r="CG65605" t="s">
        <v>373</v>
      </c>
      <c r="CH65605" t="s">
        <v>374</v>
      </c>
      <c r="CI65605" t="s">
        <v>376</v>
      </c>
      <c r="CJ65605" t="s">
        <v>377</v>
      </c>
      <c r="CK65605" t="s">
        <v>378</v>
      </c>
      <c r="CL65605" t="s">
        <v>380</v>
      </c>
      <c r="CM65605" t="s">
        <v>381</v>
      </c>
      <c r="CN65605" t="s">
        <v>382</v>
      </c>
      <c r="CO65605" t="s">
        <v>384</v>
      </c>
      <c r="CP65605" t="s">
        <v>385</v>
      </c>
      <c r="CQ65605" t="s">
        <v>386</v>
      </c>
      <c r="CR65605" t="s">
        <v>387</v>
      </c>
      <c r="CS65605" t="s">
        <v>388</v>
      </c>
      <c r="CT65605" t="s">
        <v>390</v>
      </c>
      <c r="CU65605" t="s">
        <v>391</v>
      </c>
      <c r="CV65605" t="s">
        <v>392</v>
      </c>
      <c r="CW65605" t="s">
        <v>394</v>
      </c>
      <c r="CX65605" t="s">
        <v>395</v>
      </c>
      <c r="CY65605" t="s">
        <v>397</v>
      </c>
      <c r="CZ65605" t="s">
        <v>398</v>
      </c>
      <c r="DA65605" t="s">
        <v>399</v>
      </c>
      <c r="DB65605" t="s">
        <v>401</v>
      </c>
      <c r="DC65605" t="s">
        <v>402</v>
      </c>
      <c r="DD65605" t="s">
        <v>403</v>
      </c>
      <c r="DE65605" t="s">
        <v>404</v>
      </c>
      <c r="DF65605" t="s">
        <v>405</v>
      </c>
      <c r="DG65605" t="s">
        <v>406</v>
      </c>
      <c r="DH65605" t="s">
        <v>407</v>
      </c>
      <c r="DI65605" t="s">
        <v>408</v>
      </c>
      <c r="DJ65605" t="s">
        <v>409</v>
      </c>
      <c r="DK65605" t="s">
        <v>410</v>
      </c>
      <c r="DL65605" t="s">
        <v>411</v>
      </c>
      <c r="DM65605" t="s">
        <v>412</v>
      </c>
      <c r="DN65605" t="s">
        <v>413</v>
      </c>
      <c r="DO65605" t="s">
        <v>414</v>
      </c>
      <c r="DP65605" t="s">
        <v>415</v>
      </c>
      <c r="DQ65605" t="s">
        <v>416</v>
      </c>
      <c r="DR65605" t="s">
        <v>417</v>
      </c>
      <c r="DS65605" t="s">
        <v>418</v>
      </c>
      <c r="DT65605" t="s">
        <v>419</v>
      </c>
      <c r="DU65605" t="s">
        <v>420</v>
      </c>
      <c r="DV65605" t="s">
        <v>421</v>
      </c>
      <c r="DW65605" t="s">
        <v>422</v>
      </c>
      <c r="DX65605" t="s">
        <v>424</v>
      </c>
      <c r="DY65605" t="s">
        <v>425</v>
      </c>
      <c r="DZ65605" t="s">
        <v>427</v>
      </c>
      <c r="EA65605" t="s">
        <v>428</v>
      </c>
      <c r="EB65605" t="s">
        <v>429</v>
      </c>
      <c r="EC65605" t="s">
        <v>430</v>
      </c>
      <c r="ED65605" t="s">
        <v>431</v>
      </c>
      <c r="EE65605" t="s">
        <v>433</v>
      </c>
      <c r="EF65605" t="s">
        <v>434</v>
      </c>
      <c r="EG65605" t="s">
        <v>435</v>
      </c>
      <c r="EH65605" t="s">
        <v>436</v>
      </c>
      <c r="EI65605" t="s">
        <v>437</v>
      </c>
      <c r="EJ65605" t="s">
        <v>438</v>
      </c>
      <c r="EK65605" t="s">
        <v>439</v>
      </c>
      <c r="EL65605" t="s">
        <v>441</v>
      </c>
      <c r="EM65605" t="s">
        <v>442</v>
      </c>
      <c r="EN65605" t="s">
        <v>443</v>
      </c>
      <c r="EO65605" t="s">
        <v>444</v>
      </c>
      <c r="EP65605" t="s">
        <v>445</v>
      </c>
    </row>
    <row r="65606" spans="2:146">
      <c r="BQ65606">
        <v>67</v>
      </c>
      <c r="BR65606">
        <v>68</v>
      </c>
      <c r="BS65606">
        <v>69</v>
      </c>
      <c r="BT65606">
        <v>70</v>
      </c>
      <c r="BU65606">
        <v>71</v>
      </c>
      <c r="BV65606">
        <v>72</v>
      </c>
      <c r="BW65606">
        <v>73</v>
      </c>
      <c r="BX65606">
        <v>74</v>
      </c>
      <c r="BY65606">
        <v>75</v>
      </c>
      <c r="BZ65606">
        <v>76</v>
      </c>
      <c r="CA65606">
        <v>77</v>
      </c>
      <c r="CB65606">
        <v>78</v>
      </c>
      <c r="CC65606">
        <v>79</v>
      </c>
      <c r="CD65606">
        <v>80</v>
      </c>
      <c r="CE65606">
        <v>81</v>
      </c>
      <c r="CF65606">
        <v>82</v>
      </c>
      <c r="CG65606">
        <v>83</v>
      </c>
      <c r="CH65606">
        <v>84</v>
      </c>
      <c r="CI65606">
        <v>85</v>
      </c>
      <c r="CJ65606">
        <v>86</v>
      </c>
      <c r="CK65606">
        <v>87</v>
      </c>
      <c r="CL65606">
        <v>88</v>
      </c>
      <c r="CM65606">
        <v>89</v>
      </c>
      <c r="CN65606">
        <v>90</v>
      </c>
      <c r="CO65606">
        <v>91</v>
      </c>
      <c r="CP65606">
        <v>92</v>
      </c>
      <c r="CQ65606">
        <v>93</v>
      </c>
      <c r="CR65606">
        <v>94</v>
      </c>
      <c r="CS65606">
        <v>95</v>
      </c>
      <c r="CT65606">
        <v>96</v>
      </c>
      <c r="CU65606">
        <v>97</v>
      </c>
      <c r="CV65606">
        <v>98</v>
      </c>
      <c r="CW65606">
        <v>99</v>
      </c>
      <c r="CX65606">
        <v>100</v>
      </c>
      <c r="CY65606">
        <v>101</v>
      </c>
      <c r="CZ65606">
        <v>102</v>
      </c>
      <c r="DA65606">
        <v>103</v>
      </c>
      <c r="DB65606">
        <v>104</v>
      </c>
      <c r="DC65606">
        <v>105</v>
      </c>
      <c r="DD65606">
        <v>106</v>
      </c>
      <c r="DE65606">
        <v>107</v>
      </c>
      <c r="DF65606">
        <v>108</v>
      </c>
      <c r="DG65606">
        <v>109</v>
      </c>
      <c r="DH65606">
        <v>110</v>
      </c>
      <c r="DI65606">
        <v>111</v>
      </c>
      <c r="DJ65606">
        <v>112</v>
      </c>
      <c r="DK65606">
        <v>113</v>
      </c>
      <c r="DL65606">
        <v>114</v>
      </c>
      <c r="DM65606">
        <v>115</v>
      </c>
      <c r="DN65606">
        <v>116</v>
      </c>
      <c r="DO65606">
        <v>117</v>
      </c>
      <c r="DP65606">
        <v>118</v>
      </c>
      <c r="DQ65606">
        <v>119</v>
      </c>
      <c r="DR65606">
        <v>120</v>
      </c>
      <c r="DS65606">
        <v>121</v>
      </c>
      <c r="DT65606">
        <v>122</v>
      </c>
      <c r="DU65606">
        <v>123</v>
      </c>
      <c r="DV65606">
        <v>124</v>
      </c>
      <c r="DW65606">
        <v>125</v>
      </c>
      <c r="DX65606">
        <v>126</v>
      </c>
      <c r="DY65606">
        <v>127</v>
      </c>
      <c r="DZ65606">
        <v>128</v>
      </c>
      <c r="EA65606">
        <v>129</v>
      </c>
      <c r="EB65606">
        <v>130</v>
      </c>
      <c r="EC65606">
        <v>131</v>
      </c>
      <c r="ED65606">
        <v>132</v>
      </c>
      <c r="EE65606">
        <v>133</v>
      </c>
      <c r="EF65606">
        <v>134</v>
      </c>
      <c r="EG65606">
        <v>135</v>
      </c>
      <c r="EH65606">
        <v>136</v>
      </c>
      <c r="EI65606">
        <v>137</v>
      </c>
      <c r="EJ65606">
        <v>138</v>
      </c>
      <c r="EK65606">
        <v>139</v>
      </c>
      <c r="EL65606">
        <v>140</v>
      </c>
      <c r="EM65606">
        <v>141</v>
      </c>
      <c r="EN65606">
        <v>142</v>
      </c>
      <c r="EO65606">
        <v>143</v>
      </c>
      <c r="EP65606">
        <v>144</v>
      </c>
    </row>
    <row r="65607" spans="2:146">
      <c r="CE65607" t="s">
        <v>451</v>
      </c>
    </row>
    <row r="81922" spans="2:2">
      <c r="B81922">
        <v>200</v>
      </c>
    </row>
    <row r="81923" spans="2:2">
      <c r="B81923">
        <v>200</v>
      </c>
    </row>
    <row r="81924" spans="2:2">
      <c r="B81924">
        <v>800</v>
      </c>
    </row>
    <row r="81925" spans="2:2">
      <c r="B81925">
        <v>200</v>
      </c>
    </row>
    <row r="81926" spans="2:2">
      <c r="B81926">
        <v>1044</v>
      </c>
    </row>
    <row r="81927" spans="2:2">
      <c r="B81927">
        <v>998.40000000000009</v>
      </c>
    </row>
    <row r="81928" spans="2:2">
      <c r="B81928">
        <v>272</v>
      </c>
    </row>
    <row r="81929" spans="2:2">
      <c r="B81929">
        <v>200</v>
      </c>
    </row>
    <row r="81930" spans="2:2">
      <c r="B81930">
        <v>214</v>
      </c>
    </row>
    <row r="81931" spans="2:2">
      <c r="B81931">
        <v>200</v>
      </c>
    </row>
    <row r="81932" spans="2:2">
      <c r="B81932">
        <v>152</v>
      </c>
    </row>
    <row r="81933" spans="2:2">
      <c r="B81933">
        <v>200</v>
      </c>
    </row>
    <row r="81934" spans="2:2">
      <c r="B81934">
        <v>300</v>
      </c>
    </row>
    <row r="81935" spans="2:2">
      <c r="B81935">
        <v>104</v>
      </c>
    </row>
    <row r="81936" spans="2:2">
      <c r="B81936">
        <v>162</v>
      </c>
    </row>
    <row r="81937" spans="2:2">
      <c r="B81937">
        <v>200</v>
      </c>
    </row>
    <row r="81938" spans="2:2">
      <c r="B81938">
        <v>200</v>
      </c>
    </row>
    <row r="81939" spans="2:2">
      <c r="B81939">
        <v>200</v>
      </c>
    </row>
    <row r="81940" spans="2:2">
      <c r="B81940">
        <v>200</v>
      </c>
    </row>
    <row r="81941" spans="2:2">
      <c r="B81941">
        <v>200</v>
      </c>
    </row>
    <row r="81942" spans="2:2">
      <c r="B81942">
        <v>200</v>
      </c>
    </row>
    <row r="81943" spans="2:2">
      <c r="B81943">
        <v>200</v>
      </c>
    </row>
    <row r="81944" spans="2:2">
      <c r="B81944">
        <v>200</v>
      </c>
    </row>
    <row r="81945" spans="2:2">
      <c r="B81945">
        <v>800</v>
      </c>
    </row>
    <row r="81946" spans="2:2">
      <c r="B81946">
        <v>300</v>
      </c>
    </row>
    <row r="81947" spans="2:2">
      <c r="B81947">
        <v>778</v>
      </c>
    </row>
    <row r="81948" spans="2:2">
      <c r="B81948">
        <v>614</v>
      </c>
    </row>
    <row r="81949" spans="2:2">
      <c r="B81949">
        <v>444</v>
      </c>
    </row>
    <row r="81950" spans="2:2">
      <c r="B81950">
        <v>800</v>
      </c>
    </row>
    <row r="81951" spans="2:2">
      <c r="B81951">
        <v>200</v>
      </c>
    </row>
    <row r="81952" spans="2:2">
      <c r="B81952">
        <v>780</v>
      </c>
    </row>
    <row r="81953" spans="2:146">
      <c r="B81953">
        <v>174</v>
      </c>
    </row>
    <row r="81954" spans="2:146">
      <c r="B81954">
        <v>194</v>
      </c>
    </row>
    <row r="81955" spans="2:146">
      <c r="B81955">
        <v>782</v>
      </c>
    </row>
    <row r="81956" spans="2:146">
      <c r="B81956">
        <v>236</v>
      </c>
    </row>
    <row r="81957" spans="2:146">
      <c r="B81957">
        <v>144</v>
      </c>
    </row>
    <row r="81958" spans="2:146">
      <c r="B81958">
        <v>200</v>
      </c>
    </row>
    <row r="81959" spans="2:146">
      <c r="B81959">
        <v>240</v>
      </c>
    </row>
    <row r="81960" spans="2:146">
      <c r="B81960">
        <v>200</v>
      </c>
    </row>
    <row r="81961" spans="2:146">
      <c r="B81961">
        <v>612</v>
      </c>
    </row>
    <row r="81962" spans="2:146">
      <c r="B81962">
        <v>156</v>
      </c>
    </row>
    <row r="81963" spans="2:146">
      <c r="B81963">
        <v>116</v>
      </c>
    </row>
    <row r="81964" spans="2:146">
      <c r="B81964">
        <v>160</v>
      </c>
    </row>
    <row r="81965" spans="2:146">
      <c r="B81965">
        <v>80</v>
      </c>
      <c r="EL81965">
        <v>0.66</v>
      </c>
      <c r="EM81965">
        <v>0.66</v>
      </c>
      <c r="EN81965">
        <v>0.66</v>
      </c>
      <c r="EO81965">
        <v>0.66</v>
      </c>
      <c r="EP81965">
        <v>0.66</v>
      </c>
    </row>
    <row r="81966" spans="2:146">
      <c r="B81966">
        <v>1144</v>
      </c>
      <c r="BV81966">
        <v>5.0999999999999996</v>
      </c>
      <c r="BW81966">
        <v>5.0999999999999996</v>
      </c>
      <c r="DB81966">
        <v>10.210000000000001</v>
      </c>
      <c r="DC81966">
        <v>10.210000000000001</v>
      </c>
      <c r="DD81966">
        <v>10.210000000000001</v>
      </c>
      <c r="DE81966">
        <v>10.210000000000001</v>
      </c>
      <c r="DF81966">
        <v>10.210000000000001</v>
      </c>
      <c r="DG81966">
        <v>10.210000000000001</v>
      </c>
      <c r="DH81966">
        <v>10.210000000000001</v>
      </c>
    </row>
    <row r="81967" spans="2:146">
      <c r="B81967">
        <v>1240</v>
      </c>
      <c r="EE81967">
        <v>8.15</v>
      </c>
      <c r="EF81967">
        <v>8.15</v>
      </c>
      <c r="EG81967">
        <v>8.15</v>
      </c>
      <c r="EH81967">
        <v>8.15</v>
      </c>
      <c r="EI81967">
        <v>8.15</v>
      </c>
      <c r="EJ81967">
        <v>8.15</v>
      </c>
      <c r="EK81967">
        <v>8.15</v>
      </c>
    </row>
    <row r="81968" spans="2:146">
      <c r="B81968">
        <v>2083.2000000000003</v>
      </c>
      <c r="DI81968">
        <v>20.03</v>
      </c>
      <c r="DJ81968">
        <v>20.03</v>
      </c>
      <c r="DQ81968">
        <v>20.03</v>
      </c>
      <c r="DT81968">
        <v>20.03</v>
      </c>
      <c r="DW81968">
        <v>20.03</v>
      </c>
    </row>
    <row r="81969" spans="2:134">
      <c r="B81969">
        <v>357.20000000000005</v>
      </c>
      <c r="DI81969">
        <v>3.88</v>
      </c>
      <c r="DJ81969">
        <v>3.88</v>
      </c>
      <c r="DV81969">
        <v>3.88</v>
      </c>
      <c r="DW81969">
        <v>3.88</v>
      </c>
    </row>
    <row r="81970" spans="2:134">
      <c r="B81970">
        <v>391.20000000000005</v>
      </c>
      <c r="DI81970">
        <v>3.62</v>
      </c>
      <c r="DJ81970">
        <v>3.62</v>
      </c>
      <c r="DR81970">
        <v>3.62</v>
      </c>
      <c r="DU81970">
        <v>3.62</v>
      </c>
      <c r="DV81970">
        <v>3.62</v>
      </c>
    </row>
    <row r="81971" spans="2:134">
      <c r="B81971">
        <v>762.80000000000007</v>
      </c>
      <c r="DI81971">
        <v>6.15</v>
      </c>
      <c r="DJ81971">
        <v>6.15</v>
      </c>
      <c r="DQ81971">
        <v>6.15</v>
      </c>
      <c r="DR81971">
        <v>6.15</v>
      </c>
      <c r="DS81971">
        <v>6.15</v>
      </c>
      <c r="DT81971">
        <v>6.15</v>
      </c>
    </row>
    <row r="81972" spans="2:134">
      <c r="B81972">
        <v>1280</v>
      </c>
      <c r="DI81972">
        <v>10.66</v>
      </c>
      <c r="DJ81972">
        <v>10.66</v>
      </c>
      <c r="DK81972">
        <v>10.66</v>
      </c>
      <c r="DL81972">
        <v>10.66</v>
      </c>
      <c r="DM81972">
        <v>10.66</v>
      </c>
      <c r="DN81972">
        <v>10.66</v>
      </c>
    </row>
    <row r="81973" spans="2:134">
      <c r="B81973">
        <v>234</v>
      </c>
      <c r="CT81973">
        <v>2.5</v>
      </c>
      <c r="CU81973">
        <v>2.5</v>
      </c>
      <c r="CV81973">
        <v>2.5</v>
      </c>
    </row>
    <row r="81974" spans="2:134">
      <c r="B81974">
        <v>354</v>
      </c>
      <c r="CY81974">
        <v>3.98</v>
      </c>
      <c r="CZ81974">
        <v>3.98</v>
      </c>
      <c r="DA81974">
        <v>3.98</v>
      </c>
    </row>
    <row r="81975" spans="2:134">
      <c r="B81975">
        <v>392</v>
      </c>
      <c r="DI81975">
        <v>3.52</v>
      </c>
      <c r="DJ81975">
        <v>3.52</v>
      </c>
      <c r="DL81975">
        <v>3.52</v>
      </c>
      <c r="DO81975">
        <v>3.52</v>
      </c>
    </row>
    <row r="81976" spans="2:134">
      <c r="B81976">
        <v>304</v>
      </c>
      <c r="CE81976">
        <v>3.8</v>
      </c>
      <c r="CF81976">
        <v>3.8</v>
      </c>
    </row>
    <row r="81977" spans="2:134">
      <c r="B81977">
        <v>144</v>
      </c>
      <c r="DZ81977">
        <v>1.62</v>
      </c>
      <c r="EA81977">
        <v>1.62</v>
      </c>
      <c r="EB81977">
        <v>1.62</v>
      </c>
      <c r="EC81977">
        <v>0.81</v>
      </c>
      <c r="ED81977">
        <v>0.81</v>
      </c>
    </row>
    <row r="81978" spans="2:134">
      <c r="B81978">
        <v>602.40000000000009</v>
      </c>
      <c r="BY81978">
        <v>6.02</v>
      </c>
      <c r="BZ81978">
        <v>6.02</v>
      </c>
      <c r="CB81978">
        <v>3.01</v>
      </c>
      <c r="CC81978">
        <v>3.01</v>
      </c>
      <c r="CD81978">
        <v>3.01</v>
      </c>
      <c r="CI81978">
        <v>6.02</v>
      </c>
      <c r="CJ81978">
        <v>6.02</v>
      </c>
      <c r="CK81978">
        <v>6.02</v>
      </c>
    </row>
    <row r="81979" spans="2:134">
      <c r="B81979">
        <v>307.60000000000002</v>
      </c>
      <c r="BY81979">
        <v>3.34</v>
      </c>
      <c r="BZ81979">
        <v>3.34</v>
      </c>
      <c r="CG81979">
        <v>3.34</v>
      </c>
      <c r="CH81979">
        <v>3.34</v>
      </c>
    </row>
    <row r="81980" spans="2:134">
      <c r="B81980">
        <v>358</v>
      </c>
      <c r="BY81980">
        <v>2.37</v>
      </c>
      <c r="BZ81980">
        <v>2.37</v>
      </c>
      <c r="CA81980">
        <v>2.37</v>
      </c>
      <c r="DX81980">
        <v>4.74</v>
      </c>
      <c r="DY81980">
        <v>4.74</v>
      </c>
    </row>
    <row r="81981" spans="2:134">
      <c r="B81981">
        <v>286</v>
      </c>
      <c r="BT81981">
        <v>1.43</v>
      </c>
      <c r="BV81981">
        <v>1.43</v>
      </c>
      <c r="BW81981">
        <v>1.43</v>
      </c>
      <c r="BX81981">
        <v>1.43</v>
      </c>
      <c r="CO81981">
        <v>2.86</v>
      </c>
      <c r="CP81981">
        <v>2.86</v>
      </c>
      <c r="CQ81981">
        <v>2.86</v>
      </c>
      <c r="CR81981">
        <v>2.86</v>
      </c>
      <c r="CS81981">
        <v>2.86</v>
      </c>
    </row>
    <row r="81982" spans="2:134">
      <c r="B81982">
        <v>410</v>
      </c>
      <c r="BY81982">
        <v>2.88</v>
      </c>
      <c r="BZ81982">
        <v>2.88</v>
      </c>
      <c r="CA81982">
        <v>2.88</v>
      </c>
      <c r="CW81982">
        <v>5.76</v>
      </c>
      <c r="CX81982">
        <v>5.76</v>
      </c>
    </row>
    <row r="81983" spans="2:134">
      <c r="B81983">
        <v>346</v>
      </c>
      <c r="BR81983">
        <v>3.6</v>
      </c>
      <c r="BS81983">
        <v>3.6</v>
      </c>
      <c r="BT81983">
        <v>1.8</v>
      </c>
      <c r="CL81983">
        <v>3.6</v>
      </c>
      <c r="CM81983">
        <v>3.6</v>
      </c>
      <c r="CN81983">
        <v>3.6</v>
      </c>
    </row>
    <row r="81984" spans="2:134">
      <c r="B81984">
        <v>302</v>
      </c>
      <c r="BR81984">
        <v>3.28</v>
      </c>
      <c r="BS81984">
        <v>3.28</v>
      </c>
      <c r="BT81984">
        <v>1.64</v>
      </c>
      <c r="BU81984">
        <v>1.64</v>
      </c>
      <c r="CL81984">
        <v>3.28</v>
      </c>
      <c r="CM81984">
        <v>3.28</v>
      </c>
      <c r="CN81984">
        <v>3.28</v>
      </c>
    </row>
    <row r="81985" spans="2:146">
      <c r="B81985">
        <v>204</v>
      </c>
      <c r="BR81985">
        <v>2.12</v>
      </c>
      <c r="BS81985">
        <v>2.12</v>
      </c>
      <c r="BT81985">
        <v>1.06</v>
      </c>
      <c r="CL81985">
        <v>2.12</v>
      </c>
      <c r="CM81985">
        <v>2.12</v>
      </c>
      <c r="CN81985">
        <v>2.12</v>
      </c>
    </row>
    <row r="81987" spans="2:146">
      <c r="B81987">
        <v>26358.800000000003</v>
      </c>
      <c r="BQ81987">
        <v>0</v>
      </c>
      <c r="BR81987">
        <v>9</v>
      </c>
      <c r="BS81987">
        <v>9</v>
      </c>
      <c r="BT81987">
        <v>5.93</v>
      </c>
      <c r="BU81987">
        <v>1.64</v>
      </c>
      <c r="BV81987">
        <v>6.5299999999999994</v>
      </c>
      <c r="BW81987">
        <v>6.5299999999999994</v>
      </c>
      <c r="BX81987">
        <v>1.43</v>
      </c>
      <c r="BY81987">
        <v>14.61</v>
      </c>
      <c r="BZ81987">
        <v>14.61</v>
      </c>
      <c r="CA81987">
        <v>5.25</v>
      </c>
      <c r="CB81987">
        <v>3.01</v>
      </c>
      <c r="CC81987">
        <v>3.01</v>
      </c>
      <c r="CD81987">
        <v>3.01</v>
      </c>
      <c r="CE81987">
        <v>3.8</v>
      </c>
      <c r="CF81987">
        <v>3.8</v>
      </c>
      <c r="CG81987">
        <v>3.34</v>
      </c>
      <c r="CH81987">
        <v>3.34</v>
      </c>
      <c r="CI81987">
        <v>6.02</v>
      </c>
      <c r="CJ81987">
        <v>6.02</v>
      </c>
      <c r="CK81987">
        <v>6.02</v>
      </c>
      <c r="CL81987">
        <v>9</v>
      </c>
      <c r="CM81987">
        <v>9</v>
      </c>
      <c r="CN81987">
        <v>9</v>
      </c>
      <c r="CO81987">
        <v>2.86</v>
      </c>
      <c r="CP81987">
        <v>2.86</v>
      </c>
      <c r="CQ81987">
        <v>2.86</v>
      </c>
      <c r="CR81987">
        <v>2.86</v>
      </c>
      <c r="CS81987">
        <v>2.86</v>
      </c>
      <c r="CT81987">
        <v>2.5</v>
      </c>
      <c r="CU81987">
        <v>2.5</v>
      </c>
      <c r="CV81987">
        <v>2.5</v>
      </c>
      <c r="CW81987">
        <v>5.76</v>
      </c>
      <c r="CX81987">
        <v>5.76</v>
      </c>
      <c r="CY81987">
        <v>3.98</v>
      </c>
      <c r="CZ81987">
        <v>3.98</v>
      </c>
      <c r="DA81987">
        <v>3.98</v>
      </c>
      <c r="DB81987">
        <v>10.210000000000001</v>
      </c>
      <c r="DC81987">
        <v>10.210000000000001</v>
      </c>
      <c r="DD81987">
        <v>10.210000000000001</v>
      </c>
      <c r="DE81987">
        <v>10.210000000000001</v>
      </c>
      <c r="DF81987">
        <v>10.210000000000001</v>
      </c>
      <c r="DG81987">
        <v>10.210000000000001</v>
      </c>
      <c r="DH81987">
        <v>10.210000000000001</v>
      </c>
      <c r="DI81987">
        <v>47.860000000000007</v>
      </c>
      <c r="DJ81987">
        <v>47.860000000000007</v>
      </c>
      <c r="DK81987">
        <v>10.66</v>
      </c>
      <c r="DL81987">
        <v>14.18</v>
      </c>
      <c r="DM81987">
        <v>10.66</v>
      </c>
      <c r="DN81987">
        <v>10.66</v>
      </c>
      <c r="DO81987">
        <v>3.52</v>
      </c>
      <c r="DP81987">
        <v>0</v>
      </c>
      <c r="DQ81987">
        <v>26.18</v>
      </c>
      <c r="DR81987">
        <v>9.77</v>
      </c>
      <c r="DS81987">
        <v>6.15</v>
      </c>
      <c r="DT81987">
        <v>26.18</v>
      </c>
      <c r="DU81987">
        <v>3.62</v>
      </c>
      <c r="DV81987">
        <v>7.5</v>
      </c>
      <c r="DW81987">
        <v>23.91</v>
      </c>
      <c r="DX81987">
        <v>4.74</v>
      </c>
      <c r="DY81987">
        <v>4.74</v>
      </c>
      <c r="DZ81987">
        <v>1.62</v>
      </c>
      <c r="EA81987">
        <v>1.62</v>
      </c>
      <c r="EB81987">
        <v>1.62</v>
      </c>
      <c r="EC81987">
        <v>0.81</v>
      </c>
      <c r="ED81987">
        <v>0.81</v>
      </c>
      <c r="EE81987">
        <v>8.15</v>
      </c>
      <c r="EF81987">
        <v>8.15</v>
      </c>
      <c r="EG81987">
        <v>8.15</v>
      </c>
      <c r="EH81987">
        <v>8.15</v>
      </c>
      <c r="EI81987">
        <v>8.15</v>
      </c>
      <c r="EJ81987">
        <v>8.15</v>
      </c>
      <c r="EK81987">
        <v>8.15</v>
      </c>
      <c r="EL81987">
        <v>0.66</v>
      </c>
      <c r="EM81987">
        <v>0.66</v>
      </c>
      <c r="EN81987">
        <v>0.66</v>
      </c>
      <c r="EO81987">
        <v>0.66</v>
      </c>
      <c r="EP81987">
        <v>0.66</v>
      </c>
    </row>
    <row r="81988" spans="2:146">
      <c r="B81988" t="s">
        <v>265</v>
      </c>
      <c r="BQ81988" t="s">
        <v>345</v>
      </c>
      <c r="BR81988" t="s">
        <v>131</v>
      </c>
      <c r="BS81988" t="s">
        <v>131</v>
      </c>
      <c r="BT81988" t="s">
        <v>357</v>
      </c>
      <c r="BU81988" t="s">
        <v>131</v>
      </c>
      <c r="BV81988" t="s">
        <v>360</v>
      </c>
      <c r="BW81988" t="s">
        <v>360</v>
      </c>
      <c r="BX81988" t="s">
        <v>360</v>
      </c>
      <c r="BY81988" t="s">
        <v>364</v>
      </c>
      <c r="BZ81988" t="s">
        <v>364</v>
      </c>
      <c r="CA81988" t="s">
        <v>364</v>
      </c>
      <c r="CB81988" t="s">
        <v>368</v>
      </c>
      <c r="CC81988" t="s">
        <v>368</v>
      </c>
      <c r="CD81988" t="s">
        <v>368</v>
      </c>
      <c r="CE81988" t="s">
        <v>352</v>
      </c>
      <c r="CF81988" t="s">
        <v>352</v>
      </c>
      <c r="CG81988" t="s">
        <v>372</v>
      </c>
      <c r="CH81988" t="s">
        <v>372</v>
      </c>
      <c r="CI81988" t="s">
        <v>375</v>
      </c>
      <c r="CJ81988" t="s">
        <v>375</v>
      </c>
      <c r="CK81988" t="s">
        <v>375</v>
      </c>
      <c r="CL81988" t="s">
        <v>379</v>
      </c>
      <c r="CM81988" t="s">
        <v>379</v>
      </c>
      <c r="CN81988" t="s">
        <v>379</v>
      </c>
      <c r="CO81988" t="s">
        <v>383</v>
      </c>
      <c r="CP81988" t="s">
        <v>383</v>
      </c>
      <c r="CQ81988" t="s">
        <v>383</v>
      </c>
      <c r="CR81988" t="s">
        <v>383</v>
      </c>
      <c r="CS81988" t="s">
        <v>383</v>
      </c>
      <c r="CT81988" t="s">
        <v>389</v>
      </c>
      <c r="CU81988" t="s">
        <v>389</v>
      </c>
      <c r="CV81988" t="s">
        <v>389</v>
      </c>
      <c r="CW81988" t="s">
        <v>393</v>
      </c>
      <c r="CX81988" t="s">
        <v>393</v>
      </c>
      <c r="CY81988" t="s">
        <v>396</v>
      </c>
      <c r="CZ81988" t="s">
        <v>396</v>
      </c>
      <c r="DA81988" t="s">
        <v>396</v>
      </c>
      <c r="DB81988" t="s">
        <v>400</v>
      </c>
      <c r="DC81988" t="s">
        <v>400</v>
      </c>
      <c r="DD81988" t="s">
        <v>400</v>
      </c>
      <c r="DE81988" t="s">
        <v>400</v>
      </c>
      <c r="DF81988" t="s">
        <v>400</v>
      </c>
      <c r="DG81988" t="s">
        <v>400</v>
      </c>
      <c r="DH81988" t="s">
        <v>400</v>
      </c>
      <c r="DI81988" t="s">
        <v>121</v>
      </c>
      <c r="DJ81988" t="s">
        <v>121</v>
      </c>
      <c r="DK81988" t="s">
        <v>121</v>
      </c>
      <c r="DL81988" t="s">
        <v>121</v>
      </c>
      <c r="DM81988" t="s">
        <v>121</v>
      </c>
      <c r="DN81988" t="s">
        <v>121</v>
      </c>
      <c r="DO81988" t="s">
        <v>121</v>
      </c>
      <c r="DP81988" t="s">
        <v>121</v>
      </c>
      <c r="DQ81988" t="s">
        <v>121</v>
      </c>
      <c r="DR81988" t="s">
        <v>121</v>
      </c>
      <c r="DS81988" t="s">
        <v>121</v>
      </c>
      <c r="DT81988" t="s">
        <v>121</v>
      </c>
      <c r="DU81988" t="s">
        <v>121</v>
      </c>
      <c r="DV81988" t="s">
        <v>121</v>
      </c>
      <c r="DW81988" t="s">
        <v>121</v>
      </c>
      <c r="DX81988" t="s">
        <v>423</v>
      </c>
      <c r="DY81988" t="s">
        <v>423</v>
      </c>
      <c r="DZ81988" t="s">
        <v>426</v>
      </c>
      <c r="EA81988" t="s">
        <v>426</v>
      </c>
      <c r="EB81988" t="s">
        <v>426</v>
      </c>
      <c r="EC81988" t="s">
        <v>426</v>
      </c>
      <c r="ED81988" t="s">
        <v>426</v>
      </c>
      <c r="EE81988" t="s">
        <v>432</v>
      </c>
      <c r="EF81988" t="s">
        <v>432</v>
      </c>
      <c r="EG81988" t="s">
        <v>432</v>
      </c>
      <c r="EH81988" t="s">
        <v>432</v>
      </c>
      <c r="EI81988" t="s">
        <v>432</v>
      </c>
      <c r="EJ81988" t="s">
        <v>432</v>
      </c>
      <c r="EK81988" t="s">
        <v>432</v>
      </c>
      <c r="EL81988" t="s">
        <v>440</v>
      </c>
      <c r="EM81988" t="s">
        <v>440</v>
      </c>
      <c r="EN81988" t="s">
        <v>440</v>
      </c>
      <c r="EO81988" t="s">
        <v>440</v>
      </c>
      <c r="EP81988" t="s">
        <v>440</v>
      </c>
    </row>
    <row r="81989" spans="2:146">
      <c r="BQ81989" t="s">
        <v>351</v>
      </c>
      <c r="BR81989" t="s">
        <v>355</v>
      </c>
      <c r="BS81989" t="s">
        <v>356</v>
      </c>
      <c r="BT81989" t="s">
        <v>358</v>
      </c>
      <c r="BU81989" t="s">
        <v>359</v>
      </c>
      <c r="BV81989" t="s">
        <v>361</v>
      </c>
      <c r="BW81989" t="s">
        <v>362</v>
      </c>
      <c r="BX81989" t="s">
        <v>363</v>
      </c>
      <c r="BY81989" t="s">
        <v>365</v>
      </c>
      <c r="BZ81989" t="s">
        <v>366</v>
      </c>
      <c r="CA81989" t="s">
        <v>367</v>
      </c>
      <c r="CB81989" t="s">
        <v>369</v>
      </c>
      <c r="CC81989" t="s">
        <v>370</v>
      </c>
      <c r="CD81989" t="s">
        <v>371</v>
      </c>
      <c r="CE81989" t="s">
        <v>353</v>
      </c>
      <c r="CF81989" t="s">
        <v>354</v>
      </c>
      <c r="CG81989" t="s">
        <v>373</v>
      </c>
      <c r="CH81989" t="s">
        <v>374</v>
      </c>
      <c r="CI81989" t="s">
        <v>376</v>
      </c>
      <c r="CJ81989" t="s">
        <v>377</v>
      </c>
      <c r="CK81989" t="s">
        <v>378</v>
      </c>
      <c r="CL81989" t="s">
        <v>380</v>
      </c>
      <c r="CM81989" t="s">
        <v>381</v>
      </c>
      <c r="CN81989" t="s">
        <v>382</v>
      </c>
      <c r="CO81989" t="s">
        <v>384</v>
      </c>
      <c r="CP81989" t="s">
        <v>385</v>
      </c>
      <c r="CQ81989" t="s">
        <v>386</v>
      </c>
      <c r="CR81989" t="s">
        <v>387</v>
      </c>
      <c r="CS81989" t="s">
        <v>388</v>
      </c>
      <c r="CT81989" t="s">
        <v>390</v>
      </c>
      <c r="CU81989" t="s">
        <v>391</v>
      </c>
      <c r="CV81989" t="s">
        <v>392</v>
      </c>
      <c r="CW81989" t="s">
        <v>394</v>
      </c>
      <c r="CX81989" t="s">
        <v>395</v>
      </c>
      <c r="CY81989" t="s">
        <v>397</v>
      </c>
      <c r="CZ81989" t="s">
        <v>398</v>
      </c>
      <c r="DA81989" t="s">
        <v>399</v>
      </c>
      <c r="DB81989" t="s">
        <v>401</v>
      </c>
      <c r="DC81989" t="s">
        <v>402</v>
      </c>
      <c r="DD81989" t="s">
        <v>403</v>
      </c>
      <c r="DE81989" t="s">
        <v>404</v>
      </c>
      <c r="DF81989" t="s">
        <v>405</v>
      </c>
      <c r="DG81989" t="s">
        <v>406</v>
      </c>
      <c r="DH81989" t="s">
        <v>407</v>
      </c>
      <c r="DI81989" t="s">
        <v>408</v>
      </c>
      <c r="DJ81989" t="s">
        <v>409</v>
      </c>
      <c r="DK81989" t="s">
        <v>410</v>
      </c>
      <c r="DL81989" t="s">
        <v>411</v>
      </c>
      <c r="DM81989" t="s">
        <v>412</v>
      </c>
      <c r="DN81989" t="s">
        <v>413</v>
      </c>
      <c r="DO81989" t="s">
        <v>414</v>
      </c>
      <c r="DP81989" t="s">
        <v>415</v>
      </c>
      <c r="DQ81989" t="s">
        <v>416</v>
      </c>
      <c r="DR81989" t="s">
        <v>417</v>
      </c>
      <c r="DS81989" t="s">
        <v>418</v>
      </c>
      <c r="DT81989" t="s">
        <v>419</v>
      </c>
      <c r="DU81989" t="s">
        <v>420</v>
      </c>
      <c r="DV81989" t="s">
        <v>421</v>
      </c>
      <c r="DW81989" t="s">
        <v>422</v>
      </c>
      <c r="DX81989" t="s">
        <v>424</v>
      </c>
      <c r="DY81989" t="s">
        <v>425</v>
      </c>
      <c r="DZ81989" t="s">
        <v>427</v>
      </c>
      <c r="EA81989" t="s">
        <v>428</v>
      </c>
      <c r="EB81989" t="s">
        <v>429</v>
      </c>
      <c r="EC81989" t="s">
        <v>430</v>
      </c>
      <c r="ED81989" t="s">
        <v>431</v>
      </c>
      <c r="EE81989" t="s">
        <v>433</v>
      </c>
      <c r="EF81989" t="s">
        <v>434</v>
      </c>
      <c r="EG81989" t="s">
        <v>435</v>
      </c>
      <c r="EH81989" t="s">
        <v>436</v>
      </c>
      <c r="EI81989" t="s">
        <v>437</v>
      </c>
      <c r="EJ81989" t="s">
        <v>438</v>
      </c>
      <c r="EK81989" t="s">
        <v>439</v>
      </c>
      <c r="EL81989" t="s">
        <v>441</v>
      </c>
      <c r="EM81989" t="s">
        <v>442</v>
      </c>
      <c r="EN81989" t="s">
        <v>443</v>
      </c>
      <c r="EO81989" t="s">
        <v>444</v>
      </c>
      <c r="EP81989" t="s">
        <v>445</v>
      </c>
    </row>
    <row r="81990" spans="2:146">
      <c r="BQ81990">
        <v>67</v>
      </c>
      <c r="BR81990">
        <v>68</v>
      </c>
      <c r="BS81990">
        <v>69</v>
      </c>
      <c r="BT81990">
        <v>70</v>
      </c>
      <c r="BU81990">
        <v>71</v>
      </c>
      <c r="BV81990">
        <v>72</v>
      </c>
      <c r="BW81990">
        <v>73</v>
      </c>
      <c r="BX81990">
        <v>74</v>
      </c>
      <c r="BY81990">
        <v>75</v>
      </c>
      <c r="BZ81990">
        <v>76</v>
      </c>
      <c r="CA81990">
        <v>77</v>
      </c>
      <c r="CB81990">
        <v>78</v>
      </c>
      <c r="CC81990">
        <v>79</v>
      </c>
      <c r="CD81990">
        <v>80</v>
      </c>
      <c r="CE81990">
        <v>81</v>
      </c>
      <c r="CF81990">
        <v>82</v>
      </c>
      <c r="CG81990">
        <v>83</v>
      </c>
      <c r="CH81990">
        <v>84</v>
      </c>
      <c r="CI81990">
        <v>85</v>
      </c>
      <c r="CJ81990">
        <v>86</v>
      </c>
      <c r="CK81990">
        <v>87</v>
      </c>
      <c r="CL81990">
        <v>88</v>
      </c>
      <c r="CM81990">
        <v>89</v>
      </c>
      <c r="CN81990">
        <v>90</v>
      </c>
      <c r="CO81990">
        <v>91</v>
      </c>
      <c r="CP81990">
        <v>92</v>
      </c>
      <c r="CQ81990">
        <v>93</v>
      </c>
      <c r="CR81990">
        <v>94</v>
      </c>
      <c r="CS81990">
        <v>95</v>
      </c>
      <c r="CT81990">
        <v>96</v>
      </c>
      <c r="CU81990">
        <v>97</v>
      </c>
      <c r="CV81990">
        <v>98</v>
      </c>
      <c r="CW81990">
        <v>99</v>
      </c>
      <c r="CX81990">
        <v>100</v>
      </c>
      <c r="CY81990">
        <v>101</v>
      </c>
      <c r="CZ81990">
        <v>102</v>
      </c>
      <c r="DA81990">
        <v>103</v>
      </c>
      <c r="DB81990">
        <v>104</v>
      </c>
      <c r="DC81990">
        <v>105</v>
      </c>
      <c r="DD81990">
        <v>106</v>
      </c>
      <c r="DE81990">
        <v>107</v>
      </c>
      <c r="DF81990">
        <v>108</v>
      </c>
      <c r="DG81990">
        <v>109</v>
      </c>
      <c r="DH81990">
        <v>110</v>
      </c>
      <c r="DI81990">
        <v>111</v>
      </c>
      <c r="DJ81990">
        <v>112</v>
      </c>
      <c r="DK81990">
        <v>113</v>
      </c>
      <c r="DL81990">
        <v>114</v>
      </c>
      <c r="DM81990">
        <v>115</v>
      </c>
      <c r="DN81990">
        <v>116</v>
      </c>
      <c r="DO81990">
        <v>117</v>
      </c>
      <c r="DP81990">
        <v>118</v>
      </c>
      <c r="DQ81990">
        <v>119</v>
      </c>
      <c r="DR81990">
        <v>120</v>
      </c>
      <c r="DS81990">
        <v>121</v>
      </c>
      <c r="DT81990">
        <v>122</v>
      </c>
      <c r="DU81990">
        <v>123</v>
      </c>
      <c r="DV81990">
        <v>124</v>
      </c>
      <c r="DW81990">
        <v>125</v>
      </c>
      <c r="DX81990">
        <v>126</v>
      </c>
      <c r="DY81990">
        <v>127</v>
      </c>
      <c r="DZ81990">
        <v>128</v>
      </c>
      <c r="EA81990">
        <v>129</v>
      </c>
      <c r="EB81990">
        <v>130</v>
      </c>
      <c r="EC81990">
        <v>131</v>
      </c>
      <c r="ED81990">
        <v>132</v>
      </c>
      <c r="EE81990">
        <v>133</v>
      </c>
      <c r="EF81990">
        <v>134</v>
      </c>
      <c r="EG81990">
        <v>135</v>
      </c>
      <c r="EH81990">
        <v>136</v>
      </c>
      <c r="EI81990">
        <v>137</v>
      </c>
      <c r="EJ81990">
        <v>138</v>
      </c>
      <c r="EK81990">
        <v>139</v>
      </c>
      <c r="EL81990">
        <v>140</v>
      </c>
      <c r="EM81990">
        <v>141</v>
      </c>
      <c r="EN81990">
        <v>142</v>
      </c>
      <c r="EO81990">
        <v>143</v>
      </c>
      <c r="EP81990">
        <v>144</v>
      </c>
    </row>
    <row r="81991" spans="2:146">
      <c r="CE81991" t="s">
        <v>451</v>
      </c>
    </row>
    <row r="98306" spans="2:2">
      <c r="B98306">
        <v>200</v>
      </c>
    </row>
    <row r="98307" spans="2:2">
      <c r="B98307">
        <v>200</v>
      </c>
    </row>
    <row r="98308" spans="2:2">
      <c r="B98308">
        <v>800</v>
      </c>
    </row>
    <row r="98309" spans="2:2">
      <c r="B98309">
        <v>200</v>
      </c>
    </row>
    <row r="98310" spans="2:2">
      <c r="B98310">
        <v>1044</v>
      </c>
    </row>
    <row r="98311" spans="2:2">
      <c r="B98311">
        <v>998.40000000000009</v>
      </c>
    </row>
    <row r="98312" spans="2:2">
      <c r="B98312">
        <v>272</v>
      </c>
    </row>
    <row r="98313" spans="2:2">
      <c r="B98313">
        <v>200</v>
      </c>
    </row>
    <row r="98314" spans="2:2">
      <c r="B98314">
        <v>214</v>
      </c>
    </row>
    <row r="98315" spans="2:2">
      <c r="B98315">
        <v>200</v>
      </c>
    </row>
    <row r="98316" spans="2:2">
      <c r="B98316">
        <v>152</v>
      </c>
    </row>
    <row r="98317" spans="2:2">
      <c r="B98317">
        <v>200</v>
      </c>
    </row>
    <row r="98318" spans="2:2">
      <c r="B98318">
        <v>300</v>
      </c>
    </row>
    <row r="98319" spans="2:2">
      <c r="B98319">
        <v>104</v>
      </c>
    </row>
    <row r="98320" spans="2:2">
      <c r="B98320">
        <v>162</v>
      </c>
    </row>
    <row r="98321" spans="2:2">
      <c r="B98321">
        <v>200</v>
      </c>
    </row>
    <row r="98322" spans="2:2">
      <c r="B98322">
        <v>200</v>
      </c>
    </row>
    <row r="98323" spans="2:2">
      <c r="B98323">
        <v>200</v>
      </c>
    </row>
    <row r="98324" spans="2:2">
      <c r="B98324">
        <v>200</v>
      </c>
    </row>
    <row r="98325" spans="2:2">
      <c r="B98325">
        <v>200</v>
      </c>
    </row>
    <row r="98326" spans="2:2">
      <c r="B98326">
        <v>200</v>
      </c>
    </row>
    <row r="98327" spans="2:2">
      <c r="B98327">
        <v>200</v>
      </c>
    </row>
    <row r="98328" spans="2:2">
      <c r="B98328">
        <v>200</v>
      </c>
    </row>
    <row r="98329" spans="2:2">
      <c r="B98329">
        <v>800</v>
      </c>
    </row>
    <row r="98330" spans="2:2">
      <c r="B98330">
        <v>300</v>
      </c>
    </row>
    <row r="98331" spans="2:2">
      <c r="B98331">
        <v>778</v>
      </c>
    </row>
    <row r="98332" spans="2:2">
      <c r="B98332">
        <v>614</v>
      </c>
    </row>
    <row r="98333" spans="2:2">
      <c r="B98333">
        <v>444</v>
      </c>
    </row>
    <row r="98334" spans="2:2">
      <c r="B98334">
        <v>800</v>
      </c>
    </row>
    <row r="98335" spans="2:2">
      <c r="B98335">
        <v>200</v>
      </c>
    </row>
    <row r="98336" spans="2:2">
      <c r="B98336">
        <v>780</v>
      </c>
    </row>
    <row r="98337" spans="2:146">
      <c r="B98337">
        <v>174</v>
      </c>
    </row>
    <row r="98338" spans="2:146">
      <c r="B98338">
        <v>194</v>
      </c>
    </row>
    <row r="98339" spans="2:146">
      <c r="B98339">
        <v>782</v>
      </c>
    </row>
    <row r="98340" spans="2:146">
      <c r="B98340">
        <v>236</v>
      </c>
    </row>
    <row r="98341" spans="2:146">
      <c r="B98341">
        <v>144</v>
      </c>
    </row>
    <row r="98342" spans="2:146">
      <c r="B98342">
        <v>200</v>
      </c>
    </row>
    <row r="98343" spans="2:146">
      <c r="B98343">
        <v>240</v>
      </c>
    </row>
    <row r="98344" spans="2:146">
      <c r="B98344">
        <v>200</v>
      </c>
    </row>
    <row r="98345" spans="2:146">
      <c r="B98345">
        <v>612</v>
      </c>
    </row>
    <row r="98346" spans="2:146">
      <c r="B98346">
        <v>156</v>
      </c>
    </row>
    <row r="98347" spans="2:146">
      <c r="B98347">
        <v>116</v>
      </c>
    </row>
    <row r="98348" spans="2:146">
      <c r="B98348">
        <v>160</v>
      </c>
    </row>
    <row r="98349" spans="2:146">
      <c r="B98349">
        <v>80</v>
      </c>
      <c r="EL98349">
        <v>0.66</v>
      </c>
      <c r="EM98349">
        <v>0.66</v>
      </c>
      <c r="EN98349">
        <v>0.66</v>
      </c>
      <c r="EO98349">
        <v>0.66</v>
      </c>
      <c r="EP98349">
        <v>0.66</v>
      </c>
    </row>
    <row r="98350" spans="2:146">
      <c r="B98350">
        <v>1144</v>
      </c>
      <c r="BV98350">
        <v>5.0999999999999996</v>
      </c>
      <c r="BW98350">
        <v>5.0999999999999996</v>
      </c>
      <c r="DB98350">
        <v>10.210000000000001</v>
      </c>
      <c r="DC98350">
        <v>10.210000000000001</v>
      </c>
      <c r="DD98350">
        <v>10.210000000000001</v>
      </c>
      <c r="DE98350">
        <v>10.210000000000001</v>
      </c>
      <c r="DF98350">
        <v>10.210000000000001</v>
      </c>
      <c r="DG98350">
        <v>10.210000000000001</v>
      </c>
      <c r="DH98350">
        <v>10.210000000000001</v>
      </c>
    </row>
    <row r="98351" spans="2:146">
      <c r="B98351">
        <v>1240</v>
      </c>
      <c r="EE98351">
        <v>8.15</v>
      </c>
      <c r="EF98351">
        <v>8.15</v>
      </c>
      <c r="EG98351">
        <v>8.15</v>
      </c>
      <c r="EH98351">
        <v>8.15</v>
      </c>
      <c r="EI98351">
        <v>8.15</v>
      </c>
      <c r="EJ98351">
        <v>8.15</v>
      </c>
      <c r="EK98351">
        <v>8.15</v>
      </c>
    </row>
    <row r="98352" spans="2:146">
      <c r="B98352">
        <v>2083.2000000000003</v>
      </c>
      <c r="DI98352">
        <v>20.03</v>
      </c>
      <c r="DJ98352">
        <v>20.03</v>
      </c>
      <c r="DQ98352">
        <v>20.03</v>
      </c>
      <c r="DT98352">
        <v>20.03</v>
      </c>
      <c r="DW98352">
        <v>20.03</v>
      </c>
    </row>
    <row r="98353" spans="2:134">
      <c r="B98353">
        <v>357.20000000000005</v>
      </c>
      <c r="DI98353">
        <v>3.88</v>
      </c>
      <c r="DJ98353">
        <v>3.88</v>
      </c>
      <c r="DV98353">
        <v>3.88</v>
      </c>
      <c r="DW98353">
        <v>3.88</v>
      </c>
    </row>
    <row r="98354" spans="2:134">
      <c r="B98354">
        <v>391.20000000000005</v>
      </c>
      <c r="DI98354">
        <v>3.62</v>
      </c>
      <c r="DJ98354">
        <v>3.62</v>
      </c>
      <c r="DR98354">
        <v>3.62</v>
      </c>
      <c r="DU98354">
        <v>3.62</v>
      </c>
      <c r="DV98354">
        <v>3.62</v>
      </c>
    </row>
    <row r="98355" spans="2:134">
      <c r="B98355">
        <v>762.80000000000007</v>
      </c>
      <c r="DI98355">
        <v>6.15</v>
      </c>
      <c r="DJ98355">
        <v>6.15</v>
      </c>
      <c r="DQ98355">
        <v>6.15</v>
      </c>
      <c r="DR98355">
        <v>6.15</v>
      </c>
      <c r="DS98355">
        <v>6.15</v>
      </c>
      <c r="DT98355">
        <v>6.15</v>
      </c>
    </row>
    <row r="98356" spans="2:134">
      <c r="B98356">
        <v>1280</v>
      </c>
      <c r="DI98356">
        <v>10.66</v>
      </c>
      <c r="DJ98356">
        <v>10.66</v>
      </c>
      <c r="DK98356">
        <v>10.66</v>
      </c>
      <c r="DL98356">
        <v>10.66</v>
      </c>
      <c r="DM98356">
        <v>10.66</v>
      </c>
      <c r="DN98356">
        <v>10.66</v>
      </c>
    </row>
    <row r="98357" spans="2:134">
      <c r="B98357">
        <v>234</v>
      </c>
      <c r="CT98357">
        <v>2.5</v>
      </c>
      <c r="CU98357">
        <v>2.5</v>
      </c>
      <c r="CV98357">
        <v>2.5</v>
      </c>
    </row>
    <row r="98358" spans="2:134">
      <c r="B98358">
        <v>354</v>
      </c>
      <c r="CY98358">
        <v>3.98</v>
      </c>
      <c r="CZ98358">
        <v>3.98</v>
      </c>
      <c r="DA98358">
        <v>3.98</v>
      </c>
    </row>
    <row r="98359" spans="2:134">
      <c r="B98359">
        <v>392</v>
      </c>
      <c r="DI98359">
        <v>3.52</v>
      </c>
      <c r="DJ98359">
        <v>3.52</v>
      </c>
      <c r="DL98359">
        <v>3.52</v>
      </c>
      <c r="DO98359">
        <v>3.52</v>
      </c>
    </row>
    <row r="98360" spans="2:134">
      <c r="B98360">
        <v>304</v>
      </c>
      <c r="CE98360">
        <v>3.8</v>
      </c>
      <c r="CF98360">
        <v>3.8</v>
      </c>
    </row>
    <row r="98361" spans="2:134">
      <c r="B98361">
        <v>144</v>
      </c>
      <c r="DZ98361">
        <v>1.62</v>
      </c>
      <c r="EA98361">
        <v>1.62</v>
      </c>
      <c r="EB98361">
        <v>1.62</v>
      </c>
      <c r="EC98361">
        <v>0.81</v>
      </c>
      <c r="ED98361">
        <v>0.81</v>
      </c>
    </row>
    <row r="98362" spans="2:134">
      <c r="B98362">
        <v>602.40000000000009</v>
      </c>
      <c r="BY98362">
        <v>6.02</v>
      </c>
      <c r="BZ98362">
        <v>6.02</v>
      </c>
      <c r="CB98362">
        <v>3.01</v>
      </c>
      <c r="CC98362">
        <v>3.01</v>
      </c>
      <c r="CD98362">
        <v>3.01</v>
      </c>
      <c r="CI98362">
        <v>6.02</v>
      </c>
      <c r="CJ98362">
        <v>6.02</v>
      </c>
      <c r="CK98362">
        <v>6.02</v>
      </c>
    </row>
    <row r="98363" spans="2:134">
      <c r="B98363">
        <v>307.60000000000002</v>
      </c>
      <c r="BY98363">
        <v>3.34</v>
      </c>
      <c r="BZ98363">
        <v>3.34</v>
      </c>
      <c r="CG98363">
        <v>3.34</v>
      </c>
      <c r="CH98363">
        <v>3.34</v>
      </c>
    </row>
    <row r="98364" spans="2:134">
      <c r="B98364">
        <v>358</v>
      </c>
      <c r="BY98364">
        <v>2.37</v>
      </c>
      <c r="BZ98364">
        <v>2.37</v>
      </c>
      <c r="CA98364">
        <v>2.37</v>
      </c>
      <c r="DX98364">
        <v>4.74</v>
      </c>
      <c r="DY98364">
        <v>4.74</v>
      </c>
    </row>
    <row r="98365" spans="2:134">
      <c r="B98365">
        <v>286</v>
      </c>
      <c r="BT98365">
        <v>1.43</v>
      </c>
      <c r="BV98365">
        <v>1.43</v>
      </c>
      <c r="BW98365">
        <v>1.43</v>
      </c>
      <c r="BX98365">
        <v>1.43</v>
      </c>
      <c r="CO98365">
        <v>2.86</v>
      </c>
      <c r="CP98365">
        <v>2.86</v>
      </c>
      <c r="CQ98365">
        <v>2.86</v>
      </c>
      <c r="CR98365">
        <v>2.86</v>
      </c>
      <c r="CS98365">
        <v>2.86</v>
      </c>
    </row>
    <row r="98366" spans="2:134">
      <c r="B98366">
        <v>410</v>
      </c>
      <c r="BY98366">
        <v>2.88</v>
      </c>
      <c r="BZ98366">
        <v>2.88</v>
      </c>
      <c r="CA98366">
        <v>2.88</v>
      </c>
      <c r="CW98366">
        <v>5.76</v>
      </c>
      <c r="CX98366">
        <v>5.76</v>
      </c>
    </row>
    <row r="98367" spans="2:134">
      <c r="B98367">
        <v>346</v>
      </c>
      <c r="BR98367">
        <v>3.6</v>
      </c>
      <c r="BS98367">
        <v>3.6</v>
      </c>
      <c r="BT98367">
        <v>1.8</v>
      </c>
      <c r="CL98367">
        <v>3.6</v>
      </c>
      <c r="CM98367">
        <v>3.6</v>
      </c>
      <c r="CN98367">
        <v>3.6</v>
      </c>
    </row>
    <row r="98368" spans="2:134">
      <c r="B98368">
        <v>302</v>
      </c>
      <c r="BR98368">
        <v>3.28</v>
      </c>
      <c r="BS98368">
        <v>3.28</v>
      </c>
      <c r="BT98368">
        <v>1.64</v>
      </c>
      <c r="BU98368">
        <v>1.64</v>
      </c>
      <c r="CL98368">
        <v>3.28</v>
      </c>
      <c r="CM98368">
        <v>3.28</v>
      </c>
      <c r="CN98368">
        <v>3.28</v>
      </c>
    </row>
    <row r="98369" spans="2:146">
      <c r="B98369">
        <v>204</v>
      </c>
      <c r="BR98369">
        <v>2.12</v>
      </c>
      <c r="BS98369">
        <v>2.12</v>
      </c>
      <c r="BT98369">
        <v>1.06</v>
      </c>
      <c r="CL98369">
        <v>2.12</v>
      </c>
      <c r="CM98369">
        <v>2.12</v>
      </c>
      <c r="CN98369">
        <v>2.12</v>
      </c>
    </row>
    <row r="98371" spans="2:146">
      <c r="B98371">
        <v>26358.800000000003</v>
      </c>
      <c r="BQ98371">
        <v>0</v>
      </c>
      <c r="BR98371">
        <v>9</v>
      </c>
      <c r="BS98371">
        <v>9</v>
      </c>
      <c r="BT98371">
        <v>5.93</v>
      </c>
      <c r="BU98371">
        <v>1.64</v>
      </c>
      <c r="BV98371">
        <v>6.5299999999999994</v>
      </c>
      <c r="BW98371">
        <v>6.5299999999999994</v>
      </c>
      <c r="BX98371">
        <v>1.43</v>
      </c>
      <c r="BY98371">
        <v>14.61</v>
      </c>
      <c r="BZ98371">
        <v>14.61</v>
      </c>
      <c r="CA98371">
        <v>5.25</v>
      </c>
      <c r="CB98371">
        <v>3.01</v>
      </c>
      <c r="CC98371">
        <v>3.01</v>
      </c>
      <c r="CD98371">
        <v>3.01</v>
      </c>
      <c r="CE98371">
        <v>3.8</v>
      </c>
      <c r="CF98371">
        <v>3.8</v>
      </c>
      <c r="CG98371">
        <v>3.34</v>
      </c>
      <c r="CH98371">
        <v>3.34</v>
      </c>
      <c r="CI98371">
        <v>6.02</v>
      </c>
      <c r="CJ98371">
        <v>6.02</v>
      </c>
      <c r="CK98371">
        <v>6.02</v>
      </c>
      <c r="CL98371">
        <v>9</v>
      </c>
      <c r="CM98371">
        <v>9</v>
      </c>
      <c r="CN98371">
        <v>9</v>
      </c>
      <c r="CO98371">
        <v>2.86</v>
      </c>
      <c r="CP98371">
        <v>2.86</v>
      </c>
      <c r="CQ98371">
        <v>2.86</v>
      </c>
      <c r="CR98371">
        <v>2.86</v>
      </c>
      <c r="CS98371">
        <v>2.86</v>
      </c>
      <c r="CT98371">
        <v>2.5</v>
      </c>
      <c r="CU98371">
        <v>2.5</v>
      </c>
      <c r="CV98371">
        <v>2.5</v>
      </c>
      <c r="CW98371">
        <v>5.76</v>
      </c>
      <c r="CX98371">
        <v>5.76</v>
      </c>
      <c r="CY98371">
        <v>3.98</v>
      </c>
      <c r="CZ98371">
        <v>3.98</v>
      </c>
      <c r="DA98371">
        <v>3.98</v>
      </c>
      <c r="DB98371">
        <v>10.210000000000001</v>
      </c>
      <c r="DC98371">
        <v>10.210000000000001</v>
      </c>
      <c r="DD98371">
        <v>10.210000000000001</v>
      </c>
      <c r="DE98371">
        <v>10.210000000000001</v>
      </c>
      <c r="DF98371">
        <v>10.210000000000001</v>
      </c>
      <c r="DG98371">
        <v>10.210000000000001</v>
      </c>
      <c r="DH98371">
        <v>10.210000000000001</v>
      </c>
      <c r="DI98371">
        <v>47.860000000000007</v>
      </c>
      <c r="DJ98371">
        <v>47.860000000000007</v>
      </c>
      <c r="DK98371">
        <v>10.66</v>
      </c>
      <c r="DL98371">
        <v>14.18</v>
      </c>
      <c r="DM98371">
        <v>10.66</v>
      </c>
      <c r="DN98371">
        <v>10.66</v>
      </c>
      <c r="DO98371">
        <v>3.52</v>
      </c>
      <c r="DP98371">
        <v>0</v>
      </c>
      <c r="DQ98371">
        <v>26.18</v>
      </c>
      <c r="DR98371">
        <v>9.77</v>
      </c>
      <c r="DS98371">
        <v>6.15</v>
      </c>
      <c r="DT98371">
        <v>26.18</v>
      </c>
      <c r="DU98371">
        <v>3.62</v>
      </c>
      <c r="DV98371">
        <v>7.5</v>
      </c>
      <c r="DW98371">
        <v>23.91</v>
      </c>
      <c r="DX98371">
        <v>4.74</v>
      </c>
      <c r="DY98371">
        <v>4.74</v>
      </c>
      <c r="DZ98371">
        <v>1.62</v>
      </c>
      <c r="EA98371">
        <v>1.62</v>
      </c>
      <c r="EB98371">
        <v>1.62</v>
      </c>
      <c r="EC98371">
        <v>0.81</v>
      </c>
      <c r="ED98371">
        <v>0.81</v>
      </c>
      <c r="EE98371">
        <v>8.15</v>
      </c>
      <c r="EF98371">
        <v>8.15</v>
      </c>
      <c r="EG98371">
        <v>8.15</v>
      </c>
      <c r="EH98371">
        <v>8.15</v>
      </c>
      <c r="EI98371">
        <v>8.15</v>
      </c>
      <c r="EJ98371">
        <v>8.15</v>
      </c>
      <c r="EK98371">
        <v>8.15</v>
      </c>
      <c r="EL98371">
        <v>0.66</v>
      </c>
      <c r="EM98371">
        <v>0.66</v>
      </c>
      <c r="EN98371">
        <v>0.66</v>
      </c>
      <c r="EO98371">
        <v>0.66</v>
      </c>
      <c r="EP98371">
        <v>0.66</v>
      </c>
    </row>
    <row r="98372" spans="2:146">
      <c r="B98372" t="s">
        <v>265</v>
      </c>
      <c r="BQ98372" t="s">
        <v>345</v>
      </c>
      <c r="BR98372" t="s">
        <v>131</v>
      </c>
      <c r="BS98372" t="s">
        <v>131</v>
      </c>
      <c r="BT98372" t="s">
        <v>357</v>
      </c>
      <c r="BU98372" t="s">
        <v>131</v>
      </c>
      <c r="BV98372" t="s">
        <v>360</v>
      </c>
      <c r="BW98372" t="s">
        <v>360</v>
      </c>
      <c r="BX98372" t="s">
        <v>360</v>
      </c>
      <c r="BY98372" t="s">
        <v>364</v>
      </c>
      <c r="BZ98372" t="s">
        <v>364</v>
      </c>
      <c r="CA98372" t="s">
        <v>364</v>
      </c>
      <c r="CB98372" t="s">
        <v>368</v>
      </c>
      <c r="CC98372" t="s">
        <v>368</v>
      </c>
      <c r="CD98372" t="s">
        <v>368</v>
      </c>
      <c r="CE98372" t="s">
        <v>352</v>
      </c>
      <c r="CF98372" t="s">
        <v>352</v>
      </c>
      <c r="CG98372" t="s">
        <v>372</v>
      </c>
      <c r="CH98372" t="s">
        <v>372</v>
      </c>
      <c r="CI98372" t="s">
        <v>375</v>
      </c>
      <c r="CJ98372" t="s">
        <v>375</v>
      </c>
      <c r="CK98372" t="s">
        <v>375</v>
      </c>
      <c r="CL98372" t="s">
        <v>379</v>
      </c>
      <c r="CM98372" t="s">
        <v>379</v>
      </c>
      <c r="CN98372" t="s">
        <v>379</v>
      </c>
      <c r="CO98372" t="s">
        <v>383</v>
      </c>
      <c r="CP98372" t="s">
        <v>383</v>
      </c>
      <c r="CQ98372" t="s">
        <v>383</v>
      </c>
      <c r="CR98372" t="s">
        <v>383</v>
      </c>
      <c r="CS98372" t="s">
        <v>383</v>
      </c>
      <c r="CT98372" t="s">
        <v>389</v>
      </c>
      <c r="CU98372" t="s">
        <v>389</v>
      </c>
      <c r="CV98372" t="s">
        <v>389</v>
      </c>
      <c r="CW98372" t="s">
        <v>393</v>
      </c>
      <c r="CX98372" t="s">
        <v>393</v>
      </c>
      <c r="CY98372" t="s">
        <v>396</v>
      </c>
      <c r="CZ98372" t="s">
        <v>396</v>
      </c>
      <c r="DA98372" t="s">
        <v>396</v>
      </c>
      <c r="DB98372" t="s">
        <v>400</v>
      </c>
      <c r="DC98372" t="s">
        <v>400</v>
      </c>
      <c r="DD98372" t="s">
        <v>400</v>
      </c>
      <c r="DE98372" t="s">
        <v>400</v>
      </c>
      <c r="DF98372" t="s">
        <v>400</v>
      </c>
      <c r="DG98372" t="s">
        <v>400</v>
      </c>
      <c r="DH98372" t="s">
        <v>400</v>
      </c>
      <c r="DI98372" t="s">
        <v>121</v>
      </c>
      <c r="DJ98372" t="s">
        <v>121</v>
      </c>
      <c r="DK98372" t="s">
        <v>121</v>
      </c>
      <c r="DL98372" t="s">
        <v>121</v>
      </c>
      <c r="DM98372" t="s">
        <v>121</v>
      </c>
      <c r="DN98372" t="s">
        <v>121</v>
      </c>
      <c r="DO98372" t="s">
        <v>121</v>
      </c>
      <c r="DP98372" t="s">
        <v>121</v>
      </c>
      <c r="DQ98372" t="s">
        <v>121</v>
      </c>
      <c r="DR98372" t="s">
        <v>121</v>
      </c>
      <c r="DS98372" t="s">
        <v>121</v>
      </c>
      <c r="DT98372" t="s">
        <v>121</v>
      </c>
      <c r="DU98372" t="s">
        <v>121</v>
      </c>
      <c r="DV98372" t="s">
        <v>121</v>
      </c>
      <c r="DW98372" t="s">
        <v>121</v>
      </c>
      <c r="DX98372" t="s">
        <v>423</v>
      </c>
      <c r="DY98372" t="s">
        <v>423</v>
      </c>
      <c r="DZ98372" t="s">
        <v>426</v>
      </c>
      <c r="EA98372" t="s">
        <v>426</v>
      </c>
      <c r="EB98372" t="s">
        <v>426</v>
      </c>
      <c r="EC98372" t="s">
        <v>426</v>
      </c>
      <c r="ED98372" t="s">
        <v>426</v>
      </c>
      <c r="EE98372" t="s">
        <v>432</v>
      </c>
      <c r="EF98372" t="s">
        <v>432</v>
      </c>
      <c r="EG98372" t="s">
        <v>432</v>
      </c>
      <c r="EH98372" t="s">
        <v>432</v>
      </c>
      <c r="EI98372" t="s">
        <v>432</v>
      </c>
      <c r="EJ98372" t="s">
        <v>432</v>
      </c>
      <c r="EK98372" t="s">
        <v>432</v>
      </c>
      <c r="EL98372" t="s">
        <v>440</v>
      </c>
      <c r="EM98372" t="s">
        <v>440</v>
      </c>
      <c r="EN98372" t="s">
        <v>440</v>
      </c>
      <c r="EO98372" t="s">
        <v>440</v>
      </c>
      <c r="EP98372" t="s">
        <v>440</v>
      </c>
    </row>
    <row r="98373" spans="2:146">
      <c r="BQ98373" t="s">
        <v>351</v>
      </c>
      <c r="BR98373" t="s">
        <v>355</v>
      </c>
      <c r="BS98373" t="s">
        <v>356</v>
      </c>
      <c r="BT98373" t="s">
        <v>358</v>
      </c>
      <c r="BU98373" t="s">
        <v>359</v>
      </c>
      <c r="BV98373" t="s">
        <v>361</v>
      </c>
      <c r="BW98373" t="s">
        <v>362</v>
      </c>
      <c r="BX98373" t="s">
        <v>363</v>
      </c>
      <c r="BY98373" t="s">
        <v>365</v>
      </c>
      <c r="BZ98373" t="s">
        <v>366</v>
      </c>
      <c r="CA98373" t="s">
        <v>367</v>
      </c>
      <c r="CB98373" t="s">
        <v>369</v>
      </c>
      <c r="CC98373" t="s">
        <v>370</v>
      </c>
      <c r="CD98373" t="s">
        <v>371</v>
      </c>
      <c r="CE98373" t="s">
        <v>353</v>
      </c>
      <c r="CF98373" t="s">
        <v>354</v>
      </c>
      <c r="CG98373" t="s">
        <v>373</v>
      </c>
      <c r="CH98373" t="s">
        <v>374</v>
      </c>
      <c r="CI98373" t="s">
        <v>376</v>
      </c>
      <c r="CJ98373" t="s">
        <v>377</v>
      </c>
      <c r="CK98373" t="s">
        <v>378</v>
      </c>
      <c r="CL98373" t="s">
        <v>380</v>
      </c>
      <c r="CM98373" t="s">
        <v>381</v>
      </c>
      <c r="CN98373" t="s">
        <v>382</v>
      </c>
      <c r="CO98373" t="s">
        <v>384</v>
      </c>
      <c r="CP98373" t="s">
        <v>385</v>
      </c>
      <c r="CQ98373" t="s">
        <v>386</v>
      </c>
      <c r="CR98373" t="s">
        <v>387</v>
      </c>
      <c r="CS98373" t="s">
        <v>388</v>
      </c>
      <c r="CT98373" t="s">
        <v>390</v>
      </c>
      <c r="CU98373" t="s">
        <v>391</v>
      </c>
      <c r="CV98373" t="s">
        <v>392</v>
      </c>
      <c r="CW98373" t="s">
        <v>394</v>
      </c>
      <c r="CX98373" t="s">
        <v>395</v>
      </c>
      <c r="CY98373" t="s">
        <v>397</v>
      </c>
      <c r="CZ98373" t="s">
        <v>398</v>
      </c>
      <c r="DA98373" t="s">
        <v>399</v>
      </c>
      <c r="DB98373" t="s">
        <v>401</v>
      </c>
      <c r="DC98373" t="s">
        <v>402</v>
      </c>
      <c r="DD98373" t="s">
        <v>403</v>
      </c>
      <c r="DE98373" t="s">
        <v>404</v>
      </c>
      <c r="DF98373" t="s">
        <v>405</v>
      </c>
      <c r="DG98373" t="s">
        <v>406</v>
      </c>
      <c r="DH98373" t="s">
        <v>407</v>
      </c>
      <c r="DI98373" t="s">
        <v>408</v>
      </c>
      <c r="DJ98373" t="s">
        <v>409</v>
      </c>
      <c r="DK98373" t="s">
        <v>410</v>
      </c>
      <c r="DL98373" t="s">
        <v>411</v>
      </c>
      <c r="DM98373" t="s">
        <v>412</v>
      </c>
      <c r="DN98373" t="s">
        <v>413</v>
      </c>
      <c r="DO98373" t="s">
        <v>414</v>
      </c>
      <c r="DP98373" t="s">
        <v>415</v>
      </c>
      <c r="DQ98373" t="s">
        <v>416</v>
      </c>
      <c r="DR98373" t="s">
        <v>417</v>
      </c>
      <c r="DS98373" t="s">
        <v>418</v>
      </c>
      <c r="DT98373" t="s">
        <v>419</v>
      </c>
      <c r="DU98373" t="s">
        <v>420</v>
      </c>
      <c r="DV98373" t="s">
        <v>421</v>
      </c>
      <c r="DW98373" t="s">
        <v>422</v>
      </c>
      <c r="DX98373" t="s">
        <v>424</v>
      </c>
      <c r="DY98373" t="s">
        <v>425</v>
      </c>
      <c r="DZ98373" t="s">
        <v>427</v>
      </c>
      <c r="EA98373" t="s">
        <v>428</v>
      </c>
      <c r="EB98373" t="s">
        <v>429</v>
      </c>
      <c r="EC98373" t="s">
        <v>430</v>
      </c>
      <c r="ED98373" t="s">
        <v>431</v>
      </c>
      <c r="EE98373" t="s">
        <v>433</v>
      </c>
      <c r="EF98373" t="s">
        <v>434</v>
      </c>
      <c r="EG98373" t="s">
        <v>435</v>
      </c>
      <c r="EH98373" t="s">
        <v>436</v>
      </c>
      <c r="EI98373" t="s">
        <v>437</v>
      </c>
      <c r="EJ98373" t="s">
        <v>438</v>
      </c>
      <c r="EK98373" t="s">
        <v>439</v>
      </c>
      <c r="EL98373" t="s">
        <v>441</v>
      </c>
      <c r="EM98373" t="s">
        <v>442</v>
      </c>
      <c r="EN98373" t="s">
        <v>443</v>
      </c>
      <c r="EO98373" t="s">
        <v>444</v>
      </c>
      <c r="EP98373" t="s">
        <v>445</v>
      </c>
    </row>
    <row r="98374" spans="2:146">
      <c r="BQ98374">
        <v>67</v>
      </c>
      <c r="BR98374">
        <v>68</v>
      </c>
      <c r="BS98374">
        <v>69</v>
      </c>
      <c r="BT98374">
        <v>70</v>
      </c>
      <c r="BU98374">
        <v>71</v>
      </c>
      <c r="BV98374">
        <v>72</v>
      </c>
      <c r="BW98374">
        <v>73</v>
      </c>
      <c r="BX98374">
        <v>74</v>
      </c>
      <c r="BY98374">
        <v>75</v>
      </c>
      <c r="BZ98374">
        <v>76</v>
      </c>
      <c r="CA98374">
        <v>77</v>
      </c>
      <c r="CB98374">
        <v>78</v>
      </c>
      <c r="CC98374">
        <v>79</v>
      </c>
      <c r="CD98374">
        <v>80</v>
      </c>
      <c r="CE98374">
        <v>81</v>
      </c>
      <c r="CF98374">
        <v>82</v>
      </c>
      <c r="CG98374">
        <v>83</v>
      </c>
      <c r="CH98374">
        <v>84</v>
      </c>
      <c r="CI98374">
        <v>85</v>
      </c>
      <c r="CJ98374">
        <v>86</v>
      </c>
      <c r="CK98374">
        <v>87</v>
      </c>
      <c r="CL98374">
        <v>88</v>
      </c>
      <c r="CM98374">
        <v>89</v>
      </c>
      <c r="CN98374">
        <v>90</v>
      </c>
      <c r="CO98374">
        <v>91</v>
      </c>
      <c r="CP98374">
        <v>92</v>
      </c>
      <c r="CQ98374">
        <v>93</v>
      </c>
      <c r="CR98374">
        <v>94</v>
      </c>
      <c r="CS98374">
        <v>95</v>
      </c>
      <c r="CT98374">
        <v>96</v>
      </c>
      <c r="CU98374">
        <v>97</v>
      </c>
      <c r="CV98374">
        <v>98</v>
      </c>
      <c r="CW98374">
        <v>99</v>
      </c>
      <c r="CX98374">
        <v>100</v>
      </c>
      <c r="CY98374">
        <v>101</v>
      </c>
      <c r="CZ98374">
        <v>102</v>
      </c>
      <c r="DA98374">
        <v>103</v>
      </c>
      <c r="DB98374">
        <v>104</v>
      </c>
      <c r="DC98374">
        <v>105</v>
      </c>
      <c r="DD98374">
        <v>106</v>
      </c>
      <c r="DE98374">
        <v>107</v>
      </c>
      <c r="DF98374">
        <v>108</v>
      </c>
      <c r="DG98374">
        <v>109</v>
      </c>
      <c r="DH98374">
        <v>110</v>
      </c>
      <c r="DI98374">
        <v>111</v>
      </c>
      <c r="DJ98374">
        <v>112</v>
      </c>
      <c r="DK98374">
        <v>113</v>
      </c>
      <c r="DL98374">
        <v>114</v>
      </c>
      <c r="DM98374">
        <v>115</v>
      </c>
      <c r="DN98374">
        <v>116</v>
      </c>
      <c r="DO98374">
        <v>117</v>
      </c>
      <c r="DP98374">
        <v>118</v>
      </c>
      <c r="DQ98374">
        <v>119</v>
      </c>
      <c r="DR98374">
        <v>120</v>
      </c>
      <c r="DS98374">
        <v>121</v>
      </c>
      <c r="DT98374">
        <v>122</v>
      </c>
      <c r="DU98374">
        <v>123</v>
      </c>
      <c r="DV98374">
        <v>124</v>
      </c>
      <c r="DW98374">
        <v>125</v>
      </c>
      <c r="DX98374">
        <v>126</v>
      </c>
      <c r="DY98374">
        <v>127</v>
      </c>
      <c r="DZ98374">
        <v>128</v>
      </c>
      <c r="EA98374">
        <v>129</v>
      </c>
      <c r="EB98374">
        <v>130</v>
      </c>
      <c r="EC98374">
        <v>131</v>
      </c>
      <c r="ED98374">
        <v>132</v>
      </c>
      <c r="EE98374">
        <v>133</v>
      </c>
      <c r="EF98374">
        <v>134</v>
      </c>
      <c r="EG98374">
        <v>135</v>
      </c>
      <c r="EH98374">
        <v>136</v>
      </c>
      <c r="EI98374">
        <v>137</v>
      </c>
      <c r="EJ98374">
        <v>138</v>
      </c>
      <c r="EK98374">
        <v>139</v>
      </c>
      <c r="EL98374">
        <v>140</v>
      </c>
      <c r="EM98374">
        <v>141</v>
      </c>
      <c r="EN98374">
        <v>142</v>
      </c>
      <c r="EO98374">
        <v>143</v>
      </c>
      <c r="EP98374">
        <v>144</v>
      </c>
    </row>
    <row r="98375" spans="2:146">
      <c r="CE98375" t="s">
        <v>451</v>
      </c>
    </row>
    <row r="114690" spans="2:2">
      <c r="B114690">
        <v>200</v>
      </c>
    </row>
    <row r="114691" spans="2:2">
      <c r="B114691">
        <v>200</v>
      </c>
    </row>
    <row r="114692" spans="2:2">
      <c r="B114692">
        <v>800</v>
      </c>
    </row>
    <row r="114693" spans="2:2">
      <c r="B114693">
        <v>200</v>
      </c>
    </row>
    <row r="114694" spans="2:2">
      <c r="B114694">
        <v>1044</v>
      </c>
    </row>
    <row r="114695" spans="2:2">
      <c r="B114695">
        <v>998.40000000000009</v>
      </c>
    </row>
    <row r="114696" spans="2:2">
      <c r="B114696">
        <v>272</v>
      </c>
    </row>
    <row r="114697" spans="2:2">
      <c r="B114697">
        <v>200</v>
      </c>
    </row>
    <row r="114698" spans="2:2">
      <c r="B114698">
        <v>214</v>
      </c>
    </row>
    <row r="114699" spans="2:2">
      <c r="B114699">
        <v>200</v>
      </c>
    </row>
    <row r="114700" spans="2:2">
      <c r="B114700">
        <v>152</v>
      </c>
    </row>
    <row r="114701" spans="2:2">
      <c r="B114701">
        <v>200</v>
      </c>
    </row>
    <row r="114702" spans="2:2">
      <c r="B114702">
        <v>300</v>
      </c>
    </row>
    <row r="114703" spans="2:2">
      <c r="B114703">
        <v>104</v>
      </c>
    </row>
    <row r="114704" spans="2:2">
      <c r="B114704">
        <v>162</v>
      </c>
    </row>
    <row r="114705" spans="2:2">
      <c r="B114705">
        <v>200</v>
      </c>
    </row>
    <row r="114706" spans="2:2">
      <c r="B114706">
        <v>200</v>
      </c>
    </row>
    <row r="114707" spans="2:2">
      <c r="B114707">
        <v>200</v>
      </c>
    </row>
    <row r="114708" spans="2:2">
      <c r="B114708">
        <v>200</v>
      </c>
    </row>
    <row r="114709" spans="2:2">
      <c r="B114709">
        <v>200</v>
      </c>
    </row>
    <row r="114710" spans="2:2">
      <c r="B114710">
        <v>200</v>
      </c>
    </row>
    <row r="114711" spans="2:2">
      <c r="B114711">
        <v>200</v>
      </c>
    </row>
    <row r="114712" spans="2:2">
      <c r="B114712">
        <v>200</v>
      </c>
    </row>
    <row r="114713" spans="2:2">
      <c r="B114713">
        <v>800</v>
      </c>
    </row>
    <row r="114714" spans="2:2">
      <c r="B114714">
        <v>300</v>
      </c>
    </row>
    <row r="114715" spans="2:2">
      <c r="B114715">
        <v>778</v>
      </c>
    </row>
    <row r="114716" spans="2:2">
      <c r="B114716">
        <v>614</v>
      </c>
    </row>
    <row r="114717" spans="2:2">
      <c r="B114717">
        <v>444</v>
      </c>
    </row>
    <row r="114718" spans="2:2">
      <c r="B114718">
        <v>800</v>
      </c>
    </row>
    <row r="114719" spans="2:2">
      <c r="B114719">
        <v>200</v>
      </c>
    </row>
    <row r="114720" spans="2:2">
      <c r="B114720">
        <v>780</v>
      </c>
    </row>
    <row r="114721" spans="2:146">
      <c r="B114721">
        <v>174</v>
      </c>
    </row>
    <row r="114722" spans="2:146">
      <c r="B114722">
        <v>194</v>
      </c>
    </row>
    <row r="114723" spans="2:146">
      <c r="B114723">
        <v>782</v>
      </c>
    </row>
    <row r="114724" spans="2:146">
      <c r="B114724">
        <v>236</v>
      </c>
    </row>
    <row r="114725" spans="2:146">
      <c r="B114725">
        <v>144</v>
      </c>
    </row>
    <row r="114726" spans="2:146">
      <c r="B114726">
        <v>200</v>
      </c>
    </row>
    <row r="114727" spans="2:146">
      <c r="B114727">
        <v>240</v>
      </c>
    </row>
    <row r="114728" spans="2:146">
      <c r="B114728">
        <v>200</v>
      </c>
    </row>
    <row r="114729" spans="2:146">
      <c r="B114729">
        <v>612</v>
      </c>
    </row>
    <row r="114730" spans="2:146">
      <c r="B114730">
        <v>156</v>
      </c>
    </row>
    <row r="114731" spans="2:146">
      <c r="B114731">
        <v>116</v>
      </c>
    </row>
    <row r="114732" spans="2:146">
      <c r="B114732">
        <v>160</v>
      </c>
    </row>
    <row r="114733" spans="2:146">
      <c r="B114733">
        <v>80</v>
      </c>
      <c r="EL114733">
        <v>0.66</v>
      </c>
      <c r="EM114733">
        <v>0.66</v>
      </c>
      <c r="EN114733">
        <v>0.66</v>
      </c>
      <c r="EO114733">
        <v>0.66</v>
      </c>
      <c r="EP114733">
        <v>0.66</v>
      </c>
    </row>
    <row r="114734" spans="2:146">
      <c r="B114734">
        <v>1144</v>
      </c>
      <c r="BV114734">
        <v>5.0999999999999996</v>
      </c>
      <c r="BW114734">
        <v>5.0999999999999996</v>
      </c>
      <c r="DB114734">
        <v>10.210000000000001</v>
      </c>
      <c r="DC114734">
        <v>10.210000000000001</v>
      </c>
      <c r="DD114734">
        <v>10.210000000000001</v>
      </c>
      <c r="DE114734">
        <v>10.210000000000001</v>
      </c>
      <c r="DF114734">
        <v>10.210000000000001</v>
      </c>
      <c r="DG114734">
        <v>10.210000000000001</v>
      </c>
      <c r="DH114734">
        <v>10.210000000000001</v>
      </c>
    </row>
    <row r="114735" spans="2:146">
      <c r="B114735">
        <v>1240</v>
      </c>
      <c r="EE114735">
        <v>8.15</v>
      </c>
      <c r="EF114735">
        <v>8.15</v>
      </c>
      <c r="EG114735">
        <v>8.15</v>
      </c>
      <c r="EH114735">
        <v>8.15</v>
      </c>
      <c r="EI114735">
        <v>8.15</v>
      </c>
      <c r="EJ114735">
        <v>8.15</v>
      </c>
      <c r="EK114735">
        <v>8.15</v>
      </c>
    </row>
    <row r="114736" spans="2:146">
      <c r="B114736">
        <v>2083.2000000000003</v>
      </c>
      <c r="DI114736">
        <v>20.03</v>
      </c>
      <c r="DJ114736">
        <v>20.03</v>
      </c>
      <c r="DQ114736">
        <v>20.03</v>
      </c>
      <c r="DT114736">
        <v>20.03</v>
      </c>
      <c r="DW114736">
        <v>20.03</v>
      </c>
    </row>
    <row r="114737" spans="2:134">
      <c r="B114737">
        <v>357.20000000000005</v>
      </c>
      <c r="DI114737">
        <v>3.88</v>
      </c>
      <c r="DJ114737">
        <v>3.88</v>
      </c>
      <c r="DV114737">
        <v>3.88</v>
      </c>
      <c r="DW114737">
        <v>3.88</v>
      </c>
    </row>
    <row r="114738" spans="2:134">
      <c r="B114738">
        <v>391.20000000000005</v>
      </c>
      <c r="DI114738">
        <v>3.62</v>
      </c>
      <c r="DJ114738">
        <v>3.62</v>
      </c>
      <c r="DR114738">
        <v>3.62</v>
      </c>
      <c r="DU114738">
        <v>3.62</v>
      </c>
      <c r="DV114738">
        <v>3.62</v>
      </c>
    </row>
    <row r="114739" spans="2:134">
      <c r="B114739">
        <v>762.80000000000007</v>
      </c>
      <c r="DI114739">
        <v>6.15</v>
      </c>
      <c r="DJ114739">
        <v>6.15</v>
      </c>
      <c r="DQ114739">
        <v>6.15</v>
      </c>
      <c r="DR114739">
        <v>6.15</v>
      </c>
      <c r="DS114739">
        <v>6.15</v>
      </c>
      <c r="DT114739">
        <v>6.15</v>
      </c>
    </row>
    <row r="114740" spans="2:134">
      <c r="B114740">
        <v>1280</v>
      </c>
      <c r="DI114740">
        <v>10.66</v>
      </c>
      <c r="DJ114740">
        <v>10.66</v>
      </c>
      <c r="DK114740">
        <v>10.66</v>
      </c>
      <c r="DL114740">
        <v>10.66</v>
      </c>
      <c r="DM114740">
        <v>10.66</v>
      </c>
      <c r="DN114740">
        <v>10.66</v>
      </c>
    </row>
    <row r="114741" spans="2:134">
      <c r="B114741">
        <v>234</v>
      </c>
      <c r="CT114741">
        <v>2.5</v>
      </c>
      <c r="CU114741">
        <v>2.5</v>
      </c>
      <c r="CV114741">
        <v>2.5</v>
      </c>
    </row>
    <row r="114742" spans="2:134">
      <c r="B114742">
        <v>354</v>
      </c>
      <c r="CY114742">
        <v>3.98</v>
      </c>
      <c r="CZ114742">
        <v>3.98</v>
      </c>
      <c r="DA114742">
        <v>3.98</v>
      </c>
    </row>
    <row r="114743" spans="2:134">
      <c r="B114743">
        <v>392</v>
      </c>
      <c r="DI114743">
        <v>3.52</v>
      </c>
      <c r="DJ114743">
        <v>3.52</v>
      </c>
      <c r="DL114743">
        <v>3.52</v>
      </c>
      <c r="DO114743">
        <v>3.52</v>
      </c>
    </row>
    <row r="114744" spans="2:134">
      <c r="B114744">
        <v>304</v>
      </c>
      <c r="CE114744">
        <v>3.8</v>
      </c>
      <c r="CF114744">
        <v>3.8</v>
      </c>
    </row>
    <row r="114745" spans="2:134">
      <c r="B114745">
        <v>144</v>
      </c>
      <c r="DZ114745">
        <v>1.62</v>
      </c>
      <c r="EA114745">
        <v>1.62</v>
      </c>
      <c r="EB114745">
        <v>1.62</v>
      </c>
      <c r="EC114745">
        <v>0.81</v>
      </c>
      <c r="ED114745">
        <v>0.81</v>
      </c>
    </row>
    <row r="114746" spans="2:134">
      <c r="B114746">
        <v>602.40000000000009</v>
      </c>
      <c r="BY114746">
        <v>6.02</v>
      </c>
      <c r="BZ114746">
        <v>6.02</v>
      </c>
      <c r="CB114746">
        <v>3.01</v>
      </c>
      <c r="CC114746">
        <v>3.01</v>
      </c>
      <c r="CD114746">
        <v>3.01</v>
      </c>
      <c r="CI114746">
        <v>6.02</v>
      </c>
      <c r="CJ114746">
        <v>6.02</v>
      </c>
      <c r="CK114746">
        <v>6.02</v>
      </c>
    </row>
    <row r="114747" spans="2:134">
      <c r="B114747">
        <v>307.60000000000002</v>
      </c>
      <c r="BY114747">
        <v>3.34</v>
      </c>
      <c r="BZ114747">
        <v>3.34</v>
      </c>
      <c r="CG114747">
        <v>3.34</v>
      </c>
      <c r="CH114747">
        <v>3.34</v>
      </c>
    </row>
    <row r="114748" spans="2:134">
      <c r="B114748">
        <v>358</v>
      </c>
      <c r="BY114748">
        <v>2.37</v>
      </c>
      <c r="BZ114748">
        <v>2.37</v>
      </c>
      <c r="CA114748">
        <v>2.37</v>
      </c>
      <c r="DX114748">
        <v>4.74</v>
      </c>
      <c r="DY114748">
        <v>4.74</v>
      </c>
    </row>
    <row r="114749" spans="2:134">
      <c r="B114749">
        <v>286</v>
      </c>
      <c r="BT114749">
        <v>1.43</v>
      </c>
      <c r="BV114749">
        <v>1.43</v>
      </c>
      <c r="BW114749">
        <v>1.43</v>
      </c>
      <c r="BX114749">
        <v>1.43</v>
      </c>
      <c r="CO114749">
        <v>2.86</v>
      </c>
      <c r="CP114749">
        <v>2.86</v>
      </c>
      <c r="CQ114749">
        <v>2.86</v>
      </c>
      <c r="CR114749">
        <v>2.86</v>
      </c>
      <c r="CS114749">
        <v>2.86</v>
      </c>
    </row>
    <row r="114750" spans="2:134">
      <c r="B114750">
        <v>410</v>
      </c>
      <c r="BY114750">
        <v>2.88</v>
      </c>
      <c r="BZ114750">
        <v>2.88</v>
      </c>
      <c r="CA114750">
        <v>2.88</v>
      </c>
      <c r="CW114750">
        <v>5.76</v>
      </c>
      <c r="CX114750">
        <v>5.76</v>
      </c>
    </row>
    <row r="114751" spans="2:134">
      <c r="B114751">
        <v>346</v>
      </c>
      <c r="BR114751">
        <v>3.6</v>
      </c>
      <c r="BS114751">
        <v>3.6</v>
      </c>
      <c r="BT114751">
        <v>1.8</v>
      </c>
      <c r="CL114751">
        <v>3.6</v>
      </c>
      <c r="CM114751">
        <v>3.6</v>
      </c>
      <c r="CN114751">
        <v>3.6</v>
      </c>
    </row>
    <row r="114752" spans="2:134">
      <c r="B114752">
        <v>302</v>
      </c>
      <c r="BR114752">
        <v>3.28</v>
      </c>
      <c r="BS114752">
        <v>3.28</v>
      </c>
      <c r="BT114752">
        <v>1.64</v>
      </c>
      <c r="BU114752">
        <v>1.64</v>
      </c>
      <c r="CL114752">
        <v>3.28</v>
      </c>
      <c r="CM114752">
        <v>3.28</v>
      </c>
      <c r="CN114752">
        <v>3.28</v>
      </c>
    </row>
    <row r="114753" spans="2:146">
      <c r="B114753">
        <v>204</v>
      </c>
      <c r="BR114753">
        <v>2.12</v>
      </c>
      <c r="BS114753">
        <v>2.12</v>
      </c>
      <c r="BT114753">
        <v>1.06</v>
      </c>
      <c r="CL114753">
        <v>2.12</v>
      </c>
      <c r="CM114753">
        <v>2.12</v>
      </c>
      <c r="CN114753">
        <v>2.12</v>
      </c>
    </row>
    <row r="114755" spans="2:146">
      <c r="B114755">
        <v>26358.800000000003</v>
      </c>
      <c r="BQ114755">
        <v>0</v>
      </c>
      <c r="BR114755">
        <v>9</v>
      </c>
      <c r="BS114755">
        <v>9</v>
      </c>
      <c r="BT114755">
        <v>5.93</v>
      </c>
      <c r="BU114755">
        <v>1.64</v>
      </c>
      <c r="BV114755">
        <v>6.5299999999999994</v>
      </c>
      <c r="BW114755">
        <v>6.5299999999999994</v>
      </c>
      <c r="BX114755">
        <v>1.43</v>
      </c>
      <c r="BY114755">
        <v>14.61</v>
      </c>
      <c r="BZ114755">
        <v>14.61</v>
      </c>
      <c r="CA114755">
        <v>5.25</v>
      </c>
      <c r="CB114755">
        <v>3.01</v>
      </c>
      <c r="CC114755">
        <v>3.01</v>
      </c>
      <c r="CD114755">
        <v>3.01</v>
      </c>
      <c r="CE114755">
        <v>3.8</v>
      </c>
      <c r="CF114755">
        <v>3.8</v>
      </c>
      <c r="CG114755">
        <v>3.34</v>
      </c>
      <c r="CH114755">
        <v>3.34</v>
      </c>
      <c r="CI114755">
        <v>6.02</v>
      </c>
      <c r="CJ114755">
        <v>6.02</v>
      </c>
      <c r="CK114755">
        <v>6.02</v>
      </c>
      <c r="CL114755">
        <v>9</v>
      </c>
      <c r="CM114755">
        <v>9</v>
      </c>
      <c r="CN114755">
        <v>9</v>
      </c>
      <c r="CO114755">
        <v>2.86</v>
      </c>
      <c r="CP114755">
        <v>2.86</v>
      </c>
      <c r="CQ114755">
        <v>2.86</v>
      </c>
      <c r="CR114755">
        <v>2.86</v>
      </c>
      <c r="CS114755">
        <v>2.86</v>
      </c>
      <c r="CT114755">
        <v>2.5</v>
      </c>
      <c r="CU114755">
        <v>2.5</v>
      </c>
      <c r="CV114755">
        <v>2.5</v>
      </c>
      <c r="CW114755">
        <v>5.76</v>
      </c>
      <c r="CX114755">
        <v>5.76</v>
      </c>
      <c r="CY114755">
        <v>3.98</v>
      </c>
      <c r="CZ114755">
        <v>3.98</v>
      </c>
      <c r="DA114755">
        <v>3.98</v>
      </c>
      <c r="DB114755">
        <v>10.210000000000001</v>
      </c>
      <c r="DC114755">
        <v>10.210000000000001</v>
      </c>
      <c r="DD114755">
        <v>10.210000000000001</v>
      </c>
      <c r="DE114755">
        <v>10.210000000000001</v>
      </c>
      <c r="DF114755">
        <v>10.210000000000001</v>
      </c>
      <c r="DG114755">
        <v>10.210000000000001</v>
      </c>
      <c r="DH114755">
        <v>10.210000000000001</v>
      </c>
      <c r="DI114755">
        <v>47.860000000000007</v>
      </c>
      <c r="DJ114755">
        <v>47.860000000000007</v>
      </c>
      <c r="DK114755">
        <v>10.66</v>
      </c>
      <c r="DL114755">
        <v>14.18</v>
      </c>
      <c r="DM114755">
        <v>10.66</v>
      </c>
      <c r="DN114755">
        <v>10.66</v>
      </c>
      <c r="DO114755">
        <v>3.52</v>
      </c>
      <c r="DP114755">
        <v>0</v>
      </c>
      <c r="DQ114755">
        <v>26.18</v>
      </c>
      <c r="DR114755">
        <v>9.77</v>
      </c>
      <c r="DS114755">
        <v>6.15</v>
      </c>
      <c r="DT114755">
        <v>26.18</v>
      </c>
      <c r="DU114755">
        <v>3.62</v>
      </c>
      <c r="DV114755">
        <v>7.5</v>
      </c>
      <c r="DW114755">
        <v>23.91</v>
      </c>
      <c r="DX114755">
        <v>4.74</v>
      </c>
      <c r="DY114755">
        <v>4.74</v>
      </c>
      <c r="DZ114755">
        <v>1.62</v>
      </c>
      <c r="EA114755">
        <v>1.62</v>
      </c>
      <c r="EB114755">
        <v>1.62</v>
      </c>
      <c r="EC114755">
        <v>0.81</v>
      </c>
      <c r="ED114755">
        <v>0.81</v>
      </c>
      <c r="EE114755">
        <v>8.15</v>
      </c>
      <c r="EF114755">
        <v>8.15</v>
      </c>
      <c r="EG114755">
        <v>8.15</v>
      </c>
      <c r="EH114755">
        <v>8.15</v>
      </c>
      <c r="EI114755">
        <v>8.15</v>
      </c>
      <c r="EJ114755">
        <v>8.15</v>
      </c>
      <c r="EK114755">
        <v>8.15</v>
      </c>
      <c r="EL114755">
        <v>0.66</v>
      </c>
      <c r="EM114755">
        <v>0.66</v>
      </c>
      <c r="EN114755">
        <v>0.66</v>
      </c>
      <c r="EO114755">
        <v>0.66</v>
      </c>
      <c r="EP114755">
        <v>0.66</v>
      </c>
    </row>
    <row r="114756" spans="2:146">
      <c r="B114756" t="s">
        <v>265</v>
      </c>
      <c r="BQ114756" t="s">
        <v>345</v>
      </c>
      <c r="BR114756" t="s">
        <v>131</v>
      </c>
      <c r="BS114756" t="s">
        <v>131</v>
      </c>
      <c r="BT114756" t="s">
        <v>357</v>
      </c>
      <c r="BU114756" t="s">
        <v>131</v>
      </c>
      <c r="BV114756" t="s">
        <v>360</v>
      </c>
      <c r="BW114756" t="s">
        <v>360</v>
      </c>
      <c r="BX114756" t="s">
        <v>360</v>
      </c>
      <c r="BY114756" t="s">
        <v>364</v>
      </c>
      <c r="BZ114756" t="s">
        <v>364</v>
      </c>
      <c r="CA114756" t="s">
        <v>364</v>
      </c>
      <c r="CB114756" t="s">
        <v>368</v>
      </c>
      <c r="CC114756" t="s">
        <v>368</v>
      </c>
      <c r="CD114756" t="s">
        <v>368</v>
      </c>
      <c r="CE114756" t="s">
        <v>352</v>
      </c>
      <c r="CF114756" t="s">
        <v>352</v>
      </c>
      <c r="CG114756" t="s">
        <v>372</v>
      </c>
      <c r="CH114756" t="s">
        <v>372</v>
      </c>
      <c r="CI114756" t="s">
        <v>375</v>
      </c>
      <c r="CJ114756" t="s">
        <v>375</v>
      </c>
      <c r="CK114756" t="s">
        <v>375</v>
      </c>
      <c r="CL114756" t="s">
        <v>379</v>
      </c>
      <c r="CM114756" t="s">
        <v>379</v>
      </c>
      <c r="CN114756" t="s">
        <v>379</v>
      </c>
      <c r="CO114756" t="s">
        <v>383</v>
      </c>
      <c r="CP114756" t="s">
        <v>383</v>
      </c>
      <c r="CQ114756" t="s">
        <v>383</v>
      </c>
      <c r="CR114756" t="s">
        <v>383</v>
      </c>
      <c r="CS114756" t="s">
        <v>383</v>
      </c>
      <c r="CT114756" t="s">
        <v>389</v>
      </c>
      <c r="CU114756" t="s">
        <v>389</v>
      </c>
      <c r="CV114756" t="s">
        <v>389</v>
      </c>
      <c r="CW114756" t="s">
        <v>393</v>
      </c>
      <c r="CX114756" t="s">
        <v>393</v>
      </c>
      <c r="CY114756" t="s">
        <v>396</v>
      </c>
      <c r="CZ114756" t="s">
        <v>396</v>
      </c>
      <c r="DA114756" t="s">
        <v>396</v>
      </c>
      <c r="DB114756" t="s">
        <v>400</v>
      </c>
      <c r="DC114756" t="s">
        <v>400</v>
      </c>
      <c r="DD114756" t="s">
        <v>400</v>
      </c>
      <c r="DE114756" t="s">
        <v>400</v>
      </c>
      <c r="DF114756" t="s">
        <v>400</v>
      </c>
      <c r="DG114756" t="s">
        <v>400</v>
      </c>
      <c r="DH114756" t="s">
        <v>400</v>
      </c>
      <c r="DI114756" t="s">
        <v>121</v>
      </c>
      <c r="DJ114756" t="s">
        <v>121</v>
      </c>
      <c r="DK114756" t="s">
        <v>121</v>
      </c>
      <c r="DL114756" t="s">
        <v>121</v>
      </c>
      <c r="DM114756" t="s">
        <v>121</v>
      </c>
      <c r="DN114756" t="s">
        <v>121</v>
      </c>
      <c r="DO114756" t="s">
        <v>121</v>
      </c>
      <c r="DP114756" t="s">
        <v>121</v>
      </c>
      <c r="DQ114756" t="s">
        <v>121</v>
      </c>
      <c r="DR114756" t="s">
        <v>121</v>
      </c>
      <c r="DS114756" t="s">
        <v>121</v>
      </c>
      <c r="DT114756" t="s">
        <v>121</v>
      </c>
      <c r="DU114756" t="s">
        <v>121</v>
      </c>
      <c r="DV114756" t="s">
        <v>121</v>
      </c>
      <c r="DW114756" t="s">
        <v>121</v>
      </c>
      <c r="DX114756" t="s">
        <v>423</v>
      </c>
      <c r="DY114756" t="s">
        <v>423</v>
      </c>
      <c r="DZ114756" t="s">
        <v>426</v>
      </c>
      <c r="EA114756" t="s">
        <v>426</v>
      </c>
      <c r="EB114756" t="s">
        <v>426</v>
      </c>
      <c r="EC114756" t="s">
        <v>426</v>
      </c>
      <c r="ED114756" t="s">
        <v>426</v>
      </c>
      <c r="EE114756" t="s">
        <v>432</v>
      </c>
      <c r="EF114756" t="s">
        <v>432</v>
      </c>
      <c r="EG114756" t="s">
        <v>432</v>
      </c>
      <c r="EH114756" t="s">
        <v>432</v>
      </c>
      <c r="EI114756" t="s">
        <v>432</v>
      </c>
      <c r="EJ114756" t="s">
        <v>432</v>
      </c>
      <c r="EK114756" t="s">
        <v>432</v>
      </c>
      <c r="EL114756" t="s">
        <v>440</v>
      </c>
      <c r="EM114756" t="s">
        <v>440</v>
      </c>
      <c r="EN114756" t="s">
        <v>440</v>
      </c>
      <c r="EO114756" t="s">
        <v>440</v>
      </c>
      <c r="EP114756" t="s">
        <v>440</v>
      </c>
    </row>
    <row r="114757" spans="2:146">
      <c r="BQ114757" t="s">
        <v>351</v>
      </c>
      <c r="BR114757" t="s">
        <v>355</v>
      </c>
      <c r="BS114757" t="s">
        <v>356</v>
      </c>
      <c r="BT114757" t="s">
        <v>358</v>
      </c>
      <c r="BU114757" t="s">
        <v>359</v>
      </c>
      <c r="BV114757" t="s">
        <v>361</v>
      </c>
      <c r="BW114757" t="s">
        <v>362</v>
      </c>
      <c r="BX114757" t="s">
        <v>363</v>
      </c>
      <c r="BY114757" t="s">
        <v>365</v>
      </c>
      <c r="BZ114757" t="s">
        <v>366</v>
      </c>
      <c r="CA114757" t="s">
        <v>367</v>
      </c>
      <c r="CB114757" t="s">
        <v>369</v>
      </c>
      <c r="CC114757" t="s">
        <v>370</v>
      </c>
      <c r="CD114757" t="s">
        <v>371</v>
      </c>
      <c r="CE114757" t="s">
        <v>353</v>
      </c>
      <c r="CF114757" t="s">
        <v>354</v>
      </c>
      <c r="CG114757" t="s">
        <v>373</v>
      </c>
      <c r="CH114757" t="s">
        <v>374</v>
      </c>
      <c r="CI114757" t="s">
        <v>376</v>
      </c>
      <c r="CJ114757" t="s">
        <v>377</v>
      </c>
      <c r="CK114757" t="s">
        <v>378</v>
      </c>
      <c r="CL114757" t="s">
        <v>380</v>
      </c>
      <c r="CM114757" t="s">
        <v>381</v>
      </c>
      <c r="CN114757" t="s">
        <v>382</v>
      </c>
      <c r="CO114757" t="s">
        <v>384</v>
      </c>
      <c r="CP114757" t="s">
        <v>385</v>
      </c>
      <c r="CQ114757" t="s">
        <v>386</v>
      </c>
      <c r="CR114757" t="s">
        <v>387</v>
      </c>
      <c r="CS114757" t="s">
        <v>388</v>
      </c>
      <c r="CT114757" t="s">
        <v>390</v>
      </c>
      <c r="CU114757" t="s">
        <v>391</v>
      </c>
      <c r="CV114757" t="s">
        <v>392</v>
      </c>
      <c r="CW114757" t="s">
        <v>394</v>
      </c>
      <c r="CX114757" t="s">
        <v>395</v>
      </c>
      <c r="CY114757" t="s">
        <v>397</v>
      </c>
      <c r="CZ114757" t="s">
        <v>398</v>
      </c>
      <c r="DA114757" t="s">
        <v>399</v>
      </c>
      <c r="DB114757" t="s">
        <v>401</v>
      </c>
      <c r="DC114757" t="s">
        <v>402</v>
      </c>
      <c r="DD114757" t="s">
        <v>403</v>
      </c>
      <c r="DE114757" t="s">
        <v>404</v>
      </c>
      <c r="DF114757" t="s">
        <v>405</v>
      </c>
      <c r="DG114757" t="s">
        <v>406</v>
      </c>
      <c r="DH114757" t="s">
        <v>407</v>
      </c>
      <c r="DI114757" t="s">
        <v>408</v>
      </c>
      <c r="DJ114757" t="s">
        <v>409</v>
      </c>
      <c r="DK114757" t="s">
        <v>410</v>
      </c>
      <c r="DL114757" t="s">
        <v>411</v>
      </c>
      <c r="DM114757" t="s">
        <v>412</v>
      </c>
      <c r="DN114757" t="s">
        <v>413</v>
      </c>
      <c r="DO114757" t="s">
        <v>414</v>
      </c>
      <c r="DP114757" t="s">
        <v>415</v>
      </c>
      <c r="DQ114757" t="s">
        <v>416</v>
      </c>
      <c r="DR114757" t="s">
        <v>417</v>
      </c>
      <c r="DS114757" t="s">
        <v>418</v>
      </c>
      <c r="DT114757" t="s">
        <v>419</v>
      </c>
      <c r="DU114757" t="s">
        <v>420</v>
      </c>
      <c r="DV114757" t="s">
        <v>421</v>
      </c>
      <c r="DW114757" t="s">
        <v>422</v>
      </c>
      <c r="DX114757" t="s">
        <v>424</v>
      </c>
      <c r="DY114757" t="s">
        <v>425</v>
      </c>
      <c r="DZ114757" t="s">
        <v>427</v>
      </c>
      <c r="EA114757" t="s">
        <v>428</v>
      </c>
      <c r="EB114757" t="s">
        <v>429</v>
      </c>
      <c r="EC114757" t="s">
        <v>430</v>
      </c>
      <c r="ED114757" t="s">
        <v>431</v>
      </c>
      <c r="EE114757" t="s">
        <v>433</v>
      </c>
      <c r="EF114757" t="s">
        <v>434</v>
      </c>
      <c r="EG114757" t="s">
        <v>435</v>
      </c>
      <c r="EH114757" t="s">
        <v>436</v>
      </c>
      <c r="EI114757" t="s">
        <v>437</v>
      </c>
      <c r="EJ114757" t="s">
        <v>438</v>
      </c>
      <c r="EK114757" t="s">
        <v>439</v>
      </c>
      <c r="EL114757" t="s">
        <v>441</v>
      </c>
      <c r="EM114757" t="s">
        <v>442</v>
      </c>
      <c r="EN114757" t="s">
        <v>443</v>
      </c>
      <c r="EO114757" t="s">
        <v>444</v>
      </c>
      <c r="EP114757" t="s">
        <v>445</v>
      </c>
    </row>
    <row r="114758" spans="2:146">
      <c r="BQ114758">
        <v>67</v>
      </c>
      <c r="BR114758">
        <v>68</v>
      </c>
      <c r="BS114758">
        <v>69</v>
      </c>
      <c r="BT114758">
        <v>70</v>
      </c>
      <c r="BU114758">
        <v>71</v>
      </c>
      <c r="BV114758">
        <v>72</v>
      </c>
      <c r="BW114758">
        <v>73</v>
      </c>
      <c r="BX114758">
        <v>74</v>
      </c>
      <c r="BY114758">
        <v>75</v>
      </c>
      <c r="BZ114758">
        <v>76</v>
      </c>
      <c r="CA114758">
        <v>77</v>
      </c>
      <c r="CB114758">
        <v>78</v>
      </c>
      <c r="CC114758">
        <v>79</v>
      </c>
      <c r="CD114758">
        <v>80</v>
      </c>
      <c r="CE114758">
        <v>81</v>
      </c>
      <c r="CF114758">
        <v>82</v>
      </c>
      <c r="CG114758">
        <v>83</v>
      </c>
      <c r="CH114758">
        <v>84</v>
      </c>
      <c r="CI114758">
        <v>85</v>
      </c>
      <c r="CJ114758">
        <v>86</v>
      </c>
      <c r="CK114758">
        <v>87</v>
      </c>
      <c r="CL114758">
        <v>88</v>
      </c>
      <c r="CM114758">
        <v>89</v>
      </c>
      <c r="CN114758">
        <v>90</v>
      </c>
      <c r="CO114758">
        <v>91</v>
      </c>
      <c r="CP114758">
        <v>92</v>
      </c>
      <c r="CQ114758">
        <v>93</v>
      </c>
      <c r="CR114758">
        <v>94</v>
      </c>
      <c r="CS114758">
        <v>95</v>
      </c>
      <c r="CT114758">
        <v>96</v>
      </c>
      <c r="CU114758">
        <v>97</v>
      </c>
      <c r="CV114758">
        <v>98</v>
      </c>
      <c r="CW114758">
        <v>99</v>
      </c>
      <c r="CX114758">
        <v>100</v>
      </c>
      <c r="CY114758">
        <v>101</v>
      </c>
      <c r="CZ114758">
        <v>102</v>
      </c>
      <c r="DA114758">
        <v>103</v>
      </c>
      <c r="DB114758">
        <v>104</v>
      </c>
      <c r="DC114758">
        <v>105</v>
      </c>
      <c r="DD114758">
        <v>106</v>
      </c>
      <c r="DE114758">
        <v>107</v>
      </c>
      <c r="DF114758">
        <v>108</v>
      </c>
      <c r="DG114758">
        <v>109</v>
      </c>
      <c r="DH114758">
        <v>110</v>
      </c>
      <c r="DI114758">
        <v>111</v>
      </c>
      <c r="DJ114758">
        <v>112</v>
      </c>
      <c r="DK114758">
        <v>113</v>
      </c>
      <c r="DL114758">
        <v>114</v>
      </c>
      <c r="DM114758">
        <v>115</v>
      </c>
      <c r="DN114758">
        <v>116</v>
      </c>
      <c r="DO114758">
        <v>117</v>
      </c>
      <c r="DP114758">
        <v>118</v>
      </c>
      <c r="DQ114758">
        <v>119</v>
      </c>
      <c r="DR114758">
        <v>120</v>
      </c>
      <c r="DS114758">
        <v>121</v>
      </c>
      <c r="DT114758">
        <v>122</v>
      </c>
      <c r="DU114758">
        <v>123</v>
      </c>
      <c r="DV114758">
        <v>124</v>
      </c>
      <c r="DW114758">
        <v>125</v>
      </c>
      <c r="DX114758">
        <v>126</v>
      </c>
      <c r="DY114758">
        <v>127</v>
      </c>
      <c r="DZ114758">
        <v>128</v>
      </c>
      <c r="EA114758">
        <v>129</v>
      </c>
      <c r="EB114758">
        <v>130</v>
      </c>
      <c r="EC114758">
        <v>131</v>
      </c>
      <c r="ED114758">
        <v>132</v>
      </c>
      <c r="EE114758">
        <v>133</v>
      </c>
      <c r="EF114758">
        <v>134</v>
      </c>
      <c r="EG114758">
        <v>135</v>
      </c>
      <c r="EH114758">
        <v>136</v>
      </c>
      <c r="EI114758">
        <v>137</v>
      </c>
      <c r="EJ114758">
        <v>138</v>
      </c>
      <c r="EK114758">
        <v>139</v>
      </c>
      <c r="EL114758">
        <v>140</v>
      </c>
      <c r="EM114758">
        <v>141</v>
      </c>
      <c r="EN114758">
        <v>142</v>
      </c>
      <c r="EO114758">
        <v>143</v>
      </c>
      <c r="EP114758">
        <v>144</v>
      </c>
    </row>
    <row r="114759" spans="2:146">
      <c r="CE114759" t="s">
        <v>451</v>
      </c>
    </row>
    <row r="131074" spans="2:2">
      <c r="B131074">
        <v>200</v>
      </c>
    </row>
    <row r="131075" spans="2:2">
      <c r="B131075">
        <v>200</v>
      </c>
    </row>
    <row r="131076" spans="2:2">
      <c r="B131076">
        <v>800</v>
      </c>
    </row>
    <row r="131077" spans="2:2">
      <c r="B131077">
        <v>200</v>
      </c>
    </row>
    <row r="131078" spans="2:2">
      <c r="B131078">
        <v>1044</v>
      </c>
    </row>
    <row r="131079" spans="2:2">
      <c r="B131079">
        <v>998.40000000000009</v>
      </c>
    </row>
    <row r="131080" spans="2:2">
      <c r="B131080">
        <v>272</v>
      </c>
    </row>
    <row r="131081" spans="2:2">
      <c r="B131081">
        <v>200</v>
      </c>
    </row>
    <row r="131082" spans="2:2">
      <c r="B131082">
        <v>214</v>
      </c>
    </row>
    <row r="131083" spans="2:2">
      <c r="B131083">
        <v>200</v>
      </c>
    </row>
    <row r="131084" spans="2:2">
      <c r="B131084">
        <v>152</v>
      </c>
    </row>
    <row r="131085" spans="2:2">
      <c r="B131085">
        <v>200</v>
      </c>
    </row>
    <row r="131086" spans="2:2">
      <c r="B131086">
        <v>300</v>
      </c>
    </row>
    <row r="131087" spans="2:2">
      <c r="B131087">
        <v>104</v>
      </c>
    </row>
    <row r="131088" spans="2:2">
      <c r="B131088">
        <v>162</v>
      </c>
    </row>
    <row r="131089" spans="2:2">
      <c r="B131089">
        <v>200</v>
      </c>
    </row>
    <row r="131090" spans="2:2">
      <c r="B131090">
        <v>200</v>
      </c>
    </row>
    <row r="131091" spans="2:2">
      <c r="B131091">
        <v>200</v>
      </c>
    </row>
    <row r="131092" spans="2:2">
      <c r="B131092">
        <v>200</v>
      </c>
    </row>
    <row r="131093" spans="2:2">
      <c r="B131093">
        <v>200</v>
      </c>
    </row>
    <row r="131094" spans="2:2">
      <c r="B131094">
        <v>200</v>
      </c>
    </row>
    <row r="131095" spans="2:2">
      <c r="B131095">
        <v>200</v>
      </c>
    </row>
    <row r="131096" spans="2:2">
      <c r="B131096">
        <v>200</v>
      </c>
    </row>
    <row r="131097" spans="2:2">
      <c r="B131097">
        <v>800</v>
      </c>
    </row>
    <row r="131098" spans="2:2">
      <c r="B131098">
        <v>300</v>
      </c>
    </row>
    <row r="131099" spans="2:2">
      <c r="B131099">
        <v>778</v>
      </c>
    </row>
    <row r="131100" spans="2:2">
      <c r="B131100">
        <v>614</v>
      </c>
    </row>
    <row r="131101" spans="2:2">
      <c r="B131101">
        <v>444</v>
      </c>
    </row>
    <row r="131102" spans="2:2">
      <c r="B131102">
        <v>800</v>
      </c>
    </row>
    <row r="131103" spans="2:2">
      <c r="B131103">
        <v>200</v>
      </c>
    </row>
    <row r="131104" spans="2:2">
      <c r="B131104">
        <v>780</v>
      </c>
    </row>
    <row r="131105" spans="2:146">
      <c r="B131105">
        <v>174</v>
      </c>
    </row>
    <row r="131106" spans="2:146">
      <c r="B131106">
        <v>194</v>
      </c>
    </row>
    <row r="131107" spans="2:146">
      <c r="B131107">
        <v>782</v>
      </c>
    </row>
    <row r="131108" spans="2:146">
      <c r="B131108">
        <v>236</v>
      </c>
    </row>
    <row r="131109" spans="2:146">
      <c r="B131109">
        <v>144</v>
      </c>
    </row>
    <row r="131110" spans="2:146">
      <c r="B131110">
        <v>200</v>
      </c>
    </row>
    <row r="131111" spans="2:146">
      <c r="B131111">
        <v>240</v>
      </c>
    </row>
    <row r="131112" spans="2:146">
      <c r="B131112">
        <v>200</v>
      </c>
    </row>
    <row r="131113" spans="2:146">
      <c r="B131113">
        <v>612</v>
      </c>
    </row>
    <row r="131114" spans="2:146">
      <c r="B131114">
        <v>156</v>
      </c>
    </row>
    <row r="131115" spans="2:146">
      <c r="B131115">
        <v>116</v>
      </c>
    </row>
    <row r="131116" spans="2:146">
      <c r="B131116">
        <v>160</v>
      </c>
    </row>
    <row r="131117" spans="2:146">
      <c r="B131117">
        <v>80</v>
      </c>
      <c r="EL131117">
        <v>0.66</v>
      </c>
      <c r="EM131117">
        <v>0.66</v>
      </c>
      <c r="EN131117">
        <v>0.66</v>
      </c>
      <c r="EO131117">
        <v>0.66</v>
      </c>
      <c r="EP131117">
        <v>0.66</v>
      </c>
    </row>
    <row r="131118" spans="2:146">
      <c r="B131118">
        <v>1144</v>
      </c>
      <c r="BV131118">
        <v>5.0999999999999996</v>
      </c>
      <c r="BW131118">
        <v>5.0999999999999996</v>
      </c>
      <c r="DB131118">
        <v>10.210000000000001</v>
      </c>
      <c r="DC131118">
        <v>10.210000000000001</v>
      </c>
      <c r="DD131118">
        <v>10.210000000000001</v>
      </c>
      <c r="DE131118">
        <v>10.210000000000001</v>
      </c>
      <c r="DF131118">
        <v>10.210000000000001</v>
      </c>
      <c r="DG131118">
        <v>10.210000000000001</v>
      </c>
      <c r="DH131118">
        <v>10.210000000000001</v>
      </c>
    </row>
    <row r="131119" spans="2:146">
      <c r="B131119">
        <v>1240</v>
      </c>
      <c r="EE131119">
        <v>8.15</v>
      </c>
      <c r="EF131119">
        <v>8.15</v>
      </c>
      <c r="EG131119">
        <v>8.15</v>
      </c>
      <c r="EH131119">
        <v>8.15</v>
      </c>
      <c r="EI131119">
        <v>8.15</v>
      </c>
      <c r="EJ131119">
        <v>8.15</v>
      </c>
      <c r="EK131119">
        <v>8.15</v>
      </c>
    </row>
    <row r="131120" spans="2:146">
      <c r="B131120">
        <v>2083.2000000000003</v>
      </c>
      <c r="DI131120">
        <v>20.03</v>
      </c>
      <c r="DJ131120">
        <v>20.03</v>
      </c>
      <c r="DQ131120">
        <v>20.03</v>
      </c>
      <c r="DT131120">
        <v>20.03</v>
      </c>
      <c r="DW131120">
        <v>20.03</v>
      </c>
    </row>
    <row r="131121" spans="2:134">
      <c r="B131121">
        <v>357.20000000000005</v>
      </c>
      <c r="DI131121">
        <v>3.88</v>
      </c>
      <c r="DJ131121">
        <v>3.88</v>
      </c>
      <c r="DV131121">
        <v>3.88</v>
      </c>
      <c r="DW131121">
        <v>3.88</v>
      </c>
    </row>
    <row r="131122" spans="2:134">
      <c r="B131122">
        <v>391.20000000000005</v>
      </c>
      <c r="DI131122">
        <v>3.62</v>
      </c>
      <c r="DJ131122">
        <v>3.62</v>
      </c>
      <c r="DR131122">
        <v>3.62</v>
      </c>
      <c r="DU131122">
        <v>3.62</v>
      </c>
      <c r="DV131122">
        <v>3.62</v>
      </c>
    </row>
    <row r="131123" spans="2:134">
      <c r="B131123">
        <v>762.80000000000007</v>
      </c>
      <c r="DI131123">
        <v>6.15</v>
      </c>
      <c r="DJ131123">
        <v>6.15</v>
      </c>
      <c r="DQ131123">
        <v>6.15</v>
      </c>
      <c r="DR131123">
        <v>6.15</v>
      </c>
      <c r="DS131123">
        <v>6.15</v>
      </c>
      <c r="DT131123">
        <v>6.15</v>
      </c>
    </row>
    <row r="131124" spans="2:134">
      <c r="B131124">
        <v>1280</v>
      </c>
      <c r="DI131124">
        <v>10.66</v>
      </c>
      <c r="DJ131124">
        <v>10.66</v>
      </c>
      <c r="DK131124">
        <v>10.66</v>
      </c>
      <c r="DL131124">
        <v>10.66</v>
      </c>
      <c r="DM131124">
        <v>10.66</v>
      </c>
      <c r="DN131124">
        <v>10.66</v>
      </c>
    </row>
    <row r="131125" spans="2:134">
      <c r="B131125">
        <v>234</v>
      </c>
      <c r="CT131125">
        <v>2.5</v>
      </c>
      <c r="CU131125">
        <v>2.5</v>
      </c>
      <c r="CV131125">
        <v>2.5</v>
      </c>
    </row>
    <row r="131126" spans="2:134">
      <c r="B131126">
        <v>354</v>
      </c>
      <c r="CY131126">
        <v>3.98</v>
      </c>
      <c r="CZ131126">
        <v>3.98</v>
      </c>
      <c r="DA131126">
        <v>3.98</v>
      </c>
    </row>
    <row r="131127" spans="2:134">
      <c r="B131127">
        <v>392</v>
      </c>
      <c r="DI131127">
        <v>3.52</v>
      </c>
      <c r="DJ131127">
        <v>3.52</v>
      </c>
      <c r="DL131127">
        <v>3.52</v>
      </c>
      <c r="DO131127">
        <v>3.52</v>
      </c>
    </row>
    <row r="131128" spans="2:134">
      <c r="B131128">
        <v>304</v>
      </c>
      <c r="CE131128">
        <v>3.8</v>
      </c>
      <c r="CF131128">
        <v>3.8</v>
      </c>
    </row>
    <row r="131129" spans="2:134">
      <c r="B131129">
        <v>144</v>
      </c>
      <c r="DZ131129">
        <v>1.62</v>
      </c>
      <c r="EA131129">
        <v>1.62</v>
      </c>
      <c r="EB131129">
        <v>1.62</v>
      </c>
      <c r="EC131129">
        <v>0.81</v>
      </c>
      <c r="ED131129">
        <v>0.81</v>
      </c>
    </row>
    <row r="131130" spans="2:134">
      <c r="B131130">
        <v>602.40000000000009</v>
      </c>
      <c r="BY131130">
        <v>6.02</v>
      </c>
      <c r="BZ131130">
        <v>6.02</v>
      </c>
      <c r="CB131130">
        <v>3.01</v>
      </c>
      <c r="CC131130">
        <v>3.01</v>
      </c>
      <c r="CD131130">
        <v>3.01</v>
      </c>
      <c r="CI131130">
        <v>6.02</v>
      </c>
      <c r="CJ131130">
        <v>6.02</v>
      </c>
      <c r="CK131130">
        <v>6.02</v>
      </c>
    </row>
    <row r="131131" spans="2:134">
      <c r="B131131">
        <v>307.60000000000002</v>
      </c>
      <c r="BY131131">
        <v>3.34</v>
      </c>
      <c r="BZ131131">
        <v>3.34</v>
      </c>
      <c r="CG131131">
        <v>3.34</v>
      </c>
      <c r="CH131131">
        <v>3.34</v>
      </c>
    </row>
    <row r="131132" spans="2:134">
      <c r="B131132">
        <v>358</v>
      </c>
      <c r="BY131132">
        <v>2.37</v>
      </c>
      <c r="BZ131132">
        <v>2.37</v>
      </c>
      <c r="CA131132">
        <v>2.37</v>
      </c>
      <c r="DX131132">
        <v>4.74</v>
      </c>
      <c r="DY131132">
        <v>4.74</v>
      </c>
    </row>
    <row r="131133" spans="2:134">
      <c r="B131133">
        <v>286</v>
      </c>
      <c r="BT131133">
        <v>1.43</v>
      </c>
      <c r="BV131133">
        <v>1.43</v>
      </c>
      <c r="BW131133">
        <v>1.43</v>
      </c>
      <c r="BX131133">
        <v>1.43</v>
      </c>
      <c r="CO131133">
        <v>2.86</v>
      </c>
      <c r="CP131133">
        <v>2.86</v>
      </c>
      <c r="CQ131133">
        <v>2.86</v>
      </c>
      <c r="CR131133">
        <v>2.86</v>
      </c>
      <c r="CS131133">
        <v>2.86</v>
      </c>
    </row>
    <row r="131134" spans="2:134">
      <c r="B131134">
        <v>410</v>
      </c>
      <c r="BY131134">
        <v>2.88</v>
      </c>
      <c r="BZ131134">
        <v>2.88</v>
      </c>
      <c r="CA131134">
        <v>2.88</v>
      </c>
      <c r="CW131134">
        <v>5.76</v>
      </c>
      <c r="CX131134">
        <v>5.76</v>
      </c>
    </row>
    <row r="131135" spans="2:134">
      <c r="B131135">
        <v>346</v>
      </c>
      <c r="BR131135">
        <v>3.6</v>
      </c>
      <c r="BS131135">
        <v>3.6</v>
      </c>
      <c r="BT131135">
        <v>1.8</v>
      </c>
      <c r="CL131135">
        <v>3.6</v>
      </c>
      <c r="CM131135">
        <v>3.6</v>
      </c>
      <c r="CN131135">
        <v>3.6</v>
      </c>
    </row>
    <row r="131136" spans="2:134">
      <c r="B131136">
        <v>302</v>
      </c>
      <c r="BR131136">
        <v>3.28</v>
      </c>
      <c r="BS131136">
        <v>3.28</v>
      </c>
      <c r="BT131136">
        <v>1.64</v>
      </c>
      <c r="BU131136">
        <v>1.64</v>
      </c>
      <c r="CL131136">
        <v>3.28</v>
      </c>
      <c r="CM131136">
        <v>3.28</v>
      </c>
      <c r="CN131136">
        <v>3.28</v>
      </c>
    </row>
    <row r="131137" spans="2:146">
      <c r="B131137">
        <v>204</v>
      </c>
      <c r="BR131137">
        <v>2.12</v>
      </c>
      <c r="BS131137">
        <v>2.12</v>
      </c>
      <c r="BT131137">
        <v>1.06</v>
      </c>
      <c r="CL131137">
        <v>2.12</v>
      </c>
      <c r="CM131137">
        <v>2.12</v>
      </c>
      <c r="CN131137">
        <v>2.12</v>
      </c>
    </row>
    <row r="131139" spans="2:146">
      <c r="B131139">
        <v>26358.800000000003</v>
      </c>
      <c r="BQ131139">
        <v>0</v>
      </c>
      <c r="BR131139">
        <v>9</v>
      </c>
      <c r="BS131139">
        <v>9</v>
      </c>
      <c r="BT131139">
        <v>5.93</v>
      </c>
      <c r="BU131139">
        <v>1.64</v>
      </c>
      <c r="BV131139">
        <v>6.5299999999999994</v>
      </c>
      <c r="BW131139">
        <v>6.5299999999999994</v>
      </c>
      <c r="BX131139">
        <v>1.43</v>
      </c>
      <c r="BY131139">
        <v>14.61</v>
      </c>
      <c r="BZ131139">
        <v>14.61</v>
      </c>
      <c r="CA131139">
        <v>5.25</v>
      </c>
      <c r="CB131139">
        <v>3.01</v>
      </c>
      <c r="CC131139">
        <v>3.01</v>
      </c>
      <c r="CD131139">
        <v>3.01</v>
      </c>
      <c r="CE131139">
        <v>3.8</v>
      </c>
      <c r="CF131139">
        <v>3.8</v>
      </c>
      <c r="CG131139">
        <v>3.34</v>
      </c>
      <c r="CH131139">
        <v>3.34</v>
      </c>
      <c r="CI131139">
        <v>6.02</v>
      </c>
      <c r="CJ131139">
        <v>6.02</v>
      </c>
      <c r="CK131139">
        <v>6.02</v>
      </c>
      <c r="CL131139">
        <v>9</v>
      </c>
      <c r="CM131139">
        <v>9</v>
      </c>
      <c r="CN131139">
        <v>9</v>
      </c>
      <c r="CO131139">
        <v>2.86</v>
      </c>
      <c r="CP131139">
        <v>2.86</v>
      </c>
      <c r="CQ131139">
        <v>2.86</v>
      </c>
      <c r="CR131139">
        <v>2.86</v>
      </c>
      <c r="CS131139">
        <v>2.86</v>
      </c>
      <c r="CT131139">
        <v>2.5</v>
      </c>
      <c r="CU131139">
        <v>2.5</v>
      </c>
      <c r="CV131139">
        <v>2.5</v>
      </c>
      <c r="CW131139">
        <v>5.76</v>
      </c>
      <c r="CX131139">
        <v>5.76</v>
      </c>
      <c r="CY131139">
        <v>3.98</v>
      </c>
      <c r="CZ131139">
        <v>3.98</v>
      </c>
      <c r="DA131139">
        <v>3.98</v>
      </c>
      <c r="DB131139">
        <v>10.210000000000001</v>
      </c>
      <c r="DC131139">
        <v>10.210000000000001</v>
      </c>
      <c r="DD131139">
        <v>10.210000000000001</v>
      </c>
      <c r="DE131139">
        <v>10.210000000000001</v>
      </c>
      <c r="DF131139">
        <v>10.210000000000001</v>
      </c>
      <c r="DG131139">
        <v>10.210000000000001</v>
      </c>
      <c r="DH131139">
        <v>10.210000000000001</v>
      </c>
      <c r="DI131139">
        <v>47.860000000000007</v>
      </c>
      <c r="DJ131139">
        <v>47.860000000000007</v>
      </c>
      <c r="DK131139">
        <v>10.66</v>
      </c>
      <c r="DL131139">
        <v>14.18</v>
      </c>
      <c r="DM131139">
        <v>10.66</v>
      </c>
      <c r="DN131139">
        <v>10.66</v>
      </c>
      <c r="DO131139">
        <v>3.52</v>
      </c>
      <c r="DP131139">
        <v>0</v>
      </c>
      <c r="DQ131139">
        <v>26.18</v>
      </c>
      <c r="DR131139">
        <v>9.77</v>
      </c>
      <c r="DS131139">
        <v>6.15</v>
      </c>
      <c r="DT131139">
        <v>26.18</v>
      </c>
      <c r="DU131139">
        <v>3.62</v>
      </c>
      <c r="DV131139">
        <v>7.5</v>
      </c>
      <c r="DW131139">
        <v>23.91</v>
      </c>
      <c r="DX131139">
        <v>4.74</v>
      </c>
      <c r="DY131139">
        <v>4.74</v>
      </c>
      <c r="DZ131139">
        <v>1.62</v>
      </c>
      <c r="EA131139">
        <v>1.62</v>
      </c>
      <c r="EB131139">
        <v>1.62</v>
      </c>
      <c r="EC131139">
        <v>0.81</v>
      </c>
      <c r="ED131139">
        <v>0.81</v>
      </c>
      <c r="EE131139">
        <v>8.15</v>
      </c>
      <c r="EF131139">
        <v>8.15</v>
      </c>
      <c r="EG131139">
        <v>8.15</v>
      </c>
      <c r="EH131139">
        <v>8.15</v>
      </c>
      <c r="EI131139">
        <v>8.15</v>
      </c>
      <c r="EJ131139">
        <v>8.15</v>
      </c>
      <c r="EK131139">
        <v>8.15</v>
      </c>
      <c r="EL131139">
        <v>0.66</v>
      </c>
      <c r="EM131139">
        <v>0.66</v>
      </c>
      <c r="EN131139">
        <v>0.66</v>
      </c>
      <c r="EO131139">
        <v>0.66</v>
      </c>
      <c r="EP131139">
        <v>0.66</v>
      </c>
    </row>
    <row r="131140" spans="2:146">
      <c r="B131140" t="s">
        <v>265</v>
      </c>
      <c r="BQ131140" t="s">
        <v>345</v>
      </c>
      <c r="BR131140" t="s">
        <v>131</v>
      </c>
      <c r="BS131140" t="s">
        <v>131</v>
      </c>
      <c r="BT131140" t="s">
        <v>357</v>
      </c>
      <c r="BU131140" t="s">
        <v>131</v>
      </c>
      <c r="BV131140" t="s">
        <v>360</v>
      </c>
      <c r="BW131140" t="s">
        <v>360</v>
      </c>
      <c r="BX131140" t="s">
        <v>360</v>
      </c>
      <c r="BY131140" t="s">
        <v>364</v>
      </c>
      <c r="BZ131140" t="s">
        <v>364</v>
      </c>
      <c r="CA131140" t="s">
        <v>364</v>
      </c>
      <c r="CB131140" t="s">
        <v>368</v>
      </c>
      <c r="CC131140" t="s">
        <v>368</v>
      </c>
      <c r="CD131140" t="s">
        <v>368</v>
      </c>
      <c r="CE131140" t="s">
        <v>352</v>
      </c>
      <c r="CF131140" t="s">
        <v>352</v>
      </c>
      <c r="CG131140" t="s">
        <v>372</v>
      </c>
      <c r="CH131140" t="s">
        <v>372</v>
      </c>
      <c r="CI131140" t="s">
        <v>375</v>
      </c>
      <c r="CJ131140" t="s">
        <v>375</v>
      </c>
      <c r="CK131140" t="s">
        <v>375</v>
      </c>
      <c r="CL131140" t="s">
        <v>379</v>
      </c>
      <c r="CM131140" t="s">
        <v>379</v>
      </c>
      <c r="CN131140" t="s">
        <v>379</v>
      </c>
      <c r="CO131140" t="s">
        <v>383</v>
      </c>
      <c r="CP131140" t="s">
        <v>383</v>
      </c>
      <c r="CQ131140" t="s">
        <v>383</v>
      </c>
      <c r="CR131140" t="s">
        <v>383</v>
      </c>
      <c r="CS131140" t="s">
        <v>383</v>
      </c>
      <c r="CT131140" t="s">
        <v>389</v>
      </c>
      <c r="CU131140" t="s">
        <v>389</v>
      </c>
      <c r="CV131140" t="s">
        <v>389</v>
      </c>
      <c r="CW131140" t="s">
        <v>393</v>
      </c>
      <c r="CX131140" t="s">
        <v>393</v>
      </c>
      <c r="CY131140" t="s">
        <v>396</v>
      </c>
      <c r="CZ131140" t="s">
        <v>396</v>
      </c>
      <c r="DA131140" t="s">
        <v>396</v>
      </c>
      <c r="DB131140" t="s">
        <v>400</v>
      </c>
      <c r="DC131140" t="s">
        <v>400</v>
      </c>
      <c r="DD131140" t="s">
        <v>400</v>
      </c>
      <c r="DE131140" t="s">
        <v>400</v>
      </c>
      <c r="DF131140" t="s">
        <v>400</v>
      </c>
      <c r="DG131140" t="s">
        <v>400</v>
      </c>
      <c r="DH131140" t="s">
        <v>400</v>
      </c>
      <c r="DI131140" t="s">
        <v>121</v>
      </c>
      <c r="DJ131140" t="s">
        <v>121</v>
      </c>
      <c r="DK131140" t="s">
        <v>121</v>
      </c>
      <c r="DL131140" t="s">
        <v>121</v>
      </c>
      <c r="DM131140" t="s">
        <v>121</v>
      </c>
      <c r="DN131140" t="s">
        <v>121</v>
      </c>
      <c r="DO131140" t="s">
        <v>121</v>
      </c>
      <c r="DP131140" t="s">
        <v>121</v>
      </c>
      <c r="DQ131140" t="s">
        <v>121</v>
      </c>
      <c r="DR131140" t="s">
        <v>121</v>
      </c>
      <c r="DS131140" t="s">
        <v>121</v>
      </c>
      <c r="DT131140" t="s">
        <v>121</v>
      </c>
      <c r="DU131140" t="s">
        <v>121</v>
      </c>
      <c r="DV131140" t="s">
        <v>121</v>
      </c>
      <c r="DW131140" t="s">
        <v>121</v>
      </c>
      <c r="DX131140" t="s">
        <v>423</v>
      </c>
      <c r="DY131140" t="s">
        <v>423</v>
      </c>
      <c r="DZ131140" t="s">
        <v>426</v>
      </c>
      <c r="EA131140" t="s">
        <v>426</v>
      </c>
      <c r="EB131140" t="s">
        <v>426</v>
      </c>
      <c r="EC131140" t="s">
        <v>426</v>
      </c>
      <c r="ED131140" t="s">
        <v>426</v>
      </c>
      <c r="EE131140" t="s">
        <v>432</v>
      </c>
      <c r="EF131140" t="s">
        <v>432</v>
      </c>
      <c r="EG131140" t="s">
        <v>432</v>
      </c>
      <c r="EH131140" t="s">
        <v>432</v>
      </c>
      <c r="EI131140" t="s">
        <v>432</v>
      </c>
      <c r="EJ131140" t="s">
        <v>432</v>
      </c>
      <c r="EK131140" t="s">
        <v>432</v>
      </c>
      <c r="EL131140" t="s">
        <v>440</v>
      </c>
      <c r="EM131140" t="s">
        <v>440</v>
      </c>
      <c r="EN131140" t="s">
        <v>440</v>
      </c>
      <c r="EO131140" t="s">
        <v>440</v>
      </c>
      <c r="EP131140" t="s">
        <v>440</v>
      </c>
    </row>
    <row r="131141" spans="2:146">
      <c r="BQ131141" t="s">
        <v>351</v>
      </c>
      <c r="BR131141" t="s">
        <v>355</v>
      </c>
      <c r="BS131141" t="s">
        <v>356</v>
      </c>
      <c r="BT131141" t="s">
        <v>358</v>
      </c>
      <c r="BU131141" t="s">
        <v>359</v>
      </c>
      <c r="BV131141" t="s">
        <v>361</v>
      </c>
      <c r="BW131141" t="s">
        <v>362</v>
      </c>
      <c r="BX131141" t="s">
        <v>363</v>
      </c>
      <c r="BY131141" t="s">
        <v>365</v>
      </c>
      <c r="BZ131141" t="s">
        <v>366</v>
      </c>
      <c r="CA131141" t="s">
        <v>367</v>
      </c>
      <c r="CB131141" t="s">
        <v>369</v>
      </c>
      <c r="CC131141" t="s">
        <v>370</v>
      </c>
      <c r="CD131141" t="s">
        <v>371</v>
      </c>
      <c r="CE131141" t="s">
        <v>353</v>
      </c>
      <c r="CF131141" t="s">
        <v>354</v>
      </c>
      <c r="CG131141" t="s">
        <v>373</v>
      </c>
      <c r="CH131141" t="s">
        <v>374</v>
      </c>
      <c r="CI131141" t="s">
        <v>376</v>
      </c>
      <c r="CJ131141" t="s">
        <v>377</v>
      </c>
      <c r="CK131141" t="s">
        <v>378</v>
      </c>
      <c r="CL131141" t="s">
        <v>380</v>
      </c>
      <c r="CM131141" t="s">
        <v>381</v>
      </c>
      <c r="CN131141" t="s">
        <v>382</v>
      </c>
      <c r="CO131141" t="s">
        <v>384</v>
      </c>
      <c r="CP131141" t="s">
        <v>385</v>
      </c>
      <c r="CQ131141" t="s">
        <v>386</v>
      </c>
      <c r="CR131141" t="s">
        <v>387</v>
      </c>
      <c r="CS131141" t="s">
        <v>388</v>
      </c>
      <c r="CT131141" t="s">
        <v>390</v>
      </c>
      <c r="CU131141" t="s">
        <v>391</v>
      </c>
      <c r="CV131141" t="s">
        <v>392</v>
      </c>
      <c r="CW131141" t="s">
        <v>394</v>
      </c>
      <c r="CX131141" t="s">
        <v>395</v>
      </c>
      <c r="CY131141" t="s">
        <v>397</v>
      </c>
      <c r="CZ131141" t="s">
        <v>398</v>
      </c>
      <c r="DA131141" t="s">
        <v>399</v>
      </c>
      <c r="DB131141" t="s">
        <v>401</v>
      </c>
      <c r="DC131141" t="s">
        <v>402</v>
      </c>
      <c r="DD131141" t="s">
        <v>403</v>
      </c>
      <c r="DE131141" t="s">
        <v>404</v>
      </c>
      <c r="DF131141" t="s">
        <v>405</v>
      </c>
      <c r="DG131141" t="s">
        <v>406</v>
      </c>
      <c r="DH131141" t="s">
        <v>407</v>
      </c>
      <c r="DI131141" t="s">
        <v>408</v>
      </c>
      <c r="DJ131141" t="s">
        <v>409</v>
      </c>
      <c r="DK131141" t="s">
        <v>410</v>
      </c>
      <c r="DL131141" t="s">
        <v>411</v>
      </c>
      <c r="DM131141" t="s">
        <v>412</v>
      </c>
      <c r="DN131141" t="s">
        <v>413</v>
      </c>
      <c r="DO131141" t="s">
        <v>414</v>
      </c>
      <c r="DP131141" t="s">
        <v>415</v>
      </c>
      <c r="DQ131141" t="s">
        <v>416</v>
      </c>
      <c r="DR131141" t="s">
        <v>417</v>
      </c>
      <c r="DS131141" t="s">
        <v>418</v>
      </c>
      <c r="DT131141" t="s">
        <v>419</v>
      </c>
      <c r="DU131141" t="s">
        <v>420</v>
      </c>
      <c r="DV131141" t="s">
        <v>421</v>
      </c>
      <c r="DW131141" t="s">
        <v>422</v>
      </c>
      <c r="DX131141" t="s">
        <v>424</v>
      </c>
      <c r="DY131141" t="s">
        <v>425</v>
      </c>
      <c r="DZ131141" t="s">
        <v>427</v>
      </c>
      <c r="EA131141" t="s">
        <v>428</v>
      </c>
      <c r="EB131141" t="s">
        <v>429</v>
      </c>
      <c r="EC131141" t="s">
        <v>430</v>
      </c>
      <c r="ED131141" t="s">
        <v>431</v>
      </c>
      <c r="EE131141" t="s">
        <v>433</v>
      </c>
      <c r="EF131141" t="s">
        <v>434</v>
      </c>
      <c r="EG131141" t="s">
        <v>435</v>
      </c>
      <c r="EH131141" t="s">
        <v>436</v>
      </c>
      <c r="EI131141" t="s">
        <v>437</v>
      </c>
      <c r="EJ131141" t="s">
        <v>438</v>
      </c>
      <c r="EK131141" t="s">
        <v>439</v>
      </c>
      <c r="EL131141" t="s">
        <v>441</v>
      </c>
      <c r="EM131141" t="s">
        <v>442</v>
      </c>
      <c r="EN131141" t="s">
        <v>443</v>
      </c>
      <c r="EO131141" t="s">
        <v>444</v>
      </c>
      <c r="EP131141" t="s">
        <v>445</v>
      </c>
    </row>
    <row r="131142" spans="2:146">
      <c r="BQ131142">
        <v>67</v>
      </c>
      <c r="BR131142">
        <v>68</v>
      </c>
      <c r="BS131142">
        <v>69</v>
      </c>
      <c r="BT131142">
        <v>70</v>
      </c>
      <c r="BU131142">
        <v>71</v>
      </c>
      <c r="BV131142">
        <v>72</v>
      </c>
      <c r="BW131142">
        <v>73</v>
      </c>
      <c r="BX131142">
        <v>74</v>
      </c>
      <c r="BY131142">
        <v>75</v>
      </c>
      <c r="BZ131142">
        <v>76</v>
      </c>
      <c r="CA131142">
        <v>77</v>
      </c>
      <c r="CB131142">
        <v>78</v>
      </c>
      <c r="CC131142">
        <v>79</v>
      </c>
      <c r="CD131142">
        <v>80</v>
      </c>
      <c r="CE131142">
        <v>81</v>
      </c>
      <c r="CF131142">
        <v>82</v>
      </c>
      <c r="CG131142">
        <v>83</v>
      </c>
      <c r="CH131142">
        <v>84</v>
      </c>
      <c r="CI131142">
        <v>85</v>
      </c>
      <c r="CJ131142">
        <v>86</v>
      </c>
      <c r="CK131142">
        <v>87</v>
      </c>
      <c r="CL131142">
        <v>88</v>
      </c>
      <c r="CM131142">
        <v>89</v>
      </c>
      <c r="CN131142">
        <v>90</v>
      </c>
      <c r="CO131142">
        <v>91</v>
      </c>
      <c r="CP131142">
        <v>92</v>
      </c>
      <c r="CQ131142">
        <v>93</v>
      </c>
      <c r="CR131142">
        <v>94</v>
      </c>
      <c r="CS131142">
        <v>95</v>
      </c>
      <c r="CT131142">
        <v>96</v>
      </c>
      <c r="CU131142">
        <v>97</v>
      </c>
      <c r="CV131142">
        <v>98</v>
      </c>
      <c r="CW131142">
        <v>99</v>
      </c>
      <c r="CX131142">
        <v>100</v>
      </c>
      <c r="CY131142">
        <v>101</v>
      </c>
      <c r="CZ131142">
        <v>102</v>
      </c>
      <c r="DA131142">
        <v>103</v>
      </c>
      <c r="DB131142">
        <v>104</v>
      </c>
      <c r="DC131142">
        <v>105</v>
      </c>
      <c r="DD131142">
        <v>106</v>
      </c>
      <c r="DE131142">
        <v>107</v>
      </c>
      <c r="DF131142">
        <v>108</v>
      </c>
      <c r="DG131142">
        <v>109</v>
      </c>
      <c r="DH131142">
        <v>110</v>
      </c>
      <c r="DI131142">
        <v>111</v>
      </c>
      <c r="DJ131142">
        <v>112</v>
      </c>
      <c r="DK131142">
        <v>113</v>
      </c>
      <c r="DL131142">
        <v>114</v>
      </c>
      <c r="DM131142">
        <v>115</v>
      </c>
      <c r="DN131142">
        <v>116</v>
      </c>
      <c r="DO131142">
        <v>117</v>
      </c>
      <c r="DP131142">
        <v>118</v>
      </c>
      <c r="DQ131142">
        <v>119</v>
      </c>
      <c r="DR131142">
        <v>120</v>
      </c>
      <c r="DS131142">
        <v>121</v>
      </c>
      <c r="DT131142">
        <v>122</v>
      </c>
      <c r="DU131142">
        <v>123</v>
      </c>
      <c r="DV131142">
        <v>124</v>
      </c>
      <c r="DW131142">
        <v>125</v>
      </c>
      <c r="DX131142">
        <v>126</v>
      </c>
      <c r="DY131142">
        <v>127</v>
      </c>
      <c r="DZ131142">
        <v>128</v>
      </c>
      <c r="EA131142">
        <v>129</v>
      </c>
      <c r="EB131142">
        <v>130</v>
      </c>
      <c r="EC131142">
        <v>131</v>
      </c>
      <c r="ED131142">
        <v>132</v>
      </c>
      <c r="EE131142">
        <v>133</v>
      </c>
      <c r="EF131142">
        <v>134</v>
      </c>
      <c r="EG131142">
        <v>135</v>
      </c>
      <c r="EH131142">
        <v>136</v>
      </c>
      <c r="EI131142">
        <v>137</v>
      </c>
      <c r="EJ131142">
        <v>138</v>
      </c>
      <c r="EK131142">
        <v>139</v>
      </c>
      <c r="EL131142">
        <v>140</v>
      </c>
      <c r="EM131142">
        <v>141</v>
      </c>
      <c r="EN131142">
        <v>142</v>
      </c>
      <c r="EO131142">
        <v>143</v>
      </c>
      <c r="EP131142">
        <v>144</v>
      </c>
    </row>
    <row r="131143" spans="2:146">
      <c r="CE131143" t="s">
        <v>451</v>
      </c>
    </row>
    <row r="147458" spans="2:2">
      <c r="B147458">
        <v>200</v>
      </c>
    </row>
    <row r="147459" spans="2:2">
      <c r="B147459">
        <v>200</v>
      </c>
    </row>
    <row r="147460" spans="2:2">
      <c r="B147460">
        <v>800</v>
      </c>
    </row>
    <row r="147461" spans="2:2">
      <c r="B147461">
        <v>200</v>
      </c>
    </row>
    <row r="147462" spans="2:2">
      <c r="B147462">
        <v>1044</v>
      </c>
    </row>
    <row r="147463" spans="2:2">
      <c r="B147463">
        <v>998.40000000000009</v>
      </c>
    </row>
    <row r="147464" spans="2:2">
      <c r="B147464">
        <v>272</v>
      </c>
    </row>
    <row r="147465" spans="2:2">
      <c r="B147465">
        <v>200</v>
      </c>
    </row>
    <row r="147466" spans="2:2">
      <c r="B147466">
        <v>214</v>
      </c>
    </row>
    <row r="147467" spans="2:2">
      <c r="B147467">
        <v>200</v>
      </c>
    </row>
    <row r="147468" spans="2:2">
      <c r="B147468">
        <v>152</v>
      </c>
    </row>
    <row r="147469" spans="2:2">
      <c r="B147469">
        <v>200</v>
      </c>
    </row>
    <row r="147470" spans="2:2">
      <c r="B147470">
        <v>300</v>
      </c>
    </row>
    <row r="147471" spans="2:2">
      <c r="B147471">
        <v>104</v>
      </c>
    </row>
    <row r="147472" spans="2:2">
      <c r="B147472">
        <v>162</v>
      </c>
    </row>
    <row r="147473" spans="2:2">
      <c r="B147473">
        <v>200</v>
      </c>
    </row>
    <row r="147474" spans="2:2">
      <c r="B147474">
        <v>200</v>
      </c>
    </row>
    <row r="147475" spans="2:2">
      <c r="B147475">
        <v>200</v>
      </c>
    </row>
    <row r="147476" spans="2:2">
      <c r="B147476">
        <v>200</v>
      </c>
    </row>
    <row r="147477" spans="2:2">
      <c r="B147477">
        <v>200</v>
      </c>
    </row>
    <row r="147478" spans="2:2">
      <c r="B147478">
        <v>200</v>
      </c>
    </row>
    <row r="147479" spans="2:2">
      <c r="B147479">
        <v>200</v>
      </c>
    </row>
    <row r="147480" spans="2:2">
      <c r="B147480">
        <v>200</v>
      </c>
    </row>
    <row r="147481" spans="2:2">
      <c r="B147481">
        <v>800</v>
      </c>
    </row>
    <row r="147482" spans="2:2">
      <c r="B147482">
        <v>300</v>
      </c>
    </row>
    <row r="147483" spans="2:2">
      <c r="B147483">
        <v>778</v>
      </c>
    </row>
    <row r="147484" spans="2:2">
      <c r="B147484">
        <v>614</v>
      </c>
    </row>
    <row r="147485" spans="2:2">
      <c r="B147485">
        <v>444</v>
      </c>
    </row>
    <row r="147486" spans="2:2">
      <c r="B147486">
        <v>800</v>
      </c>
    </row>
    <row r="147487" spans="2:2">
      <c r="B147487">
        <v>200</v>
      </c>
    </row>
    <row r="147488" spans="2:2">
      <c r="B147488">
        <v>780</v>
      </c>
    </row>
    <row r="147489" spans="2:146">
      <c r="B147489">
        <v>174</v>
      </c>
    </row>
    <row r="147490" spans="2:146">
      <c r="B147490">
        <v>194</v>
      </c>
    </row>
    <row r="147491" spans="2:146">
      <c r="B147491">
        <v>782</v>
      </c>
    </row>
    <row r="147492" spans="2:146">
      <c r="B147492">
        <v>236</v>
      </c>
    </row>
    <row r="147493" spans="2:146">
      <c r="B147493">
        <v>144</v>
      </c>
    </row>
    <row r="147494" spans="2:146">
      <c r="B147494">
        <v>200</v>
      </c>
    </row>
    <row r="147495" spans="2:146">
      <c r="B147495">
        <v>240</v>
      </c>
    </row>
    <row r="147496" spans="2:146">
      <c r="B147496">
        <v>200</v>
      </c>
    </row>
    <row r="147497" spans="2:146">
      <c r="B147497">
        <v>612</v>
      </c>
    </row>
    <row r="147498" spans="2:146">
      <c r="B147498">
        <v>156</v>
      </c>
    </row>
    <row r="147499" spans="2:146">
      <c r="B147499">
        <v>116</v>
      </c>
    </row>
    <row r="147500" spans="2:146">
      <c r="B147500">
        <v>160</v>
      </c>
    </row>
    <row r="147501" spans="2:146">
      <c r="B147501">
        <v>80</v>
      </c>
      <c r="EL147501">
        <v>0.66</v>
      </c>
      <c r="EM147501">
        <v>0.66</v>
      </c>
      <c r="EN147501">
        <v>0.66</v>
      </c>
      <c r="EO147501">
        <v>0.66</v>
      </c>
      <c r="EP147501">
        <v>0.66</v>
      </c>
    </row>
    <row r="147502" spans="2:146">
      <c r="B147502">
        <v>1144</v>
      </c>
      <c r="BV147502">
        <v>5.0999999999999996</v>
      </c>
      <c r="BW147502">
        <v>5.0999999999999996</v>
      </c>
      <c r="DB147502">
        <v>10.210000000000001</v>
      </c>
      <c r="DC147502">
        <v>10.210000000000001</v>
      </c>
      <c r="DD147502">
        <v>10.210000000000001</v>
      </c>
      <c r="DE147502">
        <v>10.210000000000001</v>
      </c>
      <c r="DF147502">
        <v>10.210000000000001</v>
      </c>
      <c r="DG147502">
        <v>10.210000000000001</v>
      </c>
      <c r="DH147502">
        <v>10.210000000000001</v>
      </c>
    </row>
    <row r="147503" spans="2:146">
      <c r="B147503">
        <v>1240</v>
      </c>
      <c r="EE147503">
        <v>8.15</v>
      </c>
      <c r="EF147503">
        <v>8.15</v>
      </c>
      <c r="EG147503">
        <v>8.15</v>
      </c>
      <c r="EH147503">
        <v>8.15</v>
      </c>
      <c r="EI147503">
        <v>8.15</v>
      </c>
      <c r="EJ147503">
        <v>8.15</v>
      </c>
      <c r="EK147503">
        <v>8.15</v>
      </c>
    </row>
    <row r="147504" spans="2:146">
      <c r="B147504">
        <v>2083.2000000000003</v>
      </c>
      <c r="DI147504">
        <v>20.03</v>
      </c>
      <c r="DJ147504">
        <v>20.03</v>
      </c>
      <c r="DQ147504">
        <v>20.03</v>
      </c>
      <c r="DT147504">
        <v>20.03</v>
      </c>
      <c r="DW147504">
        <v>20.03</v>
      </c>
    </row>
    <row r="147505" spans="2:134">
      <c r="B147505">
        <v>357.20000000000005</v>
      </c>
      <c r="DI147505">
        <v>3.88</v>
      </c>
      <c r="DJ147505">
        <v>3.88</v>
      </c>
      <c r="DV147505">
        <v>3.88</v>
      </c>
      <c r="DW147505">
        <v>3.88</v>
      </c>
    </row>
    <row r="147506" spans="2:134">
      <c r="B147506">
        <v>391.20000000000005</v>
      </c>
      <c r="DI147506">
        <v>3.62</v>
      </c>
      <c r="DJ147506">
        <v>3.62</v>
      </c>
      <c r="DR147506">
        <v>3.62</v>
      </c>
      <c r="DU147506">
        <v>3.62</v>
      </c>
      <c r="DV147506">
        <v>3.62</v>
      </c>
    </row>
    <row r="147507" spans="2:134">
      <c r="B147507">
        <v>762.80000000000007</v>
      </c>
      <c r="DI147507">
        <v>6.15</v>
      </c>
      <c r="DJ147507">
        <v>6.15</v>
      </c>
      <c r="DQ147507">
        <v>6.15</v>
      </c>
      <c r="DR147507">
        <v>6.15</v>
      </c>
      <c r="DS147507">
        <v>6.15</v>
      </c>
      <c r="DT147507">
        <v>6.15</v>
      </c>
    </row>
    <row r="147508" spans="2:134">
      <c r="B147508">
        <v>1280</v>
      </c>
      <c r="DI147508">
        <v>10.66</v>
      </c>
      <c r="DJ147508">
        <v>10.66</v>
      </c>
      <c r="DK147508">
        <v>10.66</v>
      </c>
      <c r="DL147508">
        <v>10.66</v>
      </c>
      <c r="DM147508">
        <v>10.66</v>
      </c>
      <c r="DN147508">
        <v>10.66</v>
      </c>
    </row>
    <row r="147509" spans="2:134">
      <c r="B147509">
        <v>234</v>
      </c>
      <c r="CT147509">
        <v>2.5</v>
      </c>
      <c r="CU147509">
        <v>2.5</v>
      </c>
      <c r="CV147509">
        <v>2.5</v>
      </c>
    </row>
    <row r="147510" spans="2:134">
      <c r="B147510">
        <v>354</v>
      </c>
      <c r="CY147510">
        <v>3.98</v>
      </c>
      <c r="CZ147510">
        <v>3.98</v>
      </c>
      <c r="DA147510">
        <v>3.98</v>
      </c>
    </row>
    <row r="147511" spans="2:134">
      <c r="B147511">
        <v>392</v>
      </c>
      <c r="DI147511">
        <v>3.52</v>
      </c>
      <c r="DJ147511">
        <v>3.52</v>
      </c>
      <c r="DL147511">
        <v>3.52</v>
      </c>
      <c r="DO147511">
        <v>3.52</v>
      </c>
    </row>
    <row r="147512" spans="2:134">
      <c r="B147512">
        <v>304</v>
      </c>
      <c r="CE147512">
        <v>3.8</v>
      </c>
      <c r="CF147512">
        <v>3.8</v>
      </c>
    </row>
    <row r="147513" spans="2:134">
      <c r="B147513">
        <v>144</v>
      </c>
      <c r="DZ147513">
        <v>1.62</v>
      </c>
      <c r="EA147513">
        <v>1.62</v>
      </c>
      <c r="EB147513">
        <v>1.62</v>
      </c>
      <c r="EC147513">
        <v>0.81</v>
      </c>
      <c r="ED147513">
        <v>0.81</v>
      </c>
    </row>
    <row r="147514" spans="2:134">
      <c r="B147514">
        <v>602.40000000000009</v>
      </c>
      <c r="BY147514">
        <v>6.02</v>
      </c>
      <c r="BZ147514">
        <v>6.02</v>
      </c>
      <c r="CB147514">
        <v>3.01</v>
      </c>
      <c r="CC147514">
        <v>3.01</v>
      </c>
      <c r="CD147514">
        <v>3.01</v>
      </c>
      <c r="CI147514">
        <v>6.02</v>
      </c>
      <c r="CJ147514">
        <v>6.02</v>
      </c>
      <c r="CK147514">
        <v>6.02</v>
      </c>
    </row>
    <row r="147515" spans="2:134">
      <c r="B147515">
        <v>307.60000000000002</v>
      </c>
      <c r="BY147515">
        <v>3.34</v>
      </c>
      <c r="BZ147515">
        <v>3.34</v>
      </c>
      <c r="CG147515">
        <v>3.34</v>
      </c>
      <c r="CH147515">
        <v>3.34</v>
      </c>
    </row>
    <row r="147516" spans="2:134">
      <c r="B147516">
        <v>358</v>
      </c>
      <c r="BY147516">
        <v>2.37</v>
      </c>
      <c r="BZ147516">
        <v>2.37</v>
      </c>
      <c r="CA147516">
        <v>2.37</v>
      </c>
      <c r="DX147516">
        <v>4.74</v>
      </c>
      <c r="DY147516">
        <v>4.74</v>
      </c>
    </row>
    <row r="147517" spans="2:134">
      <c r="B147517">
        <v>286</v>
      </c>
      <c r="BT147517">
        <v>1.43</v>
      </c>
      <c r="BV147517">
        <v>1.43</v>
      </c>
      <c r="BW147517">
        <v>1.43</v>
      </c>
      <c r="BX147517">
        <v>1.43</v>
      </c>
      <c r="CO147517">
        <v>2.86</v>
      </c>
      <c r="CP147517">
        <v>2.86</v>
      </c>
      <c r="CQ147517">
        <v>2.86</v>
      </c>
      <c r="CR147517">
        <v>2.86</v>
      </c>
      <c r="CS147517">
        <v>2.86</v>
      </c>
    </row>
    <row r="147518" spans="2:134">
      <c r="B147518">
        <v>410</v>
      </c>
      <c r="BY147518">
        <v>2.88</v>
      </c>
      <c r="BZ147518">
        <v>2.88</v>
      </c>
      <c r="CA147518">
        <v>2.88</v>
      </c>
      <c r="CW147518">
        <v>5.76</v>
      </c>
      <c r="CX147518">
        <v>5.76</v>
      </c>
    </row>
    <row r="147519" spans="2:134">
      <c r="B147519">
        <v>346</v>
      </c>
      <c r="BR147519">
        <v>3.6</v>
      </c>
      <c r="BS147519">
        <v>3.6</v>
      </c>
      <c r="BT147519">
        <v>1.8</v>
      </c>
      <c r="CL147519">
        <v>3.6</v>
      </c>
      <c r="CM147519">
        <v>3.6</v>
      </c>
      <c r="CN147519">
        <v>3.6</v>
      </c>
    </row>
    <row r="147520" spans="2:134">
      <c r="B147520">
        <v>302</v>
      </c>
      <c r="BR147520">
        <v>3.28</v>
      </c>
      <c r="BS147520">
        <v>3.28</v>
      </c>
      <c r="BT147520">
        <v>1.64</v>
      </c>
      <c r="BU147520">
        <v>1.64</v>
      </c>
      <c r="CL147520">
        <v>3.28</v>
      </c>
      <c r="CM147520">
        <v>3.28</v>
      </c>
      <c r="CN147520">
        <v>3.28</v>
      </c>
    </row>
    <row r="147521" spans="2:146">
      <c r="B147521">
        <v>204</v>
      </c>
      <c r="BR147521">
        <v>2.12</v>
      </c>
      <c r="BS147521">
        <v>2.12</v>
      </c>
      <c r="BT147521">
        <v>1.06</v>
      </c>
      <c r="CL147521">
        <v>2.12</v>
      </c>
      <c r="CM147521">
        <v>2.12</v>
      </c>
      <c r="CN147521">
        <v>2.12</v>
      </c>
    </row>
    <row r="147523" spans="2:146">
      <c r="B147523">
        <v>26358.800000000003</v>
      </c>
      <c r="BQ147523">
        <v>0</v>
      </c>
      <c r="BR147523">
        <v>9</v>
      </c>
      <c r="BS147523">
        <v>9</v>
      </c>
      <c r="BT147523">
        <v>5.93</v>
      </c>
      <c r="BU147523">
        <v>1.64</v>
      </c>
      <c r="BV147523">
        <v>6.5299999999999994</v>
      </c>
      <c r="BW147523">
        <v>6.5299999999999994</v>
      </c>
      <c r="BX147523">
        <v>1.43</v>
      </c>
      <c r="BY147523">
        <v>14.61</v>
      </c>
      <c r="BZ147523">
        <v>14.61</v>
      </c>
      <c r="CA147523">
        <v>5.25</v>
      </c>
      <c r="CB147523">
        <v>3.01</v>
      </c>
      <c r="CC147523">
        <v>3.01</v>
      </c>
      <c r="CD147523">
        <v>3.01</v>
      </c>
      <c r="CE147523">
        <v>3.8</v>
      </c>
      <c r="CF147523">
        <v>3.8</v>
      </c>
      <c r="CG147523">
        <v>3.34</v>
      </c>
      <c r="CH147523">
        <v>3.34</v>
      </c>
      <c r="CI147523">
        <v>6.02</v>
      </c>
      <c r="CJ147523">
        <v>6.02</v>
      </c>
      <c r="CK147523">
        <v>6.02</v>
      </c>
      <c r="CL147523">
        <v>9</v>
      </c>
      <c r="CM147523">
        <v>9</v>
      </c>
      <c r="CN147523">
        <v>9</v>
      </c>
      <c r="CO147523">
        <v>2.86</v>
      </c>
      <c r="CP147523">
        <v>2.86</v>
      </c>
      <c r="CQ147523">
        <v>2.86</v>
      </c>
      <c r="CR147523">
        <v>2.86</v>
      </c>
      <c r="CS147523">
        <v>2.86</v>
      </c>
      <c r="CT147523">
        <v>2.5</v>
      </c>
      <c r="CU147523">
        <v>2.5</v>
      </c>
      <c r="CV147523">
        <v>2.5</v>
      </c>
      <c r="CW147523">
        <v>5.76</v>
      </c>
      <c r="CX147523">
        <v>5.76</v>
      </c>
      <c r="CY147523">
        <v>3.98</v>
      </c>
      <c r="CZ147523">
        <v>3.98</v>
      </c>
      <c r="DA147523">
        <v>3.98</v>
      </c>
      <c r="DB147523">
        <v>10.210000000000001</v>
      </c>
      <c r="DC147523">
        <v>10.210000000000001</v>
      </c>
      <c r="DD147523">
        <v>10.210000000000001</v>
      </c>
      <c r="DE147523">
        <v>10.210000000000001</v>
      </c>
      <c r="DF147523">
        <v>10.210000000000001</v>
      </c>
      <c r="DG147523">
        <v>10.210000000000001</v>
      </c>
      <c r="DH147523">
        <v>10.210000000000001</v>
      </c>
      <c r="DI147523">
        <v>47.860000000000007</v>
      </c>
      <c r="DJ147523">
        <v>47.860000000000007</v>
      </c>
      <c r="DK147523">
        <v>10.66</v>
      </c>
      <c r="DL147523">
        <v>14.18</v>
      </c>
      <c r="DM147523">
        <v>10.66</v>
      </c>
      <c r="DN147523">
        <v>10.66</v>
      </c>
      <c r="DO147523">
        <v>3.52</v>
      </c>
      <c r="DP147523">
        <v>0</v>
      </c>
      <c r="DQ147523">
        <v>26.18</v>
      </c>
      <c r="DR147523">
        <v>9.77</v>
      </c>
      <c r="DS147523">
        <v>6.15</v>
      </c>
      <c r="DT147523">
        <v>26.18</v>
      </c>
      <c r="DU147523">
        <v>3.62</v>
      </c>
      <c r="DV147523">
        <v>7.5</v>
      </c>
      <c r="DW147523">
        <v>23.91</v>
      </c>
      <c r="DX147523">
        <v>4.74</v>
      </c>
      <c r="DY147523">
        <v>4.74</v>
      </c>
      <c r="DZ147523">
        <v>1.62</v>
      </c>
      <c r="EA147523">
        <v>1.62</v>
      </c>
      <c r="EB147523">
        <v>1.62</v>
      </c>
      <c r="EC147523">
        <v>0.81</v>
      </c>
      <c r="ED147523">
        <v>0.81</v>
      </c>
      <c r="EE147523">
        <v>8.15</v>
      </c>
      <c r="EF147523">
        <v>8.15</v>
      </c>
      <c r="EG147523">
        <v>8.15</v>
      </c>
      <c r="EH147523">
        <v>8.15</v>
      </c>
      <c r="EI147523">
        <v>8.15</v>
      </c>
      <c r="EJ147523">
        <v>8.15</v>
      </c>
      <c r="EK147523">
        <v>8.15</v>
      </c>
      <c r="EL147523">
        <v>0.66</v>
      </c>
      <c r="EM147523">
        <v>0.66</v>
      </c>
      <c r="EN147523">
        <v>0.66</v>
      </c>
      <c r="EO147523">
        <v>0.66</v>
      </c>
      <c r="EP147523">
        <v>0.66</v>
      </c>
    </row>
    <row r="147524" spans="2:146">
      <c r="B147524" t="s">
        <v>265</v>
      </c>
      <c r="BQ147524" t="s">
        <v>345</v>
      </c>
      <c r="BR147524" t="s">
        <v>131</v>
      </c>
      <c r="BS147524" t="s">
        <v>131</v>
      </c>
      <c r="BT147524" t="s">
        <v>357</v>
      </c>
      <c r="BU147524" t="s">
        <v>131</v>
      </c>
      <c r="BV147524" t="s">
        <v>360</v>
      </c>
      <c r="BW147524" t="s">
        <v>360</v>
      </c>
      <c r="BX147524" t="s">
        <v>360</v>
      </c>
      <c r="BY147524" t="s">
        <v>364</v>
      </c>
      <c r="BZ147524" t="s">
        <v>364</v>
      </c>
      <c r="CA147524" t="s">
        <v>364</v>
      </c>
      <c r="CB147524" t="s">
        <v>368</v>
      </c>
      <c r="CC147524" t="s">
        <v>368</v>
      </c>
      <c r="CD147524" t="s">
        <v>368</v>
      </c>
      <c r="CE147524" t="s">
        <v>352</v>
      </c>
      <c r="CF147524" t="s">
        <v>352</v>
      </c>
      <c r="CG147524" t="s">
        <v>372</v>
      </c>
      <c r="CH147524" t="s">
        <v>372</v>
      </c>
      <c r="CI147524" t="s">
        <v>375</v>
      </c>
      <c r="CJ147524" t="s">
        <v>375</v>
      </c>
      <c r="CK147524" t="s">
        <v>375</v>
      </c>
      <c r="CL147524" t="s">
        <v>379</v>
      </c>
      <c r="CM147524" t="s">
        <v>379</v>
      </c>
      <c r="CN147524" t="s">
        <v>379</v>
      </c>
      <c r="CO147524" t="s">
        <v>383</v>
      </c>
      <c r="CP147524" t="s">
        <v>383</v>
      </c>
      <c r="CQ147524" t="s">
        <v>383</v>
      </c>
      <c r="CR147524" t="s">
        <v>383</v>
      </c>
      <c r="CS147524" t="s">
        <v>383</v>
      </c>
      <c r="CT147524" t="s">
        <v>389</v>
      </c>
      <c r="CU147524" t="s">
        <v>389</v>
      </c>
      <c r="CV147524" t="s">
        <v>389</v>
      </c>
      <c r="CW147524" t="s">
        <v>393</v>
      </c>
      <c r="CX147524" t="s">
        <v>393</v>
      </c>
      <c r="CY147524" t="s">
        <v>396</v>
      </c>
      <c r="CZ147524" t="s">
        <v>396</v>
      </c>
      <c r="DA147524" t="s">
        <v>396</v>
      </c>
      <c r="DB147524" t="s">
        <v>400</v>
      </c>
      <c r="DC147524" t="s">
        <v>400</v>
      </c>
      <c r="DD147524" t="s">
        <v>400</v>
      </c>
      <c r="DE147524" t="s">
        <v>400</v>
      </c>
      <c r="DF147524" t="s">
        <v>400</v>
      </c>
      <c r="DG147524" t="s">
        <v>400</v>
      </c>
      <c r="DH147524" t="s">
        <v>400</v>
      </c>
      <c r="DI147524" t="s">
        <v>121</v>
      </c>
      <c r="DJ147524" t="s">
        <v>121</v>
      </c>
      <c r="DK147524" t="s">
        <v>121</v>
      </c>
      <c r="DL147524" t="s">
        <v>121</v>
      </c>
      <c r="DM147524" t="s">
        <v>121</v>
      </c>
      <c r="DN147524" t="s">
        <v>121</v>
      </c>
      <c r="DO147524" t="s">
        <v>121</v>
      </c>
      <c r="DP147524" t="s">
        <v>121</v>
      </c>
      <c r="DQ147524" t="s">
        <v>121</v>
      </c>
      <c r="DR147524" t="s">
        <v>121</v>
      </c>
      <c r="DS147524" t="s">
        <v>121</v>
      </c>
      <c r="DT147524" t="s">
        <v>121</v>
      </c>
      <c r="DU147524" t="s">
        <v>121</v>
      </c>
      <c r="DV147524" t="s">
        <v>121</v>
      </c>
      <c r="DW147524" t="s">
        <v>121</v>
      </c>
      <c r="DX147524" t="s">
        <v>423</v>
      </c>
      <c r="DY147524" t="s">
        <v>423</v>
      </c>
      <c r="DZ147524" t="s">
        <v>426</v>
      </c>
      <c r="EA147524" t="s">
        <v>426</v>
      </c>
      <c r="EB147524" t="s">
        <v>426</v>
      </c>
      <c r="EC147524" t="s">
        <v>426</v>
      </c>
      <c r="ED147524" t="s">
        <v>426</v>
      </c>
      <c r="EE147524" t="s">
        <v>432</v>
      </c>
      <c r="EF147524" t="s">
        <v>432</v>
      </c>
      <c r="EG147524" t="s">
        <v>432</v>
      </c>
      <c r="EH147524" t="s">
        <v>432</v>
      </c>
      <c r="EI147524" t="s">
        <v>432</v>
      </c>
      <c r="EJ147524" t="s">
        <v>432</v>
      </c>
      <c r="EK147524" t="s">
        <v>432</v>
      </c>
      <c r="EL147524" t="s">
        <v>440</v>
      </c>
      <c r="EM147524" t="s">
        <v>440</v>
      </c>
      <c r="EN147524" t="s">
        <v>440</v>
      </c>
      <c r="EO147524" t="s">
        <v>440</v>
      </c>
      <c r="EP147524" t="s">
        <v>440</v>
      </c>
    </row>
    <row r="147525" spans="2:146">
      <c r="BQ147525" t="s">
        <v>351</v>
      </c>
      <c r="BR147525" t="s">
        <v>355</v>
      </c>
      <c r="BS147525" t="s">
        <v>356</v>
      </c>
      <c r="BT147525" t="s">
        <v>358</v>
      </c>
      <c r="BU147525" t="s">
        <v>359</v>
      </c>
      <c r="BV147525" t="s">
        <v>361</v>
      </c>
      <c r="BW147525" t="s">
        <v>362</v>
      </c>
      <c r="BX147525" t="s">
        <v>363</v>
      </c>
      <c r="BY147525" t="s">
        <v>365</v>
      </c>
      <c r="BZ147525" t="s">
        <v>366</v>
      </c>
      <c r="CA147525" t="s">
        <v>367</v>
      </c>
      <c r="CB147525" t="s">
        <v>369</v>
      </c>
      <c r="CC147525" t="s">
        <v>370</v>
      </c>
      <c r="CD147525" t="s">
        <v>371</v>
      </c>
      <c r="CE147525" t="s">
        <v>353</v>
      </c>
      <c r="CF147525" t="s">
        <v>354</v>
      </c>
      <c r="CG147525" t="s">
        <v>373</v>
      </c>
      <c r="CH147525" t="s">
        <v>374</v>
      </c>
      <c r="CI147525" t="s">
        <v>376</v>
      </c>
      <c r="CJ147525" t="s">
        <v>377</v>
      </c>
      <c r="CK147525" t="s">
        <v>378</v>
      </c>
      <c r="CL147525" t="s">
        <v>380</v>
      </c>
      <c r="CM147525" t="s">
        <v>381</v>
      </c>
      <c r="CN147525" t="s">
        <v>382</v>
      </c>
      <c r="CO147525" t="s">
        <v>384</v>
      </c>
      <c r="CP147525" t="s">
        <v>385</v>
      </c>
      <c r="CQ147525" t="s">
        <v>386</v>
      </c>
      <c r="CR147525" t="s">
        <v>387</v>
      </c>
      <c r="CS147525" t="s">
        <v>388</v>
      </c>
      <c r="CT147525" t="s">
        <v>390</v>
      </c>
      <c r="CU147525" t="s">
        <v>391</v>
      </c>
      <c r="CV147525" t="s">
        <v>392</v>
      </c>
      <c r="CW147525" t="s">
        <v>394</v>
      </c>
      <c r="CX147525" t="s">
        <v>395</v>
      </c>
      <c r="CY147525" t="s">
        <v>397</v>
      </c>
      <c r="CZ147525" t="s">
        <v>398</v>
      </c>
      <c r="DA147525" t="s">
        <v>399</v>
      </c>
      <c r="DB147525" t="s">
        <v>401</v>
      </c>
      <c r="DC147525" t="s">
        <v>402</v>
      </c>
      <c r="DD147525" t="s">
        <v>403</v>
      </c>
      <c r="DE147525" t="s">
        <v>404</v>
      </c>
      <c r="DF147525" t="s">
        <v>405</v>
      </c>
      <c r="DG147525" t="s">
        <v>406</v>
      </c>
      <c r="DH147525" t="s">
        <v>407</v>
      </c>
      <c r="DI147525" t="s">
        <v>408</v>
      </c>
      <c r="DJ147525" t="s">
        <v>409</v>
      </c>
      <c r="DK147525" t="s">
        <v>410</v>
      </c>
      <c r="DL147525" t="s">
        <v>411</v>
      </c>
      <c r="DM147525" t="s">
        <v>412</v>
      </c>
      <c r="DN147525" t="s">
        <v>413</v>
      </c>
      <c r="DO147525" t="s">
        <v>414</v>
      </c>
      <c r="DP147525" t="s">
        <v>415</v>
      </c>
      <c r="DQ147525" t="s">
        <v>416</v>
      </c>
      <c r="DR147525" t="s">
        <v>417</v>
      </c>
      <c r="DS147525" t="s">
        <v>418</v>
      </c>
      <c r="DT147525" t="s">
        <v>419</v>
      </c>
      <c r="DU147525" t="s">
        <v>420</v>
      </c>
      <c r="DV147525" t="s">
        <v>421</v>
      </c>
      <c r="DW147525" t="s">
        <v>422</v>
      </c>
      <c r="DX147525" t="s">
        <v>424</v>
      </c>
      <c r="DY147525" t="s">
        <v>425</v>
      </c>
      <c r="DZ147525" t="s">
        <v>427</v>
      </c>
      <c r="EA147525" t="s">
        <v>428</v>
      </c>
      <c r="EB147525" t="s">
        <v>429</v>
      </c>
      <c r="EC147525" t="s">
        <v>430</v>
      </c>
      <c r="ED147525" t="s">
        <v>431</v>
      </c>
      <c r="EE147525" t="s">
        <v>433</v>
      </c>
      <c r="EF147525" t="s">
        <v>434</v>
      </c>
      <c r="EG147525" t="s">
        <v>435</v>
      </c>
      <c r="EH147525" t="s">
        <v>436</v>
      </c>
      <c r="EI147525" t="s">
        <v>437</v>
      </c>
      <c r="EJ147525" t="s">
        <v>438</v>
      </c>
      <c r="EK147525" t="s">
        <v>439</v>
      </c>
      <c r="EL147525" t="s">
        <v>441</v>
      </c>
      <c r="EM147525" t="s">
        <v>442</v>
      </c>
      <c r="EN147525" t="s">
        <v>443</v>
      </c>
      <c r="EO147525" t="s">
        <v>444</v>
      </c>
      <c r="EP147525" t="s">
        <v>445</v>
      </c>
    </row>
    <row r="147526" spans="2:146">
      <c r="BQ147526">
        <v>67</v>
      </c>
      <c r="BR147526">
        <v>68</v>
      </c>
      <c r="BS147526">
        <v>69</v>
      </c>
      <c r="BT147526">
        <v>70</v>
      </c>
      <c r="BU147526">
        <v>71</v>
      </c>
      <c r="BV147526">
        <v>72</v>
      </c>
      <c r="BW147526">
        <v>73</v>
      </c>
      <c r="BX147526">
        <v>74</v>
      </c>
      <c r="BY147526">
        <v>75</v>
      </c>
      <c r="BZ147526">
        <v>76</v>
      </c>
      <c r="CA147526">
        <v>77</v>
      </c>
      <c r="CB147526">
        <v>78</v>
      </c>
      <c r="CC147526">
        <v>79</v>
      </c>
      <c r="CD147526">
        <v>80</v>
      </c>
      <c r="CE147526">
        <v>81</v>
      </c>
      <c r="CF147526">
        <v>82</v>
      </c>
      <c r="CG147526">
        <v>83</v>
      </c>
      <c r="CH147526">
        <v>84</v>
      </c>
      <c r="CI147526">
        <v>85</v>
      </c>
      <c r="CJ147526">
        <v>86</v>
      </c>
      <c r="CK147526">
        <v>87</v>
      </c>
      <c r="CL147526">
        <v>88</v>
      </c>
      <c r="CM147526">
        <v>89</v>
      </c>
      <c r="CN147526">
        <v>90</v>
      </c>
      <c r="CO147526">
        <v>91</v>
      </c>
      <c r="CP147526">
        <v>92</v>
      </c>
      <c r="CQ147526">
        <v>93</v>
      </c>
      <c r="CR147526">
        <v>94</v>
      </c>
      <c r="CS147526">
        <v>95</v>
      </c>
      <c r="CT147526">
        <v>96</v>
      </c>
      <c r="CU147526">
        <v>97</v>
      </c>
      <c r="CV147526">
        <v>98</v>
      </c>
      <c r="CW147526">
        <v>99</v>
      </c>
      <c r="CX147526">
        <v>100</v>
      </c>
      <c r="CY147526">
        <v>101</v>
      </c>
      <c r="CZ147526">
        <v>102</v>
      </c>
      <c r="DA147526">
        <v>103</v>
      </c>
      <c r="DB147526">
        <v>104</v>
      </c>
      <c r="DC147526">
        <v>105</v>
      </c>
      <c r="DD147526">
        <v>106</v>
      </c>
      <c r="DE147526">
        <v>107</v>
      </c>
      <c r="DF147526">
        <v>108</v>
      </c>
      <c r="DG147526">
        <v>109</v>
      </c>
      <c r="DH147526">
        <v>110</v>
      </c>
      <c r="DI147526">
        <v>111</v>
      </c>
      <c r="DJ147526">
        <v>112</v>
      </c>
      <c r="DK147526">
        <v>113</v>
      </c>
      <c r="DL147526">
        <v>114</v>
      </c>
      <c r="DM147526">
        <v>115</v>
      </c>
      <c r="DN147526">
        <v>116</v>
      </c>
      <c r="DO147526">
        <v>117</v>
      </c>
      <c r="DP147526">
        <v>118</v>
      </c>
      <c r="DQ147526">
        <v>119</v>
      </c>
      <c r="DR147526">
        <v>120</v>
      </c>
      <c r="DS147526">
        <v>121</v>
      </c>
      <c r="DT147526">
        <v>122</v>
      </c>
      <c r="DU147526">
        <v>123</v>
      </c>
      <c r="DV147526">
        <v>124</v>
      </c>
      <c r="DW147526">
        <v>125</v>
      </c>
      <c r="DX147526">
        <v>126</v>
      </c>
      <c r="DY147526">
        <v>127</v>
      </c>
      <c r="DZ147526">
        <v>128</v>
      </c>
      <c r="EA147526">
        <v>129</v>
      </c>
      <c r="EB147526">
        <v>130</v>
      </c>
      <c r="EC147526">
        <v>131</v>
      </c>
      <c r="ED147526">
        <v>132</v>
      </c>
      <c r="EE147526">
        <v>133</v>
      </c>
      <c r="EF147526">
        <v>134</v>
      </c>
      <c r="EG147526">
        <v>135</v>
      </c>
      <c r="EH147526">
        <v>136</v>
      </c>
      <c r="EI147526">
        <v>137</v>
      </c>
      <c r="EJ147526">
        <v>138</v>
      </c>
      <c r="EK147526">
        <v>139</v>
      </c>
      <c r="EL147526">
        <v>140</v>
      </c>
      <c r="EM147526">
        <v>141</v>
      </c>
      <c r="EN147526">
        <v>142</v>
      </c>
      <c r="EO147526">
        <v>143</v>
      </c>
      <c r="EP147526">
        <v>144</v>
      </c>
    </row>
    <row r="147527" spans="2:146">
      <c r="CE147527" t="s">
        <v>451</v>
      </c>
    </row>
    <row r="163842" spans="2:2">
      <c r="B163842">
        <v>200</v>
      </c>
    </row>
    <row r="163843" spans="2:2">
      <c r="B163843">
        <v>200</v>
      </c>
    </row>
    <row r="163844" spans="2:2">
      <c r="B163844">
        <v>800</v>
      </c>
    </row>
    <row r="163845" spans="2:2">
      <c r="B163845">
        <v>200</v>
      </c>
    </row>
    <row r="163846" spans="2:2">
      <c r="B163846">
        <v>1044</v>
      </c>
    </row>
    <row r="163847" spans="2:2">
      <c r="B163847">
        <v>998.40000000000009</v>
      </c>
    </row>
    <row r="163848" spans="2:2">
      <c r="B163848">
        <v>272</v>
      </c>
    </row>
    <row r="163849" spans="2:2">
      <c r="B163849">
        <v>200</v>
      </c>
    </row>
    <row r="163850" spans="2:2">
      <c r="B163850">
        <v>214</v>
      </c>
    </row>
    <row r="163851" spans="2:2">
      <c r="B163851">
        <v>200</v>
      </c>
    </row>
    <row r="163852" spans="2:2">
      <c r="B163852">
        <v>152</v>
      </c>
    </row>
    <row r="163853" spans="2:2">
      <c r="B163853">
        <v>200</v>
      </c>
    </row>
    <row r="163854" spans="2:2">
      <c r="B163854">
        <v>300</v>
      </c>
    </row>
    <row r="163855" spans="2:2">
      <c r="B163855">
        <v>104</v>
      </c>
    </row>
    <row r="163856" spans="2:2">
      <c r="B163856">
        <v>162</v>
      </c>
    </row>
    <row r="163857" spans="2:2">
      <c r="B163857">
        <v>200</v>
      </c>
    </row>
    <row r="163858" spans="2:2">
      <c r="B163858">
        <v>200</v>
      </c>
    </row>
    <row r="163859" spans="2:2">
      <c r="B163859">
        <v>200</v>
      </c>
    </row>
    <row r="163860" spans="2:2">
      <c r="B163860">
        <v>200</v>
      </c>
    </row>
    <row r="163861" spans="2:2">
      <c r="B163861">
        <v>200</v>
      </c>
    </row>
    <row r="163862" spans="2:2">
      <c r="B163862">
        <v>200</v>
      </c>
    </row>
    <row r="163863" spans="2:2">
      <c r="B163863">
        <v>200</v>
      </c>
    </row>
    <row r="163864" spans="2:2">
      <c r="B163864">
        <v>200</v>
      </c>
    </row>
    <row r="163865" spans="2:2">
      <c r="B163865">
        <v>800</v>
      </c>
    </row>
    <row r="163866" spans="2:2">
      <c r="B163866">
        <v>300</v>
      </c>
    </row>
    <row r="163867" spans="2:2">
      <c r="B163867">
        <v>778</v>
      </c>
    </row>
    <row r="163868" spans="2:2">
      <c r="B163868">
        <v>614</v>
      </c>
    </row>
    <row r="163869" spans="2:2">
      <c r="B163869">
        <v>444</v>
      </c>
    </row>
    <row r="163870" spans="2:2">
      <c r="B163870">
        <v>800</v>
      </c>
    </row>
    <row r="163871" spans="2:2">
      <c r="B163871">
        <v>200</v>
      </c>
    </row>
    <row r="163872" spans="2:2">
      <c r="B163872">
        <v>780</v>
      </c>
    </row>
    <row r="163873" spans="2:146">
      <c r="B163873">
        <v>174</v>
      </c>
    </row>
    <row r="163874" spans="2:146">
      <c r="B163874">
        <v>194</v>
      </c>
    </row>
    <row r="163875" spans="2:146">
      <c r="B163875">
        <v>782</v>
      </c>
    </row>
    <row r="163876" spans="2:146">
      <c r="B163876">
        <v>236</v>
      </c>
    </row>
    <row r="163877" spans="2:146">
      <c r="B163877">
        <v>144</v>
      </c>
    </row>
    <row r="163878" spans="2:146">
      <c r="B163878">
        <v>200</v>
      </c>
    </row>
    <row r="163879" spans="2:146">
      <c r="B163879">
        <v>240</v>
      </c>
    </row>
    <row r="163880" spans="2:146">
      <c r="B163880">
        <v>200</v>
      </c>
    </row>
    <row r="163881" spans="2:146">
      <c r="B163881">
        <v>612</v>
      </c>
    </row>
    <row r="163882" spans="2:146">
      <c r="B163882">
        <v>156</v>
      </c>
    </row>
    <row r="163883" spans="2:146">
      <c r="B163883">
        <v>116</v>
      </c>
    </row>
    <row r="163884" spans="2:146">
      <c r="B163884">
        <v>160</v>
      </c>
    </row>
    <row r="163885" spans="2:146">
      <c r="B163885">
        <v>80</v>
      </c>
      <c r="EL163885">
        <v>0.66</v>
      </c>
      <c r="EM163885">
        <v>0.66</v>
      </c>
      <c r="EN163885">
        <v>0.66</v>
      </c>
      <c r="EO163885">
        <v>0.66</v>
      </c>
      <c r="EP163885">
        <v>0.66</v>
      </c>
    </row>
    <row r="163886" spans="2:146">
      <c r="B163886">
        <v>1144</v>
      </c>
      <c r="BV163886">
        <v>5.0999999999999996</v>
      </c>
      <c r="BW163886">
        <v>5.0999999999999996</v>
      </c>
      <c r="DB163886">
        <v>10.210000000000001</v>
      </c>
      <c r="DC163886">
        <v>10.210000000000001</v>
      </c>
      <c r="DD163886">
        <v>10.210000000000001</v>
      </c>
      <c r="DE163886">
        <v>10.210000000000001</v>
      </c>
      <c r="DF163886">
        <v>10.210000000000001</v>
      </c>
      <c r="DG163886">
        <v>10.210000000000001</v>
      </c>
      <c r="DH163886">
        <v>10.210000000000001</v>
      </c>
    </row>
    <row r="163887" spans="2:146">
      <c r="B163887">
        <v>1240</v>
      </c>
      <c r="EE163887">
        <v>8.15</v>
      </c>
      <c r="EF163887">
        <v>8.15</v>
      </c>
      <c r="EG163887">
        <v>8.15</v>
      </c>
      <c r="EH163887">
        <v>8.15</v>
      </c>
      <c r="EI163887">
        <v>8.15</v>
      </c>
      <c r="EJ163887">
        <v>8.15</v>
      </c>
      <c r="EK163887">
        <v>8.15</v>
      </c>
    </row>
    <row r="163888" spans="2:146">
      <c r="B163888">
        <v>2083.2000000000003</v>
      </c>
      <c r="DI163888">
        <v>20.03</v>
      </c>
      <c r="DJ163888">
        <v>20.03</v>
      </c>
      <c r="DQ163888">
        <v>20.03</v>
      </c>
      <c r="DT163888">
        <v>20.03</v>
      </c>
      <c r="DW163888">
        <v>20.03</v>
      </c>
    </row>
    <row r="163889" spans="2:134">
      <c r="B163889">
        <v>357.20000000000005</v>
      </c>
      <c r="DI163889">
        <v>3.88</v>
      </c>
      <c r="DJ163889">
        <v>3.88</v>
      </c>
      <c r="DV163889">
        <v>3.88</v>
      </c>
      <c r="DW163889">
        <v>3.88</v>
      </c>
    </row>
    <row r="163890" spans="2:134">
      <c r="B163890">
        <v>391.20000000000005</v>
      </c>
      <c r="DI163890">
        <v>3.62</v>
      </c>
      <c r="DJ163890">
        <v>3.62</v>
      </c>
      <c r="DR163890">
        <v>3.62</v>
      </c>
      <c r="DU163890">
        <v>3.62</v>
      </c>
      <c r="DV163890">
        <v>3.62</v>
      </c>
    </row>
    <row r="163891" spans="2:134">
      <c r="B163891">
        <v>762.80000000000007</v>
      </c>
      <c r="DI163891">
        <v>6.15</v>
      </c>
      <c r="DJ163891">
        <v>6.15</v>
      </c>
      <c r="DQ163891">
        <v>6.15</v>
      </c>
      <c r="DR163891">
        <v>6.15</v>
      </c>
      <c r="DS163891">
        <v>6.15</v>
      </c>
      <c r="DT163891">
        <v>6.15</v>
      </c>
    </row>
    <row r="163892" spans="2:134">
      <c r="B163892">
        <v>1280</v>
      </c>
      <c r="DI163892">
        <v>10.66</v>
      </c>
      <c r="DJ163892">
        <v>10.66</v>
      </c>
      <c r="DK163892">
        <v>10.66</v>
      </c>
      <c r="DL163892">
        <v>10.66</v>
      </c>
      <c r="DM163892">
        <v>10.66</v>
      </c>
      <c r="DN163892">
        <v>10.66</v>
      </c>
    </row>
    <row r="163893" spans="2:134">
      <c r="B163893">
        <v>234</v>
      </c>
      <c r="CT163893">
        <v>2.5</v>
      </c>
      <c r="CU163893">
        <v>2.5</v>
      </c>
      <c r="CV163893">
        <v>2.5</v>
      </c>
    </row>
    <row r="163894" spans="2:134">
      <c r="B163894">
        <v>354</v>
      </c>
      <c r="CY163894">
        <v>3.98</v>
      </c>
      <c r="CZ163894">
        <v>3.98</v>
      </c>
      <c r="DA163894">
        <v>3.98</v>
      </c>
    </row>
    <row r="163895" spans="2:134">
      <c r="B163895">
        <v>392</v>
      </c>
      <c r="DI163895">
        <v>3.52</v>
      </c>
      <c r="DJ163895">
        <v>3.52</v>
      </c>
      <c r="DL163895">
        <v>3.52</v>
      </c>
      <c r="DO163895">
        <v>3.52</v>
      </c>
    </row>
    <row r="163896" spans="2:134">
      <c r="B163896">
        <v>304</v>
      </c>
      <c r="CE163896">
        <v>3.8</v>
      </c>
      <c r="CF163896">
        <v>3.8</v>
      </c>
    </row>
    <row r="163897" spans="2:134">
      <c r="B163897">
        <v>144</v>
      </c>
      <c r="DZ163897">
        <v>1.62</v>
      </c>
      <c r="EA163897">
        <v>1.62</v>
      </c>
      <c r="EB163897">
        <v>1.62</v>
      </c>
      <c r="EC163897">
        <v>0.81</v>
      </c>
      <c r="ED163897">
        <v>0.81</v>
      </c>
    </row>
    <row r="163898" spans="2:134">
      <c r="B163898">
        <v>602.40000000000009</v>
      </c>
      <c r="BY163898">
        <v>6.02</v>
      </c>
      <c r="BZ163898">
        <v>6.02</v>
      </c>
      <c r="CB163898">
        <v>3.01</v>
      </c>
      <c r="CC163898">
        <v>3.01</v>
      </c>
      <c r="CD163898">
        <v>3.01</v>
      </c>
      <c r="CI163898">
        <v>6.02</v>
      </c>
      <c r="CJ163898">
        <v>6.02</v>
      </c>
      <c r="CK163898">
        <v>6.02</v>
      </c>
    </row>
    <row r="163899" spans="2:134">
      <c r="B163899">
        <v>307.60000000000002</v>
      </c>
      <c r="BY163899">
        <v>3.34</v>
      </c>
      <c r="BZ163899">
        <v>3.34</v>
      </c>
      <c r="CG163899">
        <v>3.34</v>
      </c>
      <c r="CH163899">
        <v>3.34</v>
      </c>
    </row>
    <row r="163900" spans="2:134">
      <c r="B163900">
        <v>358</v>
      </c>
      <c r="BY163900">
        <v>2.37</v>
      </c>
      <c r="BZ163900">
        <v>2.37</v>
      </c>
      <c r="CA163900">
        <v>2.37</v>
      </c>
      <c r="DX163900">
        <v>4.74</v>
      </c>
      <c r="DY163900">
        <v>4.74</v>
      </c>
    </row>
    <row r="163901" spans="2:134">
      <c r="B163901">
        <v>286</v>
      </c>
      <c r="BT163901">
        <v>1.43</v>
      </c>
      <c r="BV163901">
        <v>1.43</v>
      </c>
      <c r="BW163901">
        <v>1.43</v>
      </c>
      <c r="BX163901">
        <v>1.43</v>
      </c>
      <c r="CO163901">
        <v>2.86</v>
      </c>
      <c r="CP163901">
        <v>2.86</v>
      </c>
      <c r="CQ163901">
        <v>2.86</v>
      </c>
      <c r="CR163901">
        <v>2.86</v>
      </c>
      <c r="CS163901">
        <v>2.86</v>
      </c>
    </row>
    <row r="163902" spans="2:134">
      <c r="B163902">
        <v>410</v>
      </c>
      <c r="BY163902">
        <v>2.88</v>
      </c>
      <c r="BZ163902">
        <v>2.88</v>
      </c>
      <c r="CA163902">
        <v>2.88</v>
      </c>
      <c r="CW163902">
        <v>5.76</v>
      </c>
      <c r="CX163902">
        <v>5.76</v>
      </c>
    </row>
    <row r="163903" spans="2:134">
      <c r="B163903">
        <v>346</v>
      </c>
      <c r="BR163903">
        <v>3.6</v>
      </c>
      <c r="BS163903">
        <v>3.6</v>
      </c>
      <c r="BT163903">
        <v>1.8</v>
      </c>
      <c r="CL163903">
        <v>3.6</v>
      </c>
      <c r="CM163903">
        <v>3.6</v>
      </c>
      <c r="CN163903">
        <v>3.6</v>
      </c>
    </row>
    <row r="163904" spans="2:134">
      <c r="B163904">
        <v>302</v>
      </c>
      <c r="BR163904">
        <v>3.28</v>
      </c>
      <c r="BS163904">
        <v>3.28</v>
      </c>
      <c r="BT163904">
        <v>1.64</v>
      </c>
      <c r="BU163904">
        <v>1.64</v>
      </c>
      <c r="CL163904">
        <v>3.28</v>
      </c>
      <c r="CM163904">
        <v>3.28</v>
      </c>
      <c r="CN163904">
        <v>3.28</v>
      </c>
    </row>
    <row r="163905" spans="2:146">
      <c r="B163905">
        <v>204</v>
      </c>
      <c r="BR163905">
        <v>2.12</v>
      </c>
      <c r="BS163905">
        <v>2.12</v>
      </c>
      <c r="BT163905">
        <v>1.06</v>
      </c>
      <c r="CL163905">
        <v>2.12</v>
      </c>
      <c r="CM163905">
        <v>2.12</v>
      </c>
      <c r="CN163905">
        <v>2.12</v>
      </c>
    </row>
    <row r="163907" spans="2:146">
      <c r="B163907">
        <v>26358.800000000003</v>
      </c>
      <c r="BQ163907">
        <v>0</v>
      </c>
      <c r="BR163907">
        <v>9</v>
      </c>
      <c r="BS163907">
        <v>9</v>
      </c>
      <c r="BT163907">
        <v>5.93</v>
      </c>
      <c r="BU163907">
        <v>1.64</v>
      </c>
      <c r="BV163907">
        <v>6.5299999999999994</v>
      </c>
      <c r="BW163907">
        <v>6.5299999999999994</v>
      </c>
      <c r="BX163907">
        <v>1.43</v>
      </c>
      <c r="BY163907">
        <v>14.61</v>
      </c>
      <c r="BZ163907">
        <v>14.61</v>
      </c>
      <c r="CA163907">
        <v>5.25</v>
      </c>
      <c r="CB163907">
        <v>3.01</v>
      </c>
      <c r="CC163907">
        <v>3.01</v>
      </c>
      <c r="CD163907">
        <v>3.01</v>
      </c>
      <c r="CE163907">
        <v>3.8</v>
      </c>
      <c r="CF163907">
        <v>3.8</v>
      </c>
      <c r="CG163907">
        <v>3.34</v>
      </c>
      <c r="CH163907">
        <v>3.34</v>
      </c>
      <c r="CI163907">
        <v>6.02</v>
      </c>
      <c r="CJ163907">
        <v>6.02</v>
      </c>
      <c r="CK163907">
        <v>6.02</v>
      </c>
      <c r="CL163907">
        <v>9</v>
      </c>
      <c r="CM163907">
        <v>9</v>
      </c>
      <c r="CN163907">
        <v>9</v>
      </c>
      <c r="CO163907">
        <v>2.86</v>
      </c>
      <c r="CP163907">
        <v>2.86</v>
      </c>
      <c r="CQ163907">
        <v>2.86</v>
      </c>
      <c r="CR163907">
        <v>2.86</v>
      </c>
      <c r="CS163907">
        <v>2.86</v>
      </c>
      <c r="CT163907">
        <v>2.5</v>
      </c>
      <c r="CU163907">
        <v>2.5</v>
      </c>
      <c r="CV163907">
        <v>2.5</v>
      </c>
      <c r="CW163907">
        <v>5.76</v>
      </c>
      <c r="CX163907">
        <v>5.76</v>
      </c>
      <c r="CY163907">
        <v>3.98</v>
      </c>
      <c r="CZ163907">
        <v>3.98</v>
      </c>
      <c r="DA163907">
        <v>3.98</v>
      </c>
      <c r="DB163907">
        <v>10.210000000000001</v>
      </c>
      <c r="DC163907">
        <v>10.210000000000001</v>
      </c>
      <c r="DD163907">
        <v>10.210000000000001</v>
      </c>
      <c r="DE163907">
        <v>10.210000000000001</v>
      </c>
      <c r="DF163907">
        <v>10.210000000000001</v>
      </c>
      <c r="DG163907">
        <v>10.210000000000001</v>
      </c>
      <c r="DH163907">
        <v>10.210000000000001</v>
      </c>
      <c r="DI163907">
        <v>47.860000000000007</v>
      </c>
      <c r="DJ163907">
        <v>47.860000000000007</v>
      </c>
      <c r="DK163907">
        <v>10.66</v>
      </c>
      <c r="DL163907">
        <v>14.18</v>
      </c>
      <c r="DM163907">
        <v>10.66</v>
      </c>
      <c r="DN163907">
        <v>10.66</v>
      </c>
      <c r="DO163907">
        <v>3.52</v>
      </c>
      <c r="DP163907">
        <v>0</v>
      </c>
      <c r="DQ163907">
        <v>26.18</v>
      </c>
      <c r="DR163907">
        <v>9.77</v>
      </c>
      <c r="DS163907">
        <v>6.15</v>
      </c>
      <c r="DT163907">
        <v>26.18</v>
      </c>
      <c r="DU163907">
        <v>3.62</v>
      </c>
      <c r="DV163907">
        <v>7.5</v>
      </c>
      <c r="DW163907">
        <v>23.91</v>
      </c>
      <c r="DX163907">
        <v>4.74</v>
      </c>
      <c r="DY163907">
        <v>4.74</v>
      </c>
      <c r="DZ163907">
        <v>1.62</v>
      </c>
      <c r="EA163907">
        <v>1.62</v>
      </c>
      <c r="EB163907">
        <v>1.62</v>
      </c>
      <c r="EC163907">
        <v>0.81</v>
      </c>
      <c r="ED163907">
        <v>0.81</v>
      </c>
      <c r="EE163907">
        <v>8.15</v>
      </c>
      <c r="EF163907">
        <v>8.15</v>
      </c>
      <c r="EG163907">
        <v>8.15</v>
      </c>
      <c r="EH163907">
        <v>8.15</v>
      </c>
      <c r="EI163907">
        <v>8.15</v>
      </c>
      <c r="EJ163907">
        <v>8.15</v>
      </c>
      <c r="EK163907">
        <v>8.15</v>
      </c>
      <c r="EL163907">
        <v>0.66</v>
      </c>
      <c r="EM163907">
        <v>0.66</v>
      </c>
      <c r="EN163907">
        <v>0.66</v>
      </c>
      <c r="EO163907">
        <v>0.66</v>
      </c>
      <c r="EP163907">
        <v>0.66</v>
      </c>
    </row>
    <row r="163908" spans="2:146">
      <c r="B163908" t="s">
        <v>265</v>
      </c>
      <c r="BQ163908" t="s">
        <v>345</v>
      </c>
      <c r="BR163908" t="s">
        <v>131</v>
      </c>
      <c r="BS163908" t="s">
        <v>131</v>
      </c>
      <c r="BT163908" t="s">
        <v>357</v>
      </c>
      <c r="BU163908" t="s">
        <v>131</v>
      </c>
      <c r="BV163908" t="s">
        <v>360</v>
      </c>
      <c r="BW163908" t="s">
        <v>360</v>
      </c>
      <c r="BX163908" t="s">
        <v>360</v>
      </c>
      <c r="BY163908" t="s">
        <v>364</v>
      </c>
      <c r="BZ163908" t="s">
        <v>364</v>
      </c>
      <c r="CA163908" t="s">
        <v>364</v>
      </c>
      <c r="CB163908" t="s">
        <v>368</v>
      </c>
      <c r="CC163908" t="s">
        <v>368</v>
      </c>
      <c r="CD163908" t="s">
        <v>368</v>
      </c>
      <c r="CE163908" t="s">
        <v>352</v>
      </c>
      <c r="CF163908" t="s">
        <v>352</v>
      </c>
      <c r="CG163908" t="s">
        <v>372</v>
      </c>
      <c r="CH163908" t="s">
        <v>372</v>
      </c>
      <c r="CI163908" t="s">
        <v>375</v>
      </c>
      <c r="CJ163908" t="s">
        <v>375</v>
      </c>
      <c r="CK163908" t="s">
        <v>375</v>
      </c>
      <c r="CL163908" t="s">
        <v>379</v>
      </c>
      <c r="CM163908" t="s">
        <v>379</v>
      </c>
      <c r="CN163908" t="s">
        <v>379</v>
      </c>
      <c r="CO163908" t="s">
        <v>383</v>
      </c>
      <c r="CP163908" t="s">
        <v>383</v>
      </c>
      <c r="CQ163908" t="s">
        <v>383</v>
      </c>
      <c r="CR163908" t="s">
        <v>383</v>
      </c>
      <c r="CS163908" t="s">
        <v>383</v>
      </c>
      <c r="CT163908" t="s">
        <v>389</v>
      </c>
      <c r="CU163908" t="s">
        <v>389</v>
      </c>
      <c r="CV163908" t="s">
        <v>389</v>
      </c>
      <c r="CW163908" t="s">
        <v>393</v>
      </c>
      <c r="CX163908" t="s">
        <v>393</v>
      </c>
      <c r="CY163908" t="s">
        <v>396</v>
      </c>
      <c r="CZ163908" t="s">
        <v>396</v>
      </c>
      <c r="DA163908" t="s">
        <v>396</v>
      </c>
      <c r="DB163908" t="s">
        <v>400</v>
      </c>
      <c r="DC163908" t="s">
        <v>400</v>
      </c>
      <c r="DD163908" t="s">
        <v>400</v>
      </c>
      <c r="DE163908" t="s">
        <v>400</v>
      </c>
      <c r="DF163908" t="s">
        <v>400</v>
      </c>
      <c r="DG163908" t="s">
        <v>400</v>
      </c>
      <c r="DH163908" t="s">
        <v>400</v>
      </c>
      <c r="DI163908" t="s">
        <v>121</v>
      </c>
      <c r="DJ163908" t="s">
        <v>121</v>
      </c>
      <c r="DK163908" t="s">
        <v>121</v>
      </c>
      <c r="DL163908" t="s">
        <v>121</v>
      </c>
      <c r="DM163908" t="s">
        <v>121</v>
      </c>
      <c r="DN163908" t="s">
        <v>121</v>
      </c>
      <c r="DO163908" t="s">
        <v>121</v>
      </c>
      <c r="DP163908" t="s">
        <v>121</v>
      </c>
      <c r="DQ163908" t="s">
        <v>121</v>
      </c>
      <c r="DR163908" t="s">
        <v>121</v>
      </c>
      <c r="DS163908" t="s">
        <v>121</v>
      </c>
      <c r="DT163908" t="s">
        <v>121</v>
      </c>
      <c r="DU163908" t="s">
        <v>121</v>
      </c>
      <c r="DV163908" t="s">
        <v>121</v>
      </c>
      <c r="DW163908" t="s">
        <v>121</v>
      </c>
      <c r="DX163908" t="s">
        <v>423</v>
      </c>
      <c r="DY163908" t="s">
        <v>423</v>
      </c>
      <c r="DZ163908" t="s">
        <v>426</v>
      </c>
      <c r="EA163908" t="s">
        <v>426</v>
      </c>
      <c r="EB163908" t="s">
        <v>426</v>
      </c>
      <c r="EC163908" t="s">
        <v>426</v>
      </c>
      <c r="ED163908" t="s">
        <v>426</v>
      </c>
      <c r="EE163908" t="s">
        <v>432</v>
      </c>
      <c r="EF163908" t="s">
        <v>432</v>
      </c>
      <c r="EG163908" t="s">
        <v>432</v>
      </c>
      <c r="EH163908" t="s">
        <v>432</v>
      </c>
      <c r="EI163908" t="s">
        <v>432</v>
      </c>
      <c r="EJ163908" t="s">
        <v>432</v>
      </c>
      <c r="EK163908" t="s">
        <v>432</v>
      </c>
      <c r="EL163908" t="s">
        <v>440</v>
      </c>
      <c r="EM163908" t="s">
        <v>440</v>
      </c>
      <c r="EN163908" t="s">
        <v>440</v>
      </c>
      <c r="EO163908" t="s">
        <v>440</v>
      </c>
      <c r="EP163908" t="s">
        <v>440</v>
      </c>
    </row>
    <row r="163909" spans="2:146">
      <c r="BQ163909" t="s">
        <v>351</v>
      </c>
      <c r="BR163909" t="s">
        <v>355</v>
      </c>
      <c r="BS163909" t="s">
        <v>356</v>
      </c>
      <c r="BT163909" t="s">
        <v>358</v>
      </c>
      <c r="BU163909" t="s">
        <v>359</v>
      </c>
      <c r="BV163909" t="s">
        <v>361</v>
      </c>
      <c r="BW163909" t="s">
        <v>362</v>
      </c>
      <c r="BX163909" t="s">
        <v>363</v>
      </c>
      <c r="BY163909" t="s">
        <v>365</v>
      </c>
      <c r="BZ163909" t="s">
        <v>366</v>
      </c>
      <c r="CA163909" t="s">
        <v>367</v>
      </c>
      <c r="CB163909" t="s">
        <v>369</v>
      </c>
      <c r="CC163909" t="s">
        <v>370</v>
      </c>
      <c r="CD163909" t="s">
        <v>371</v>
      </c>
      <c r="CE163909" t="s">
        <v>353</v>
      </c>
      <c r="CF163909" t="s">
        <v>354</v>
      </c>
      <c r="CG163909" t="s">
        <v>373</v>
      </c>
      <c r="CH163909" t="s">
        <v>374</v>
      </c>
      <c r="CI163909" t="s">
        <v>376</v>
      </c>
      <c r="CJ163909" t="s">
        <v>377</v>
      </c>
      <c r="CK163909" t="s">
        <v>378</v>
      </c>
      <c r="CL163909" t="s">
        <v>380</v>
      </c>
      <c r="CM163909" t="s">
        <v>381</v>
      </c>
      <c r="CN163909" t="s">
        <v>382</v>
      </c>
      <c r="CO163909" t="s">
        <v>384</v>
      </c>
      <c r="CP163909" t="s">
        <v>385</v>
      </c>
      <c r="CQ163909" t="s">
        <v>386</v>
      </c>
      <c r="CR163909" t="s">
        <v>387</v>
      </c>
      <c r="CS163909" t="s">
        <v>388</v>
      </c>
      <c r="CT163909" t="s">
        <v>390</v>
      </c>
      <c r="CU163909" t="s">
        <v>391</v>
      </c>
      <c r="CV163909" t="s">
        <v>392</v>
      </c>
      <c r="CW163909" t="s">
        <v>394</v>
      </c>
      <c r="CX163909" t="s">
        <v>395</v>
      </c>
      <c r="CY163909" t="s">
        <v>397</v>
      </c>
      <c r="CZ163909" t="s">
        <v>398</v>
      </c>
      <c r="DA163909" t="s">
        <v>399</v>
      </c>
      <c r="DB163909" t="s">
        <v>401</v>
      </c>
      <c r="DC163909" t="s">
        <v>402</v>
      </c>
      <c r="DD163909" t="s">
        <v>403</v>
      </c>
      <c r="DE163909" t="s">
        <v>404</v>
      </c>
      <c r="DF163909" t="s">
        <v>405</v>
      </c>
      <c r="DG163909" t="s">
        <v>406</v>
      </c>
      <c r="DH163909" t="s">
        <v>407</v>
      </c>
      <c r="DI163909" t="s">
        <v>408</v>
      </c>
      <c r="DJ163909" t="s">
        <v>409</v>
      </c>
      <c r="DK163909" t="s">
        <v>410</v>
      </c>
      <c r="DL163909" t="s">
        <v>411</v>
      </c>
      <c r="DM163909" t="s">
        <v>412</v>
      </c>
      <c r="DN163909" t="s">
        <v>413</v>
      </c>
      <c r="DO163909" t="s">
        <v>414</v>
      </c>
      <c r="DP163909" t="s">
        <v>415</v>
      </c>
      <c r="DQ163909" t="s">
        <v>416</v>
      </c>
      <c r="DR163909" t="s">
        <v>417</v>
      </c>
      <c r="DS163909" t="s">
        <v>418</v>
      </c>
      <c r="DT163909" t="s">
        <v>419</v>
      </c>
      <c r="DU163909" t="s">
        <v>420</v>
      </c>
      <c r="DV163909" t="s">
        <v>421</v>
      </c>
      <c r="DW163909" t="s">
        <v>422</v>
      </c>
      <c r="DX163909" t="s">
        <v>424</v>
      </c>
      <c r="DY163909" t="s">
        <v>425</v>
      </c>
      <c r="DZ163909" t="s">
        <v>427</v>
      </c>
      <c r="EA163909" t="s">
        <v>428</v>
      </c>
      <c r="EB163909" t="s">
        <v>429</v>
      </c>
      <c r="EC163909" t="s">
        <v>430</v>
      </c>
      <c r="ED163909" t="s">
        <v>431</v>
      </c>
      <c r="EE163909" t="s">
        <v>433</v>
      </c>
      <c r="EF163909" t="s">
        <v>434</v>
      </c>
      <c r="EG163909" t="s">
        <v>435</v>
      </c>
      <c r="EH163909" t="s">
        <v>436</v>
      </c>
      <c r="EI163909" t="s">
        <v>437</v>
      </c>
      <c r="EJ163909" t="s">
        <v>438</v>
      </c>
      <c r="EK163909" t="s">
        <v>439</v>
      </c>
      <c r="EL163909" t="s">
        <v>441</v>
      </c>
      <c r="EM163909" t="s">
        <v>442</v>
      </c>
      <c r="EN163909" t="s">
        <v>443</v>
      </c>
      <c r="EO163909" t="s">
        <v>444</v>
      </c>
      <c r="EP163909" t="s">
        <v>445</v>
      </c>
    </row>
    <row r="163910" spans="2:146">
      <c r="BQ163910">
        <v>67</v>
      </c>
      <c r="BR163910">
        <v>68</v>
      </c>
      <c r="BS163910">
        <v>69</v>
      </c>
      <c r="BT163910">
        <v>70</v>
      </c>
      <c r="BU163910">
        <v>71</v>
      </c>
      <c r="BV163910">
        <v>72</v>
      </c>
      <c r="BW163910">
        <v>73</v>
      </c>
      <c r="BX163910">
        <v>74</v>
      </c>
      <c r="BY163910">
        <v>75</v>
      </c>
      <c r="BZ163910">
        <v>76</v>
      </c>
      <c r="CA163910">
        <v>77</v>
      </c>
      <c r="CB163910">
        <v>78</v>
      </c>
      <c r="CC163910">
        <v>79</v>
      </c>
      <c r="CD163910">
        <v>80</v>
      </c>
      <c r="CE163910">
        <v>81</v>
      </c>
      <c r="CF163910">
        <v>82</v>
      </c>
      <c r="CG163910">
        <v>83</v>
      </c>
      <c r="CH163910">
        <v>84</v>
      </c>
      <c r="CI163910">
        <v>85</v>
      </c>
      <c r="CJ163910">
        <v>86</v>
      </c>
      <c r="CK163910">
        <v>87</v>
      </c>
      <c r="CL163910">
        <v>88</v>
      </c>
      <c r="CM163910">
        <v>89</v>
      </c>
      <c r="CN163910">
        <v>90</v>
      </c>
      <c r="CO163910">
        <v>91</v>
      </c>
      <c r="CP163910">
        <v>92</v>
      </c>
      <c r="CQ163910">
        <v>93</v>
      </c>
      <c r="CR163910">
        <v>94</v>
      </c>
      <c r="CS163910">
        <v>95</v>
      </c>
      <c r="CT163910">
        <v>96</v>
      </c>
      <c r="CU163910">
        <v>97</v>
      </c>
      <c r="CV163910">
        <v>98</v>
      </c>
      <c r="CW163910">
        <v>99</v>
      </c>
      <c r="CX163910">
        <v>100</v>
      </c>
      <c r="CY163910">
        <v>101</v>
      </c>
      <c r="CZ163910">
        <v>102</v>
      </c>
      <c r="DA163910">
        <v>103</v>
      </c>
      <c r="DB163910">
        <v>104</v>
      </c>
      <c r="DC163910">
        <v>105</v>
      </c>
      <c r="DD163910">
        <v>106</v>
      </c>
      <c r="DE163910">
        <v>107</v>
      </c>
      <c r="DF163910">
        <v>108</v>
      </c>
      <c r="DG163910">
        <v>109</v>
      </c>
      <c r="DH163910">
        <v>110</v>
      </c>
      <c r="DI163910">
        <v>111</v>
      </c>
      <c r="DJ163910">
        <v>112</v>
      </c>
      <c r="DK163910">
        <v>113</v>
      </c>
      <c r="DL163910">
        <v>114</v>
      </c>
      <c r="DM163910">
        <v>115</v>
      </c>
      <c r="DN163910">
        <v>116</v>
      </c>
      <c r="DO163910">
        <v>117</v>
      </c>
      <c r="DP163910">
        <v>118</v>
      </c>
      <c r="DQ163910">
        <v>119</v>
      </c>
      <c r="DR163910">
        <v>120</v>
      </c>
      <c r="DS163910">
        <v>121</v>
      </c>
      <c r="DT163910">
        <v>122</v>
      </c>
      <c r="DU163910">
        <v>123</v>
      </c>
      <c r="DV163910">
        <v>124</v>
      </c>
      <c r="DW163910">
        <v>125</v>
      </c>
      <c r="DX163910">
        <v>126</v>
      </c>
      <c r="DY163910">
        <v>127</v>
      </c>
      <c r="DZ163910">
        <v>128</v>
      </c>
      <c r="EA163910">
        <v>129</v>
      </c>
      <c r="EB163910">
        <v>130</v>
      </c>
      <c r="EC163910">
        <v>131</v>
      </c>
      <c r="ED163910">
        <v>132</v>
      </c>
      <c r="EE163910">
        <v>133</v>
      </c>
      <c r="EF163910">
        <v>134</v>
      </c>
      <c r="EG163910">
        <v>135</v>
      </c>
      <c r="EH163910">
        <v>136</v>
      </c>
      <c r="EI163910">
        <v>137</v>
      </c>
      <c r="EJ163910">
        <v>138</v>
      </c>
      <c r="EK163910">
        <v>139</v>
      </c>
      <c r="EL163910">
        <v>140</v>
      </c>
      <c r="EM163910">
        <v>141</v>
      </c>
      <c r="EN163910">
        <v>142</v>
      </c>
      <c r="EO163910">
        <v>143</v>
      </c>
      <c r="EP163910">
        <v>144</v>
      </c>
    </row>
    <row r="163911" spans="2:146">
      <c r="CE163911" t="s">
        <v>451</v>
      </c>
    </row>
    <row r="180226" spans="2:2">
      <c r="B180226">
        <v>200</v>
      </c>
    </row>
    <row r="180227" spans="2:2">
      <c r="B180227">
        <v>200</v>
      </c>
    </row>
    <row r="180228" spans="2:2">
      <c r="B180228">
        <v>800</v>
      </c>
    </row>
    <row r="180229" spans="2:2">
      <c r="B180229">
        <v>200</v>
      </c>
    </row>
    <row r="180230" spans="2:2">
      <c r="B180230">
        <v>1044</v>
      </c>
    </row>
    <row r="180231" spans="2:2">
      <c r="B180231">
        <v>998.40000000000009</v>
      </c>
    </row>
    <row r="180232" spans="2:2">
      <c r="B180232">
        <v>272</v>
      </c>
    </row>
    <row r="180233" spans="2:2">
      <c r="B180233">
        <v>200</v>
      </c>
    </row>
    <row r="180234" spans="2:2">
      <c r="B180234">
        <v>214</v>
      </c>
    </row>
    <row r="180235" spans="2:2">
      <c r="B180235">
        <v>200</v>
      </c>
    </row>
    <row r="180236" spans="2:2">
      <c r="B180236">
        <v>152</v>
      </c>
    </row>
    <row r="180237" spans="2:2">
      <c r="B180237">
        <v>200</v>
      </c>
    </row>
    <row r="180238" spans="2:2">
      <c r="B180238">
        <v>300</v>
      </c>
    </row>
    <row r="180239" spans="2:2">
      <c r="B180239">
        <v>104</v>
      </c>
    </row>
    <row r="180240" spans="2:2">
      <c r="B180240">
        <v>162</v>
      </c>
    </row>
    <row r="180241" spans="2:2">
      <c r="B180241">
        <v>200</v>
      </c>
    </row>
    <row r="180242" spans="2:2">
      <c r="B180242">
        <v>200</v>
      </c>
    </row>
    <row r="180243" spans="2:2">
      <c r="B180243">
        <v>200</v>
      </c>
    </row>
    <row r="180244" spans="2:2">
      <c r="B180244">
        <v>200</v>
      </c>
    </row>
    <row r="180245" spans="2:2">
      <c r="B180245">
        <v>200</v>
      </c>
    </row>
    <row r="180246" spans="2:2">
      <c r="B180246">
        <v>200</v>
      </c>
    </row>
    <row r="180247" spans="2:2">
      <c r="B180247">
        <v>200</v>
      </c>
    </row>
    <row r="180248" spans="2:2">
      <c r="B180248">
        <v>200</v>
      </c>
    </row>
    <row r="180249" spans="2:2">
      <c r="B180249">
        <v>800</v>
      </c>
    </row>
    <row r="180250" spans="2:2">
      <c r="B180250">
        <v>300</v>
      </c>
    </row>
    <row r="180251" spans="2:2">
      <c r="B180251">
        <v>778</v>
      </c>
    </row>
    <row r="180252" spans="2:2">
      <c r="B180252">
        <v>614</v>
      </c>
    </row>
    <row r="180253" spans="2:2">
      <c r="B180253">
        <v>444</v>
      </c>
    </row>
    <row r="180254" spans="2:2">
      <c r="B180254">
        <v>800</v>
      </c>
    </row>
    <row r="180255" spans="2:2">
      <c r="B180255">
        <v>200</v>
      </c>
    </row>
    <row r="180256" spans="2:2">
      <c r="B180256">
        <v>780</v>
      </c>
    </row>
    <row r="180257" spans="2:146">
      <c r="B180257">
        <v>174</v>
      </c>
    </row>
    <row r="180258" spans="2:146">
      <c r="B180258">
        <v>194</v>
      </c>
    </row>
    <row r="180259" spans="2:146">
      <c r="B180259">
        <v>782</v>
      </c>
    </row>
    <row r="180260" spans="2:146">
      <c r="B180260">
        <v>236</v>
      </c>
    </row>
    <row r="180261" spans="2:146">
      <c r="B180261">
        <v>144</v>
      </c>
    </row>
    <row r="180262" spans="2:146">
      <c r="B180262">
        <v>200</v>
      </c>
    </row>
    <row r="180263" spans="2:146">
      <c r="B180263">
        <v>240</v>
      </c>
    </row>
    <row r="180264" spans="2:146">
      <c r="B180264">
        <v>200</v>
      </c>
    </row>
    <row r="180265" spans="2:146">
      <c r="B180265">
        <v>612</v>
      </c>
    </row>
    <row r="180266" spans="2:146">
      <c r="B180266">
        <v>156</v>
      </c>
    </row>
    <row r="180267" spans="2:146">
      <c r="B180267">
        <v>116</v>
      </c>
    </row>
    <row r="180268" spans="2:146">
      <c r="B180268">
        <v>160</v>
      </c>
    </row>
    <row r="180269" spans="2:146">
      <c r="B180269">
        <v>80</v>
      </c>
      <c r="EL180269">
        <v>0.66</v>
      </c>
      <c r="EM180269">
        <v>0.66</v>
      </c>
      <c r="EN180269">
        <v>0.66</v>
      </c>
      <c r="EO180269">
        <v>0.66</v>
      </c>
      <c r="EP180269">
        <v>0.66</v>
      </c>
    </row>
    <row r="180270" spans="2:146">
      <c r="B180270">
        <v>1144</v>
      </c>
      <c r="BV180270">
        <v>5.0999999999999996</v>
      </c>
      <c r="BW180270">
        <v>5.0999999999999996</v>
      </c>
      <c r="DB180270">
        <v>10.210000000000001</v>
      </c>
      <c r="DC180270">
        <v>10.210000000000001</v>
      </c>
      <c r="DD180270">
        <v>10.210000000000001</v>
      </c>
      <c r="DE180270">
        <v>10.210000000000001</v>
      </c>
      <c r="DF180270">
        <v>10.210000000000001</v>
      </c>
      <c r="DG180270">
        <v>10.210000000000001</v>
      </c>
      <c r="DH180270">
        <v>10.210000000000001</v>
      </c>
    </row>
    <row r="180271" spans="2:146">
      <c r="B180271">
        <v>1240</v>
      </c>
      <c r="EE180271">
        <v>8.15</v>
      </c>
      <c r="EF180271">
        <v>8.15</v>
      </c>
      <c r="EG180271">
        <v>8.15</v>
      </c>
      <c r="EH180271">
        <v>8.15</v>
      </c>
      <c r="EI180271">
        <v>8.15</v>
      </c>
      <c r="EJ180271">
        <v>8.15</v>
      </c>
      <c r="EK180271">
        <v>8.15</v>
      </c>
    </row>
    <row r="180272" spans="2:146">
      <c r="B180272">
        <v>2083.2000000000003</v>
      </c>
      <c r="DI180272">
        <v>20.03</v>
      </c>
      <c r="DJ180272">
        <v>20.03</v>
      </c>
      <c r="DQ180272">
        <v>20.03</v>
      </c>
      <c r="DT180272">
        <v>20.03</v>
      </c>
      <c r="DW180272">
        <v>20.03</v>
      </c>
    </row>
    <row r="180273" spans="2:134">
      <c r="B180273">
        <v>357.20000000000005</v>
      </c>
      <c r="DI180273">
        <v>3.88</v>
      </c>
      <c r="DJ180273">
        <v>3.88</v>
      </c>
      <c r="DV180273">
        <v>3.88</v>
      </c>
      <c r="DW180273">
        <v>3.88</v>
      </c>
    </row>
    <row r="180274" spans="2:134">
      <c r="B180274">
        <v>391.20000000000005</v>
      </c>
      <c r="DI180274">
        <v>3.62</v>
      </c>
      <c r="DJ180274">
        <v>3.62</v>
      </c>
      <c r="DR180274">
        <v>3.62</v>
      </c>
      <c r="DU180274">
        <v>3.62</v>
      </c>
      <c r="DV180274">
        <v>3.62</v>
      </c>
    </row>
    <row r="180275" spans="2:134">
      <c r="B180275">
        <v>762.80000000000007</v>
      </c>
      <c r="DI180275">
        <v>6.15</v>
      </c>
      <c r="DJ180275">
        <v>6.15</v>
      </c>
      <c r="DQ180275">
        <v>6.15</v>
      </c>
      <c r="DR180275">
        <v>6.15</v>
      </c>
      <c r="DS180275">
        <v>6.15</v>
      </c>
      <c r="DT180275">
        <v>6.15</v>
      </c>
    </row>
    <row r="180276" spans="2:134">
      <c r="B180276">
        <v>1280</v>
      </c>
      <c r="DI180276">
        <v>10.66</v>
      </c>
      <c r="DJ180276">
        <v>10.66</v>
      </c>
      <c r="DK180276">
        <v>10.66</v>
      </c>
      <c r="DL180276">
        <v>10.66</v>
      </c>
      <c r="DM180276">
        <v>10.66</v>
      </c>
      <c r="DN180276">
        <v>10.66</v>
      </c>
    </row>
    <row r="180277" spans="2:134">
      <c r="B180277">
        <v>234</v>
      </c>
      <c r="CT180277">
        <v>2.5</v>
      </c>
      <c r="CU180277">
        <v>2.5</v>
      </c>
      <c r="CV180277">
        <v>2.5</v>
      </c>
    </row>
    <row r="180278" spans="2:134">
      <c r="B180278">
        <v>354</v>
      </c>
      <c r="CY180278">
        <v>3.98</v>
      </c>
      <c r="CZ180278">
        <v>3.98</v>
      </c>
      <c r="DA180278">
        <v>3.98</v>
      </c>
    </row>
    <row r="180279" spans="2:134">
      <c r="B180279">
        <v>392</v>
      </c>
      <c r="DI180279">
        <v>3.52</v>
      </c>
      <c r="DJ180279">
        <v>3.52</v>
      </c>
      <c r="DL180279">
        <v>3.52</v>
      </c>
      <c r="DO180279">
        <v>3.52</v>
      </c>
    </row>
    <row r="180280" spans="2:134">
      <c r="B180280">
        <v>304</v>
      </c>
      <c r="CE180280">
        <v>3.8</v>
      </c>
      <c r="CF180280">
        <v>3.8</v>
      </c>
    </row>
    <row r="180281" spans="2:134">
      <c r="B180281">
        <v>144</v>
      </c>
      <c r="DZ180281">
        <v>1.62</v>
      </c>
      <c r="EA180281">
        <v>1.62</v>
      </c>
      <c r="EB180281">
        <v>1.62</v>
      </c>
      <c r="EC180281">
        <v>0.81</v>
      </c>
      <c r="ED180281">
        <v>0.81</v>
      </c>
    </row>
    <row r="180282" spans="2:134">
      <c r="B180282">
        <v>602.40000000000009</v>
      </c>
      <c r="BY180282">
        <v>6.02</v>
      </c>
      <c r="BZ180282">
        <v>6.02</v>
      </c>
      <c r="CB180282">
        <v>3.01</v>
      </c>
      <c r="CC180282">
        <v>3.01</v>
      </c>
      <c r="CD180282">
        <v>3.01</v>
      </c>
      <c r="CI180282">
        <v>6.02</v>
      </c>
      <c r="CJ180282">
        <v>6.02</v>
      </c>
      <c r="CK180282">
        <v>6.02</v>
      </c>
    </row>
    <row r="180283" spans="2:134">
      <c r="B180283">
        <v>307.60000000000002</v>
      </c>
      <c r="BY180283">
        <v>3.34</v>
      </c>
      <c r="BZ180283">
        <v>3.34</v>
      </c>
      <c r="CG180283">
        <v>3.34</v>
      </c>
      <c r="CH180283">
        <v>3.34</v>
      </c>
    </row>
    <row r="180284" spans="2:134">
      <c r="B180284">
        <v>358</v>
      </c>
      <c r="BY180284">
        <v>2.37</v>
      </c>
      <c r="BZ180284">
        <v>2.37</v>
      </c>
      <c r="CA180284">
        <v>2.37</v>
      </c>
      <c r="DX180284">
        <v>4.74</v>
      </c>
      <c r="DY180284">
        <v>4.74</v>
      </c>
    </row>
    <row r="180285" spans="2:134">
      <c r="B180285">
        <v>286</v>
      </c>
      <c r="BT180285">
        <v>1.43</v>
      </c>
      <c r="BV180285">
        <v>1.43</v>
      </c>
      <c r="BW180285">
        <v>1.43</v>
      </c>
      <c r="BX180285">
        <v>1.43</v>
      </c>
      <c r="CO180285">
        <v>2.86</v>
      </c>
      <c r="CP180285">
        <v>2.86</v>
      </c>
      <c r="CQ180285">
        <v>2.86</v>
      </c>
      <c r="CR180285">
        <v>2.86</v>
      </c>
      <c r="CS180285">
        <v>2.86</v>
      </c>
    </row>
    <row r="180286" spans="2:134">
      <c r="B180286">
        <v>410</v>
      </c>
      <c r="BY180286">
        <v>2.88</v>
      </c>
      <c r="BZ180286">
        <v>2.88</v>
      </c>
      <c r="CA180286">
        <v>2.88</v>
      </c>
      <c r="CW180286">
        <v>5.76</v>
      </c>
      <c r="CX180286">
        <v>5.76</v>
      </c>
    </row>
    <row r="180287" spans="2:134">
      <c r="B180287">
        <v>346</v>
      </c>
      <c r="BR180287">
        <v>3.6</v>
      </c>
      <c r="BS180287">
        <v>3.6</v>
      </c>
      <c r="BT180287">
        <v>1.8</v>
      </c>
      <c r="CL180287">
        <v>3.6</v>
      </c>
      <c r="CM180287">
        <v>3.6</v>
      </c>
      <c r="CN180287">
        <v>3.6</v>
      </c>
    </row>
    <row r="180288" spans="2:134">
      <c r="B180288">
        <v>302</v>
      </c>
      <c r="BR180288">
        <v>3.28</v>
      </c>
      <c r="BS180288">
        <v>3.28</v>
      </c>
      <c r="BT180288">
        <v>1.64</v>
      </c>
      <c r="BU180288">
        <v>1.64</v>
      </c>
      <c r="CL180288">
        <v>3.28</v>
      </c>
      <c r="CM180288">
        <v>3.28</v>
      </c>
      <c r="CN180288">
        <v>3.28</v>
      </c>
    </row>
    <row r="180289" spans="2:146">
      <c r="B180289">
        <v>204</v>
      </c>
      <c r="BR180289">
        <v>2.12</v>
      </c>
      <c r="BS180289">
        <v>2.12</v>
      </c>
      <c r="BT180289">
        <v>1.06</v>
      </c>
      <c r="CL180289">
        <v>2.12</v>
      </c>
      <c r="CM180289">
        <v>2.12</v>
      </c>
      <c r="CN180289">
        <v>2.12</v>
      </c>
    </row>
    <row r="180291" spans="2:146">
      <c r="B180291">
        <v>26358.800000000003</v>
      </c>
      <c r="BQ180291">
        <v>0</v>
      </c>
      <c r="BR180291">
        <v>9</v>
      </c>
      <c r="BS180291">
        <v>9</v>
      </c>
      <c r="BT180291">
        <v>5.93</v>
      </c>
      <c r="BU180291">
        <v>1.64</v>
      </c>
      <c r="BV180291">
        <v>6.5299999999999994</v>
      </c>
      <c r="BW180291">
        <v>6.5299999999999994</v>
      </c>
      <c r="BX180291">
        <v>1.43</v>
      </c>
      <c r="BY180291">
        <v>14.61</v>
      </c>
      <c r="BZ180291">
        <v>14.61</v>
      </c>
      <c r="CA180291">
        <v>5.25</v>
      </c>
      <c r="CB180291">
        <v>3.01</v>
      </c>
      <c r="CC180291">
        <v>3.01</v>
      </c>
      <c r="CD180291">
        <v>3.01</v>
      </c>
      <c r="CE180291">
        <v>3.8</v>
      </c>
      <c r="CF180291">
        <v>3.8</v>
      </c>
      <c r="CG180291">
        <v>3.34</v>
      </c>
      <c r="CH180291">
        <v>3.34</v>
      </c>
      <c r="CI180291">
        <v>6.02</v>
      </c>
      <c r="CJ180291">
        <v>6.02</v>
      </c>
      <c r="CK180291">
        <v>6.02</v>
      </c>
      <c r="CL180291">
        <v>9</v>
      </c>
      <c r="CM180291">
        <v>9</v>
      </c>
      <c r="CN180291">
        <v>9</v>
      </c>
      <c r="CO180291">
        <v>2.86</v>
      </c>
      <c r="CP180291">
        <v>2.86</v>
      </c>
      <c r="CQ180291">
        <v>2.86</v>
      </c>
      <c r="CR180291">
        <v>2.86</v>
      </c>
      <c r="CS180291">
        <v>2.86</v>
      </c>
      <c r="CT180291">
        <v>2.5</v>
      </c>
      <c r="CU180291">
        <v>2.5</v>
      </c>
      <c r="CV180291">
        <v>2.5</v>
      </c>
      <c r="CW180291">
        <v>5.76</v>
      </c>
      <c r="CX180291">
        <v>5.76</v>
      </c>
      <c r="CY180291">
        <v>3.98</v>
      </c>
      <c r="CZ180291">
        <v>3.98</v>
      </c>
      <c r="DA180291">
        <v>3.98</v>
      </c>
      <c r="DB180291">
        <v>10.210000000000001</v>
      </c>
      <c r="DC180291">
        <v>10.210000000000001</v>
      </c>
      <c r="DD180291">
        <v>10.210000000000001</v>
      </c>
      <c r="DE180291">
        <v>10.210000000000001</v>
      </c>
      <c r="DF180291">
        <v>10.210000000000001</v>
      </c>
      <c r="DG180291">
        <v>10.210000000000001</v>
      </c>
      <c r="DH180291">
        <v>10.210000000000001</v>
      </c>
      <c r="DI180291">
        <v>47.860000000000007</v>
      </c>
      <c r="DJ180291">
        <v>47.860000000000007</v>
      </c>
      <c r="DK180291">
        <v>10.66</v>
      </c>
      <c r="DL180291">
        <v>14.18</v>
      </c>
      <c r="DM180291">
        <v>10.66</v>
      </c>
      <c r="DN180291">
        <v>10.66</v>
      </c>
      <c r="DO180291">
        <v>3.52</v>
      </c>
      <c r="DP180291">
        <v>0</v>
      </c>
      <c r="DQ180291">
        <v>26.18</v>
      </c>
      <c r="DR180291">
        <v>9.77</v>
      </c>
      <c r="DS180291">
        <v>6.15</v>
      </c>
      <c r="DT180291">
        <v>26.18</v>
      </c>
      <c r="DU180291">
        <v>3.62</v>
      </c>
      <c r="DV180291">
        <v>7.5</v>
      </c>
      <c r="DW180291">
        <v>23.91</v>
      </c>
      <c r="DX180291">
        <v>4.74</v>
      </c>
      <c r="DY180291">
        <v>4.74</v>
      </c>
      <c r="DZ180291">
        <v>1.62</v>
      </c>
      <c r="EA180291">
        <v>1.62</v>
      </c>
      <c r="EB180291">
        <v>1.62</v>
      </c>
      <c r="EC180291">
        <v>0.81</v>
      </c>
      <c r="ED180291">
        <v>0.81</v>
      </c>
      <c r="EE180291">
        <v>8.15</v>
      </c>
      <c r="EF180291">
        <v>8.15</v>
      </c>
      <c r="EG180291">
        <v>8.15</v>
      </c>
      <c r="EH180291">
        <v>8.15</v>
      </c>
      <c r="EI180291">
        <v>8.15</v>
      </c>
      <c r="EJ180291">
        <v>8.15</v>
      </c>
      <c r="EK180291">
        <v>8.15</v>
      </c>
      <c r="EL180291">
        <v>0.66</v>
      </c>
      <c r="EM180291">
        <v>0.66</v>
      </c>
      <c r="EN180291">
        <v>0.66</v>
      </c>
      <c r="EO180291">
        <v>0.66</v>
      </c>
      <c r="EP180291">
        <v>0.66</v>
      </c>
    </row>
    <row r="180292" spans="2:146">
      <c r="B180292" t="s">
        <v>265</v>
      </c>
      <c r="BQ180292" t="s">
        <v>345</v>
      </c>
      <c r="BR180292" t="s">
        <v>131</v>
      </c>
      <c r="BS180292" t="s">
        <v>131</v>
      </c>
      <c r="BT180292" t="s">
        <v>357</v>
      </c>
      <c r="BU180292" t="s">
        <v>131</v>
      </c>
      <c r="BV180292" t="s">
        <v>360</v>
      </c>
      <c r="BW180292" t="s">
        <v>360</v>
      </c>
      <c r="BX180292" t="s">
        <v>360</v>
      </c>
      <c r="BY180292" t="s">
        <v>364</v>
      </c>
      <c r="BZ180292" t="s">
        <v>364</v>
      </c>
      <c r="CA180292" t="s">
        <v>364</v>
      </c>
      <c r="CB180292" t="s">
        <v>368</v>
      </c>
      <c r="CC180292" t="s">
        <v>368</v>
      </c>
      <c r="CD180292" t="s">
        <v>368</v>
      </c>
      <c r="CE180292" t="s">
        <v>352</v>
      </c>
      <c r="CF180292" t="s">
        <v>352</v>
      </c>
      <c r="CG180292" t="s">
        <v>372</v>
      </c>
      <c r="CH180292" t="s">
        <v>372</v>
      </c>
      <c r="CI180292" t="s">
        <v>375</v>
      </c>
      <c r="CJ180292" t="s">
        <v>375</v>
      </c>
      <c r="CK180292" t="s">
        <v>375</v>
      </c>
      <c r="CL180292" t="s">
        <v>379</v>
      </c>
      <c r="CM180292" t="s">
        <v>379</v>
      </c>
      <c r="CN180292" t="s">
        <v>379</v>
      </c>
      <c r="CO180292" t="s">
        <v>383</v>
      </c>
      <c r="CP180292" t="s">
        <v>383</v>
      </c>
      <c r="CQ180292" t="s">
        <v>383</v>
      </c>
      <c r="CR180292" t="s">
        <v>383</v>
      </c>
      <c r="CS180292" t="s">
        <v>383</v>
      </c>
      <c r="CT180292" t="s">
        <v>389</v>
      </c>
      <c r="CU180292" t="s">
        <v>389</v>
      </c>
      <c r="CV180292" t="s">
        <v>389</v>
      </c>
      <c r="CW180292" t="s">
        <v>393</v>
      </c>
      <c r="CX180292" t="s">
        <v>393</v>
      </c>
      <c r="CY180292" t="s">
        <v>396</v>
      </c>
      <c r="CZ180292" t="s">
        <v>396</v>
      </c>
      <c r="DA180292" t="s">
        <v>396</v>
      </c>
      <c r="DB180292" t="s">
        <v>400</v>
      </c>
      <c r="DC180292" t="s">
        <v>400</v>
      </c>
      <c r="DD180292" t="s">
        <v>400</v>
      </c>
      <c r="DE180292" t="s">
        <v>400</v>
      </c>
      <c r="DF180292" t="s">
        <v>400</v>
      </c>
      <c r="DG180292" t="s">
        <v>400</v>
      </c>
      <c r="DH180292" t="s">
        <v>400</v>
      </c>
      <c r="DI180292" t="s">
        <v>121</v>
      </c>
      <c r="DJ180292" t="s">
        <v>121</v>
      </c>
      <c r="DK180292" t="s">
        <v>121</v>
      </c>
      <c r="DL180292" t="s">
        <v>121</v>
      </c>
      <c r="DM180292" t="s">
        <v>121</v>
      </c>
      <c r="DN180292" t="s">
        <v>121</v>
      </c>
      <c r="DO180292" t="s">
        <v>121</v>
      </c>
      <c r="DP180292" t="s">
        <v>121</v>
      </c>
      <c r="DQ180292" t="s">
        <v>121</v>
      </c>
      <c r="DR180292" t="s">
        <v>121</v>
      </c>
      <c r="DS180292" t="s">
        <v>121</v>
      </c>
      <c r="DT180292" t="s">
        <v>121</v>
      </c>
      <c r="DU180292" t="s">
        <v>121</v>
      </c>
      <c r="DV180292" t="s">
        <v>121</v>
      </c>
      <c r="DW180292" t="s">
        <v>121</v>
      </c>
      <c r="DX180292" t="s">
        <v>423</v>
      </c>
      <c r="DY180292" t="s">
        <v>423</v>
      </c>
      <c r="DZ180292" t="s">
        <v>426</v>
      </c>
      <c r="EA180292" t="s">
        <v>426</v>
      </c>
      <c r="EB180292" t="s">
        <v>426</v>
      </c>
      <c r="EC180292" t="s">
        <v>426</v>
      </c>
      <c r="ED180292" t="s">
        <v>426</v>
      </c>
      <c r="EE180292" t="s">
        <v>432</v>
      </c>
      <c r="EF180292" t="s">
        <v>432</v>
      </c>
      <c r="EG180292" t="s">
        <v>432</v>
      </c>
      <c r="EH180292" t="s">
        <v>432</v>
      </c>
      <c r="EI180292" t="s">
        <v>432</v>
      </c>
      <c r="EJ180292" t="s">
        <v>432</v>
      </c>
      <c r="EK180292" t="s">
        <v>432</v>
      </c>
      <c r="EL180292" t="s">
        <v>440</v>
      </c>
      <c r="EM180292" t="s">
        <v>440</v>
      </c>
      <c r="EN180292" t="s">
        <v>440</v>
      </c>
      <c r="EO180292" t="s">
        <v>440</v>
      </c>
      <c r="EP180292" t="s">
        <v>440</v>
      </c>
    </row>
    <row r="180293" spans="2:146">
      <c r="BQ180293" t="s">
        <v>351</v>
      </c>
      <c r="BR180293" t="s">
        <v>355</v>
      </c>
      <c r="BS180293" t="s">
        <v>356</v>
      </c>
      <c r="BT180293" t="s">
        <v>358</v>
      </c>
      <c r="BU180293" t="s">
        <v>359</v>
      </c>
      <c r="BV180293" t="s">
        <v>361</v>
      </c>
      <c r="BW180293" t="s">
        <v>362</v>
      </c>
      <c r="BX180293" t="s">
        <v>363</v>
      </c>
      <c r="BY180293" t="s">
        <v>365</v>
      </c>
      <c r="BZ180293" t="s">
        <v>366</v>
      </c>
      <c r="CA180293" t="s">
        <v>367</v>
      </c>
      <c r="CB180293" t="s">
        <v>369</v>
      </c>
      <c r="CC180293" t="s">
        <v>370</v>
      </c>
      <c r="CD180293" t="s">
        <v>371</v>
      </c>
      <c r="CE180293" t="s">
        <v>353</v>
      </c>
      <c r="CF180293" t="s">
        <v>354</v>
      </c>
      <c r="CG180293" t="s">
        <v>373</v>
      </c>
      <c r="CH180293" t="s">
        <v>374</v>
      </c>
      <c r="CI180293" t="s">
        <v>376</v>
      </c>
      <c r="CJ180293" t="s">
        <v>377</v>
      </c>
      <c r="CK180293" t="s">
        <v>378</v>
      </c>
      <c r="CL180293" t="s">
        <v>380</v>
      </c>
      <c r="CM180293" t="s">
        <v>381</v>
      </c>
      <c r="CN180293" t="s">
        <v>382</v>
      </c>
      <c r="CO180293" t="s">
        <v>384</v>
      </c>
      <c r="CP180293" t="s">
        <v>385</v>
      </c>
      <c r="CQ180293" t="s">
        <v>386</v>
      </c>
      <c r="CR180293" t="s">
        <v>387</v>
      </c>
      <c r="CS180293" t="s">
        <v>388</v>
      </c>
      <c r="CT180293" t="s">
        <v>390</v>
      </c>
      <c r="CU180293" t="s">
        <v>391</v>
      </c>
      <c r="CV180293" t="s">
        <v>392</v>
      </c>
      <c r="CW180293" t="s">
        <v>394</v>
      </c>
      <c r="CX180293" t="s">
        <v>395</v>
      </c>
      <c r="CY180293" t="s">
        <v>397</v>
      </c>
      <c r="CZ180293" t="s">
        <v>398</v>
      </c>
      <c r="DA180293" t="s">
        <v>399</v>
      </c>
      <c r="DB180293" t="s">
        <v>401</v>
      </c>
      <c r="DC180293" t="s">
        <v>402</v>
      </c>
      <c r="DD180293" t="s">
        <v>403</v>
      </c>
      <c r="DE180293" t="s">
        <v>404</v>
      </c>
      <c r="DF180293" t="s">
        <v>405</v>
      </c>
      <c r="DG180293" t="s">
        <v>406</v>
      </c>
      <c r="DH180293" t="s">
        <v>407</v>
      </c>
      <c r="DI180293" t="s">
        <v>408</v>
      </c>
      <c r="DJ180293" t="s">
        <v>409</v>
      </c>
      <c r="DK180293" t="s">
        <v>410</v>
      </c>
      <c r="DL180293" t="s">
        <v>411</v>
      </c>
      <c r="DM180293" t="s">
        <v>412</v>
      </c>
      <c r="DN180293" t="s">
        <v>413</v>
      </c>
      <c r="DO180293" t="s">
        <v>414</v>
      </c>
      <c r="DP180293" t="s">
        <v>415</v>
      </c>
      <c r="DQ180293" t="s">
        <v>416</v>
      </c>
      <c r="DR180293" t="s">
        <v>417</v>
      </c>
      <c r="DS180293" t="s">
        <v>418</v>
      </c>
      <c r="DT180293" t="s">
        <v>419</v>
      </c>
      <c r="DU180293" t="s">
        <v>420</v>
      </c>
      <c r="DV180293" t="s">
        <v>421</v>
      </c>
      <c r="DW180293" t="s">
        <v>422</v>
      </c>
      <c r="DX180293" t="s">
        <v>424</v>
      </c>
      <c r="DY180293" t="s">
        <v>425</v>
      </c>
      <c r="DZ180293" t="s">
        <v>427</v>
      </c>
      <c r="EA180293" t="s">
        <v>428</v>
      </c>
      <c r="EB180293" t="s">
        <v>429</v>
      </c>
      <c r="EC180293" t="s">
        <v>430</v>
      </c>
      <c r="ED180293" t="s">
        <v>431</v>
      </c>
      <c r="EE180293" t="s">
        <v>433</v>
      </c>
      <c r="EF180293" t="s">
        <v>434</v>
      </c>
      <c r="EG180293" t="s">
        <v>435</v>
      </c>
      <c r="EH180293" t="s">
        <v>436</v>
      </c>
      <c r="EI180293" t="s">
        <v>437</v>
      </c>
      <c r="EJ180293" t="s">
        <v>438</v>
      </c>
      <c r="EK180293" t="s">
        <v>439</v>
      </c>
      <c r="EL180293" t="s">
        <v>441</v>
      </c>
      <c r="EM180293" t="s">
        <v>442</v>
      </c>
      <c r="EN180293" t="s">
        <v>443</v>
      </c>
      <c r="EO180293" t="s">
        <v>444</v>
      </c>
      <c r="EP180293" t="s">
        <v>445</v>
      </c>
    </row>
    <row r="180294" spans="2:146">
      <c r="BQ180294">
        <v>67</v>
      </c>
      <c r="BR180294">
        <v>68</v>
      </c>
      <c r="BS180294">
        <v>69</v>
      </c>
      <c r="BT180294">
        <v>70</v>
      </c>
      <c r="BU180294">
        <v>71</v>
      </c>
      <c r="BV180294">
        <v>72</v>
      </c>
      <c r="BW180294">
        <v>73</v>
      </c>
      <c r="BX180294">
        <v>74</v>
      </c>
      <c r="BY180294">
        <v>75</v>
      </c>
      <c r="BZ180294">
        <v>76</v>
      </c>
      <c r="CA180294">
        <v>77</v>
      </c>
      <c r="CB180294">
        <v>78</v>
      </c>
      <c r="CC180294">
        <v>79</v>
      </c>
      <c r="CD180294">
        <v>80</v>
      </c>
      <c r="CE180294">
        <v>81</v>
      </c>
      <c r="CF180294">
        <v>82</v>
      </c>
      <c r="CG180294">
        <v>83</v>
      </c>
      <c r="CH180294">
        <v>84</v>
      </c>
      <c r="CI180294">
        <v>85</v>
      </c>
      <c r="CJ180294">
        <v>86</v>
      </c>
      <c r="CK180294">
        <v>87</v>
      </c>
      <c r="CL180294">
        <v>88</v>
      </c>
      <c r="CM180294">
        <v>89</v>
      </c>
      <c r="CN180294">
        <v>90</v>
      </c>
      <c r="CO180294">
        <v>91</v>
      </c>
      <c r="CP180294">
        <v>92</v>
      </c>
      <c r="CQ180294">
        <v>93</v>
      </c>
      <c r="CR180294">
        <v>94</v>
      </c>
      <c r="CS180294">
        <v>95</v>
      </c>
      <c r="CT180294">
        <v>96</v>
      </c>
      <c r="CU180294">
        <v>97</v>
      </c>
      <c r="CV180294">
        <v>98</v>
      </c>
      <c r="CW180294">
        <v>99</v>
      </c>
      <c r="CX180294">
        <v>100</v>
      </c>
      <c r="CY180294">
        <v>101</v>
      </c>
      <c r="CZ180294">
        <v>102</v>
      </c>
      <c r="DA180294">
        <v>103</v>
      </c>
      <c r="DB180294">
        <v>104</v>
      </c>
      <c r="DC180294">
        <v>105</v>
      </c>
      <c r="DD180294">
        <v>106</v>
      </c>
      <c r="DE180294">
        <v>107</v>
      </c>
      <c r="DF180294">
        <v>108</v>
      </c>
      <c r="DG180294">
        <v>109</v>
      </c>
      <c r="DH180294">
        <v>110</v>
      </c>
      <c r="DI180294">
        <v>111</v>
      </c>
      <c r="DJ180294">
        <v>112</v>
      </c>
      <c r="DK180294">
        <v>113</v>
      </c>
      <c r="DL180294">
        <v>114</v>
      </c>
      <c r="DM180294">
        <v>115</v>
      </c>
      <c r="DN180294">
        <v>116</v>
      </c>
      <c r="DO180294">
        <v>117</v>
      </c>
      <c r="DP180294">
        <v>118</v>
      </c>
      <c r="DQ180294">
        <v>119</v>
      </c>
      <c r="DR180294">
        <v>120</v>
      </c>
      <c r="DS180294">
        <v>121</v>
      </c>
      <c r="DT180294">
        <v>122</v>
      </c>
      <c r="DU180294">
        <v>123</v>
      </c>
      <c r="DV180294">
        <v>124</v>
      </c>
      <c r="DW180294">
        <v>125</v>
      </c>
      <c r="DX180294">
        <v>126</v>
      </c>
      <c r="DY180294">
        <v>127</v>
      </c>
      <c r="DZ180294">
        <v>128</v>
      </c>
      <c r="EA180294">
        <v>129</v>
      </c>
      <c r="EB180294">
        <v>130</v>
      </c>
      <c r="EC180294">
        <v>131</v>
      </c>
      <c r="ED180294">
        <v>132</v>
      </c>
      <c r="EE180294">
        <v>133</v>
      </c>
      <c r="EF180294">
        <v>134</v>
      </c>
      <c r="EG180294">
        <v>135</v>
      </c>
      <c r="EH180294">
        <v>136</v>
      </c>
      <c r="EI180294">
        <v>137</v>
      </c>
      <c r="EJ180294">
        <v>138</v>
      </c>
      <c r="EK180294">
        <v>139</v>
      </c>
      <c r="EL180294">
        <v>140</v>
      </c>
      <c r="EM180294">
        <v>141</v>
      </c>
      <c r="EN180294">
        <v>142</v>
      </c>
      <c r="EO180294">
        <v>143</v>
      </c>
      <c r="EP180294">
        <v>144</v>
      </c>
    </row>
    <row r="180295" spans="2:146">
      <c r="CE180295" t="s">
        <v>451</v>
      </c>
    </row>
    <row r="196610" spans="2:2">
      <c r="B196610">
        <v>200</v>
      </c>
    </row>
    <row r="196611" spans="2:2">
      <c r="B196611">
        <v>200</v>
      </c>
    </row>
    <row r="196612" spans="2:2">
      <c r="B196612">
        <v>800</v>
      </c>
    </row>
    <row r="196613" spans="2:2">
      <c r="B196613">
        <v>200</v>
      </c>
    </row>
    <row r="196614" spans="2:2">
      <c r="B196614">
        <v>1044</v>
      </c>
    </row>
    <row r="196615" spans="2:2">
      <c r="B196615">
        <v>998.40000000000009</v>
      </c>
    </row>
    <row r="196616" spans="2:2">
      <c r="B196616">
        <v>272</v>
      </c>
    </row>
    <row r="196617" spans="2:2">
      <c r="B196617">
        <v>200</v>
      </c>
    </row>
    <row r="196618" spans="2:2">
      <c r="B196618">
        <v>214</v>
      </c>
    </row>
    <row r="196619" spans="2:2">
      <c r="B196619">
        <v>200</v>
      </c>
    </row>
    <row r="196620" spans="2:2">
      <c r="B196620">
        <v>152</v>
      </c>
    </row>
    <row r="196621" spans="2:2">
      <c r="B196621">
        <v>200</v>
      </c>
    </row>
    <row r="196622" spans="2:2">
      <c r="B196622">
        <v>300</v>
      </c>
    </row>
    <row r="196623" spans="2:2">
      <c r="B196623">
        <v>104</v>
      </c>
    </row>
    <row r="196624" spans="2:2">
      <c r="B196624">
        <v>162</v>
      </c>
    </row>
    <row r="196625" spans="2:2">
      <c r="B196625">
        <v>200</v>
      </c>
    </row>
    <row r="196626" spans="2:2">
      <c r="B196626">
        <v>200</v>
      </c>
    </row>
    <row r="196627" spans="2:2">
      <c r="B196627">
        <v>200</v>
      </c>
    </row>
    <row r="196628" spans="2:2">
      <c r="B196628">
        <v>200</v>
      </c>
    </row>
    <row r="196629" spans="2:2">
      <c r="B196629">
        <v>200</v>
      </c>
    </row>
    <row r="196630" spans="2:2">
      <c r="B196630">
        <v>200</v>
      </c>
    </row>
    <row r="196631" spans="2:2">
      <c r="B196631">
        <v>200</v>
      </c>
    </row>
    <row r="196632" spans="2:2">
      <c r="B196632">
        <v>200</v>
      </c>
    </row>
    <row r="196633" spans="2:2">
      <c r="B196633">
        <v>800</v>
      </c>
    </row>
    <row r="196634" spans="2:2">
      <c r="B196634">
        <v>300</v>
      </c>
    </row>
    <row r="196635" spans="2:2">
      <c r="B196635">
        <v>778</v>
      </c>
    </row>
    <row r="196636" spans="2:2">
      <c r="B196636">
        <v>614</v>
      </c>
    </row>
    <row r="196637" spans="2:2">
      <c r="B196637">
        <v>444</v>
      </c>
    </row>
    <row r="196638" spans="2:2">
      <c r="B196638">
        <v>800</v>
      </c>
    </row>
    <row r="196639" spans="2:2">
      <c r="B196639">
        <v>200</v>
      </c>
    </row>
    <row r="196640" spans="2:2">
      <c r="B196640">
        <v>780</v>
      </c>
    </row>
    <row r="196641" spans="2:146">
      <c r="B196641">
        <v>174</v>
      </c>
    </row>
    <row r="196642" spans="2:146">
      <c r="B196642">
        <v>194</v>
      </c>
    </row>
    <row r="196643" spans="2:146">
      <c r="B196643">
        <v>782</v>
      </c>
    </row>
    <row r="196644" spans="2:146">
      <c r="B196644">
        <v>236</v>
      </c>
    </row>
    <row r="196645" spans="2:146">
      <c r="B196645">
        <v>144</v>
      </c>
    </row>
    <row r="196646" spans="2:146">
      <c r="B196646">
        <v>200</v>
      </c>
    </row>
    <row r="196647" spans="2:146">
      <c r="B196647">
        <v>240</v>
      </c>
    </row>
    <row r="196648" spans="2:146">
      <c r="B196648">
        <v>200</v>
      </c>
    </row>
    <row r="196649" spans="2:146">
      <c r="B196649">
        <v>612</v>
      </c>
    </row>
    <row r="196650" spans="2:146">
      <c r="B196650">
        <v>156</v>
      </c>
    </row>
    <row r="196651" spans="2:146">
      <c r="B196651">
        <v>116</v>
      </c>
    </row>
    <row r="196652" spans="2:146">
      <c r="B196652">
        <v>160</v>
      </c>
    </row>
    <row r="196653" spans="2:146">
      <c r="B196653">
        <v>80</v>
      </c>
      <c r="EL196653">
        <v>0.66</v>
      </c>
      <c r="EM196653">
        <v>0.66</v>
      </c>
      <c r="EN196653">
        <v>0.66</v>
      </c>
      <c r="EO196653">
        <v>0.66</v>
      </c>
      <c r="EP196653">
        <v>0.66</v>
      </c>
    </row>
    <row r="196654" spans="2:146">
      <c r="B196654">
        <v>1144</v>
      </c>
      <c r="BV196654">
        <v>5.0999999999999996</v>
      </c>
      <c r="BW196654">
        <v>5.0999999999999996</v>
      </c>
      <c r="DB196654">
        <v>10.210000000000001</v>
      </c>
      <c r="DC196654">
        <v>10.210000000000001</v>
      </c>
      <c r="DD196654">
        <v>10.210000000000001</v>
      </c>
      <c r="DE196654">
        <v>10.210000000000001</v>
      </c>
      <c r="DF196654">
        <v>10.210000000000001</v>
      </c>
      <c r="DG196654">
        <v>10.210000000000001</v>
      </c>
      <c r="DH196654">
        <v>10.210000000000001</v>
      </c>
    </row>
    <row r="196655" spans="2:146">
      <c r="B196655">
        <v>1240</v>
      </c>
      <c r="EE196655">
        <v>8.15</v>
      </c>
      <c r="EF196655">
        <v>8.15</v>
      </c>
      <c r="EG196655">
        <v>8.15</v>
      </c>
      <c r="EH196655">
        <v>8.15</v>
      </c>
      <c r="EI196655">
        <v>8.15</v>
      </c>
      <c r="EJ196655">
        <v>8.15</v>
      </c>
      <c r="EK196655">
        <v>8.15</v>
      </c>
    </row>
    <row r="196656" spans="2:146">
      <c r="B196656">
        <v>2083.2000000000003</v>
      </c>
      <c r="DI196656">
        <v>20.03</v>
      </c>
      <c r="DJ196656">
        <v>20.03</v>
      </c>
      <c r="DQ196656">
        <v>20.03</v>
      </c>
      <c r="DT196656">
        <v>20.03</v>
      </c>
      <c r="DW196656">
        <v>20.03</v>
      </c>
    </row>
    <row r="196657" spans="2:134">
      <c r="B196657">
        <v>357.20000000000005</v>
      </c>
      <c r="DI196657">
        <v>3.88</v>
      </c>
      <c r="DJ196657">
        <v>3.88</v>
      </c>
      <c r="DV196657">
        <v>3.88</v>
      </c>
      <c r="DW196657">
        <v>3.88</v>
      </c>
    </row>
    <row r="196658" spans="2:134">
      <c r="B196658">
        <v>391.20000000000005</v>
      </c>
      <c r="DI196658">
        <v>3.62</v>
      </c>
      <c r="DJ196658">
        <v>3.62</v>
      </c>
      <c r="DR196658">
        <v>3.62</v>
      </c>
      <c r="DU196658">
        <v>3.62</v>
      </c>
      <c r="DV196658">
        <v>3.62</v>
      </c>
    </row>
    <row r="196659" spans="2:134">
      <c r="B196659">
        <v>762.80000000000007</v>
      </c>
      <c r="DI196659">
        <v>6.15</v>
      </c>
      <c r="DJ196659">
        <v>6.15</v>
      </c>
      <c r="DQ196659">
        <v>6.15</v>
      </c>
      <c r="DR196659">
        <v>6.15</v>
      </c>
      <c r="DS196659">
        <v>6.15</v>
      </c>
      <c r="DT196659">
        <v>6.15</v>
      </c>
    </row>
    <row r="196660" spans="2:134">
      <c r="B196660">
        <v>1280</v>
      </c>
      <c r="DI196660">
        <v>10.66</v>
      </c>
      <c r="DJ196660">
        <v>10.66</v>
      </c>
      <c r="DK196660">
        <v>10.66</v>
      </c>
      <c r="DL196660">
        <v>10.66</v>
      </c>
      <c r="DM196660">
        <v>10.66</v>
      </c>
      <c r="DN196660">
        <v>10.66</v>
      </c>
    </row>
    <row r="196661" spans="2:134">
      <c r="B196661">
        <v>234</v>
      </c>
      <c r="CT196661">
        <v>2.5</v>
      </c>
      <c r="CU196661">
        <v>2.5</v>
      </c>
      <c r="CV196661">
        <v>2.5</v>
      </c>
    </row>
    <row r="196662" spans="2:134">
      <c r="B196662">
        <v>354</v>
      </c>
      <c r="CY196662">
        <v>3.98</v>
      </c>
      <c r="CZ196662">
        <v>3.98</v>
      </c>
      <c r="DA196662">
        <v>3.98</v>
      </c>
    </row>
    <row r="196663" spans="2:134">
      <c r="B196663">
        <v>392</v>
      </c>
      <c r="DI196663">
        <v>3.52</v>
      </c>
      <c r="DJ196663">
        <v>3.52</v>
      </c>
      <c r="DL196663">
        <v>3.52</v>
      </c>
      <c r="DO196663">
        <v>3.52</v>
      </c>
    </row>
    <row r="196664" spans="2:134">
      <c r="B196664">
        <v>304</v>
      </c>
      <c r="CE196664">
        <v>3.8</v>
      </c>
      <c r="CF196664">
        <v>3.8</v>
      </c>
    </row>
    <row r="196665" spans="2:134">
      <c r="B196665">
        <v>144</v>
      </c>
      <c r="DZ196665">
        <v>1.62</v>
      </c>
      <c r="EA196665">
        <v>1.62</v>
      </c>
      <c r="EB196665">
        <v>1.62</v>
      </c>
      <c r="EC196665">
        <v>0.81</v>
      </c>
      <c r="ED196665">
        <v>0.81</v>
      </c>
    </row>
    <row r="196666" spans="2:134">
      <c r="B196666">
        <v>602.40000000000009</v>
      </c>
      <c r="BY196666">
        <v>6.02</v>
      </c>
      <c r="BZ196666">
        <v>6.02</v>
      </c>
      <c r="CB196666">
        <v>3.01</v>
      </c>
      <c r="CC196666">
        <v>3.01</v>
      </c>
      <c r="CD196666">
        <v>3.01</v>
      </c>
      <c r="CI196666">
        <v>6.02</v>
      </c>
      <c r="CJ196666">
        <v>6.02</v>
      </c>
      <c r="CK196666">
        <v>6.02</v>
      </c>
    </row>
    <row r="196667" spans="2:134">
      <c r="B196667">
        <v>307.60000000000002</v>
      </c>
      <c r="BY196667">
        <v>3.34</v>
      </c>
      <c r="BZ196667">
        <v>3.34</v>
      </c>
      <c r="CG196667">
        <v>3.34</v>
      </c>
      <c r="CH196667">
        <v>3.34</v>
      </c>
    </row>
    <row r="196668" spans="2:134">
      <c r="B196668">
        <v>358</v>
      </c>
      <c r="BY196668">
        <v>2.37</v>
      </c>
      <c r="BZ196668">
        <v>2.37</v>
      </c>
      <c r="CA196668">
        <v>2.37</v>
      </c>
      <c r="DX196668">
        <v>4.74</v>
      </c>
      <c r="DY196668">
        <v>4.74</v>
      </c>
    </row>
    <row r="196669" spans="2:134">
      <c r="B196669">
        <v>286</v>
      </c>
      <c r="BT196669">
        <v>1.43</v>
      </c>
      <c r="BV196669">
        <v>1.43</v>
      </c>
      <c r="BW196669">
        <v>1.43</v>
      </c>
      <c r="BX196669">
        <v>1.43</v>
      </c>
      <c r="CO196669">
        <v>2.86</v>
      </c>
      <c r="CP196669">
        <v>2.86</v>
      </c>
      <c r="CQ196669">
        <v>2.86</v>
      </c>
      <c r="CR196669">
        <v>2.86</v>
      </c>
      <c r="CS196669">
        <v>2.86</v>
      </c>
    </row>
    <row r="196670" spans="2:134">
      <c r="B196670">
        <v>410</v>
      </c>
      <c r="BY196670">
        <v>2.88</v>
      </c>
      <c r="BZ196670">
        <v>2.88</v>
      </c>
      <c r="CA196670">
        <v>2.88</v>
      </c>
      <c r="CW196670">
        <v>5.76</v>
      </c>
      <c r="CX196670">
        <v>5.76</v>
      </c>
    </row>
    <row r="196671" spans="2:134">
      <c r="B196671">
        <v>346</v>
      </c>
      <c r="BR196671">
        <v>3.6</v>
      </c>
      <c r="BS196671">
        <v>3.6</v>
      </c>
      <c r="BT196671">
        <v>1.8</v>
      </c>
      <c r="CL196671">
        <v>3.6</v>
      </c>
      <c r="CM196671">
        <v>3.6</v>
      </c>
      <c r="CN196671">
        <v>3.6</v>
      </c>
    </row>
    <row r="196672" spans="2:134">
      <c r="B196672">
        <v>302</v>
      </c>
      <c r="BR196672">
        <v>3.28</v>
      </c>
      <c r="BS196672">
        <v>3.28</v>
      </c>
      <c r="BT196672">
        <v>1.64</v>
      </c>
      <c r="BU196672">
        <v>1.64</v>
      </c>
      <c r="CL196672">
        <v>3.28</v>
      </c>
      <c r="CM196672">
        <v>3.28</v>
      </c>
      <c r="CN196672">
        <v>3.28</v>
      </c>
    </row>
    <row r="196673" spans="2:146">
      <c r="B196673">
        <v>204</v>
      </c>
      <c r="BR196673">
        <v>2.12</v>
      </c>
      <c r="BS196673">
        <v>2.12</v>
      </c>
      <c r="BT196673">
        <v>1.06</v>
      </c>
      <c r="CL196673">
        <v>2.12</v>
      </c>
      <c r="CM196673">
        <v>2.12</v>
      </c>
      <c r="CN196673">
        <v>2.12</v>
      </c>
    </row>
    <row r="196675" spans="2:146">
      <c r="B196675">
        <v>26358.800000000003</v>
      </c>
      <c r="BQ196675">
        <v>0</v>
      </c>
      <c r="BR196675">
        <v>9</v>
      </c>
      <c r="BS196675">
        <v>9</v>
      </c>
      <c r="BT196675">
        <v>5.93</v>
      </c>
      <c r="BU196675">
        <v>1.64</v>
      </c>
      <c r="BV196675">
        <v>6.5299999999999994</v>
      </c>
      <c r="BW196675">
        <v>6.5299999999999994</v>
      </c>
      <c r="BX196675">
        <v>1.43</v>
      </c>
      <c r="BY196675">
        <v>14.61</v>
      </c>
      <c r="BZ196675">
        <v>14.61</v>
      </c>
      <c r="CA196675">
        <v>5.25</v>
      </c>
      <c r="CB196675">
        <v>3.01</v>
      </c>
      <c r="CC196675">
        <v>3.01</v>
      </c>
      <c r="CD196675">
        <v>3.01</v>
      </c>
      <c r="CE196675">
        <v>3.8</v>
      </c>
      <c r="CF196675">
        <v>3.8</v>
      </c>
      <c r="CG196675">
        <v>3.34</v>
      </c>
      <c r="CH196675">
        <v>3.34</v>
      </c>
      <c r="CI196675">
        <v>6.02</v>
      </c>
      <c r="CJ196675">
        <v>6.02</v>
      </c>
      <c r="CK196675">
        <v>6.02</v>
      </c>
      <c r="CL196675">
        <v>9</v>
      </c>
      <c r="CM196675">
        <v>9</v>
      </c>
      <c r="CN196675">
        <v>9</v>
      </c>
      <c r="CO196675">
        <v>2.86</v>
      </c>
      <c r="CP196675">
        <v>2.86</v>
      </c>
      <c r="CQ196675">
        <v>2.86</v>
      </c>
      <c r="CR196675">
        <v>2.86</v>
      </c>
      <c r="CS196675">
        <v>2.86</v>
      </c>
      <c r="CT196675">
        <v>2.5</v>
      </c>
      <c r="CU196675">
        <v>2.5</v>
      </c>
      <c r="CV196675">
        <v>2.5</v>
      </c>
      <c r="CW196675">
        <v>5.76</v>
      </c>
      <c r="CX196675">
        <v>5.76</v>
      </c>
      <c r="CY196675">
        <v>3.98</v>
      </c>
      <c r="CZ196675">
        <v>3.98</v>
      </c>
      <c r="DA196675">
        <v>3.98</v>
      </c>
      <c r="DB196675">
        <v>10.210000000000001</v>
      </c>
      <c r="DC196675">
        <v>10.210000000000001</v>
      </c>
      <c r="DD196675">
        <v>10.210000000000001</v>
      </c>
      <c r="DE196675">
        <v>10.210000000000001</v>
      </c>
      <c r="DF196675">
        <v>10.210000000000001</v>
      </c>
      <c r="DG196675">
        <v>10.210000000000001</v>
      </c>
      <c r="DH196675">
        <v>10.210000000000001</v>
      </c>
      <c r="DI196675">
        <v>47.860000000000007</v>
      </c>
      <c r="DJ196675">
        <v>47.860000000000007</v>
      </c>
      <c r="DK196675">
        <v>10.66</v>
      </c>
      <c r="DL196675">
        <v>14.18</v>
      </c>
      <c r="DM196675">
        <v>10.66</v>
      </c>
      <c r="DN196675">
        <v>10.66</v>
      </c>
      <c r="DO196675">
        <v>3.52</v>
      </c>
      <c r="DP196675">
        <v>0</v>
      </c>
      <c r="DQ196675">
        <v>26.18</v>
      </c>
      <c r="DR196675">
        <v>9.77</v>
      </c>
      <c r="DS196675">
        <v>6.15</v>
      </c>
      <c r="DT196675">
        <v>26.18</v>
      </c>
      <c r="DU196675">
        <v>3.62</v>
      </c>
      <c r="DV196675">
        <v>7.5</v>
      </c>
      <c r="DW196675">
        <v>23.91</v>
      </c>
      <c r="DX196675">
        <v>4.74</v>
      </c>
      <c r="DY196675">
        <v>4.74</v>
      </c>
      <c r="DZ196675">
        <v>1.62</v>
      </c>
      <c r="EA196675">
        <v>1.62</v>
      </c>
      <c r="EB196675">
        <v>1.62</v>
      </c>
      <c r="EC196675">
        <v>0.81</v>
      </c>
      <c r="ED196675">
        <v>0.81</v>
      </c>
      <c r="EE196675">
        <v>8.15</v>
      </c>
      <c r="EF196675">
        <v>8.15</v>
      </c>
      <c r="EG196675">
        <v>8.15</v>
      </c>
      <c r="EH196675">
        <v>8.15</v>
      </c>
      <c r="EI196675">
        <v>8.15</v>
      </c>
      <c r="EJ196675">
        <v>8.15</v>
      </c>
      <c r="EK196675">
        <v>8.15</v>
      </c>
      <c r="EL196675">
        <v>0.66</v>
      </c>
      <c r="EM196675">
        <v>0.66</v>
      </c>
      <c r="EN196675">
        <v>0.66</v>
      </c>
      <c r="EO196675">
        <v>0.66</v>
      </c>
      <c r="EP196675">
        <v>0.66</v>
      </c>
    </row>
    <row r="196676" spans="2:146">
      <c r="B196676" t="s">
        <v>265</v>
      </c>
      <c r="BQ196676" t="s">
        <v>345</v>
      </c>
      <c r="BR196676" t="s">
        <v>131</v>
      </c>
      <c r="BS196676" t="s">
        <v>131</v>
      </c>
      <c r="BT196676" t="s">
        <v>357</v>
      </c>
      <c r="BU196676" t="s">
        <v>131</v>
      </c>
      <c r="BV196676" t="s">
        <v>360</v>
      </c>
      <c r="BW196676" t="s">
        <v>360</v>
      </c>
      <c r="BX196676" t="s">
        <v>360</v>
      </c>
      <c r="BY196676" t="s">
        <v>364</v>
      </c>
      <c r="BZ196676" t="s">
        <v>364</v>
      </c>
      <c r="CA196676" t="s">
        <v>364</v>
      </c>
      <c r="CB196676" t="s">
        <v>368</v>
      </c>
      <c r="CC196676" t="s">
        <v>368</v>
      </c>
      <c r="CD196676" t="s">
        <v>368</v>
      </c>
      <c r="CE196676" t="s">
        <v>352</v>
      </c>
      <c r="CF196676" t="s">
        <v>352</v>
      </c>
      <c r="CG196676" t="s">
        <v>372</v>
      </c>
      <c r="CH196676" t="s">
        <v>372</v>
      </c>
      <c r="CI196676" t="s">
        <v>375</v>
      </c>
      <c r="CJ196676" t="s">
        <v>375</v>
      </c>
      <c r="CK196676" t="s">
        <v>375</v>
      </c>
      <c r="CL196676" t="s">
        <v>379</v>
      </c>
      <c r="CM196676" t="s">
        <v>379</v>
      </c>
      <c r="CN196676" t="s">
        <v>379</v>
      </c>
      <c r="CO196676" t="s">
        <v>383</v>
      </c>
      <c r="CP196676" t="s">
        <v>383</v>
      </c>
      <c r="CQ196676" t="s">
        <v>383</v>
      </c>
      <c r="CR196676" t="s">
        <v>383</v>
      </c>
      <c r="CS196676" t="s">
        <v>383</v>
      </c>
      <c r="CT196676" t="s">
        <v>389</v>
      </c>
      <c r="CU196676" t="s">
        <v>389</v>
      </c>
      <c r="CV196676" t="s">
        <v>389</v>
      </c>
      <c r="CW196676" t="s">
        <v>393</v>
      </c>
      <c r="CX196676" t="s">
        <v>393</v>
      </c>
      <c r="CY196676" t="s">
        <v>396</v>
      </c>
      <c r="CZ196676" t="s">
        <v>396</v>
      </c>
      <c r="DA196676" t="s">
        <v>396</v>
      </c>
      <c r="DB196676" t="s">
        <v>400</v>
      </c>
      <c r="DC196676" t="s">
        <v>400</v>
      </c>
      <c r="DD196676" t="s">
        <v>400</v>
      </c>
      <c r="DE196676" t="s">
        <v>400</v>
      </c>
      <c r="DF196676" t="s">
        <v>400</v>
      </c>
      <c r="DG196676" t="s">
        <v>400</v>
      </c>
      <c r="DH196676" t="s">
        <v>400</v>
      </c>
      <c r="DI196676" t="s">
        <v>121</v>
      </c>
      <c r="DJ196676" t="s">
        <v>121</v>
      </c>
      <c r="DK196676" t="s">
        <v>121</v>
      </c>
      <c r="DL196676" t="s">
        <v>121</v>
      </c>
      <c r="DM196676" t="s">
        <v>121</v>
      </c>
      <c r="DN196676" t="s">
        <v>121</v>
      </c>
      <c r="DO196676" t="s">
        <v>121</v>
      </c>
      <c r="DP196676" t="s">
        <v>121</v>
      </c>
      <c r="DQ196676" t="s">
        <v>121</v>
      </c>
      <c r="DR196676" t="s">
        <v>121</v>
      </c>
      <c r="DS196676" t="s">
        <v>121</v>
      </c>
      <c r="DT196676" t="s">
        <v>121</v>
      </c>
      <c r="DU196676" t="s">
        <v>121</v>
      </c>
      <c r="DV196676" t="s">
        <v>121</v>
      </c>
      <c r="DW196676" t="s">
        <v>121</v>
      </c>
      <c r="DX196676" t="s">
        <v>423</v>
      </c>
      <c r="DY196676" t="s">
        <v>423</v>
      </c>
      <c r="DZ196676" t="s">
        <v>426</v>
      </c>
      <c r="EA196676" t="s">
        <v>426</v>
      </c>
      <c r="EB196676" t="s">
        <v>426</v>
      </c>
      <c r="EC196676" t="s">
        <v>426</v>
      </c>
      <c r="ED196676" t="s">
        <v>426</v>
      </c>
      <c r="EE196676" t="s">
        <v>432</v>
      </c>
      <c r="EF196676" t="s">
        <v>432</v>
      </c>
      <c r="EG196676" t="s">
        <v>432</v>
      </c>
      <c r="EH196676" t="s">
        <v>432</v>
      </c>
      <c r="EI196676" t="s">
        <v>432</v>
      </c>
      <c r="EJ196676" t="s">
        <v>432</v>
      </c>
      <c r="EK196676" t="s">
        <v>432</v>
      </c>
      <c r="EL196676" t="s">
        <v>440</v>
      </c>
      <c r="EM196676" t="s">
        <v>440</v>
      </c>
      <c r="EN196676" t="s">
        <v>440</v>
      </c>
      <c r="EO196676" t="s">
        <v>440</v>
      </c>
      <c r="EP196676" t="s">
        <v>440</v>
      </c>
    </row>
    <row r="196677" spans="2:146">
      <c r="BQ196677" t="s">
        <v>351</v>
      </c>
      <c r="BR196677" t="s">
        <v>355</v>
      </c>
      <c r="BS196677" t="s">
        <v>356</v>
      </c>
      <c r="BT196677" t="s">
        <v>358</v>
      </c>
      <c r="BU196677" t="s">
        <v>359</v>
      </c>
      <c r="BV196677" t="s">
        <v>361</v>
      </c>
      <c r="BW196677" t="s">
        <v>362</v>
      </c>
      <c r="BX196677" t="s">
        <v>363</v>
      </c>
      <c r="BY196677" t="s">
        <v>365</v>
      </c>
      <c r="BZ196677" t="s">
        <v>366</v>
      </c>
      <c r="CA196677" t="s">
        <v>367</v>
      </c>
      <c r="CB196677" t="s">
        <v>369</v>
      </c>
      <c r="CC196677" t="s">
        <v>370</v>
      </c>
      <c r="CD196677" t="s">
        <v>371</v>
      </c>
      <c r="CE196677" t="s">
        <v>353</v>
      </c>
      <c r="CF196677" t="s">
        <v>354</v>
      </c>
      <c r="CG196677" t="s">
        <v>373</v>
      </c>
      <c r="CH196677" t="s">
        <v>374</v>
      </c>
      <c r="CI196677" t="s">
        <v>376</v>
      </c>
      <c r="CJ196677" t="s">
        <v>377</v>
      </c>
      <c r="CK196677" t="s">
        <v>378</v>
      </c>
      <c r="CL196677" t="s">
        <v>380</v>
      </c>
      <c r="CM196677" t="s">
        <v>381</v>
      </c>
      <c r="CN196677" t="s">
        <v>382</v>
      </c>
      <c r="CO196677" t="s">
        <v>384</v>
      </c>
      <c r="CP196677" t="s">
        <v>385</v>
      </c>
      <c r="CQ196677" t="s">
        <v>386</v>
      </c>
      <c r="CR196677" t="s">
        <v>387</v>
      </c>
      <c r="CS196677" t="s">
        <v>388</v>
      </c>
      <c r="CT196677" t="s">
        <v>390</v>
      </c>
      <c r="CU196677" t="s">
        <v>391</v>
      </c>
      <c r="CV196677" t="s">
        <v>392</v>
      </c>
      <c r="CW196677" t="s">
        <v>394</v>
      </c>
      <c r="CX196677" t="s">
        <v>395</v>
      </c>
      <c r="CY196677" t="s">
        <v>397</v>
      </c>
      <c r="CZ196677" t="s">
        <v>398</v>
      </c>
      <c r="DA196677" t="s">
        <v>399</v>
      </c>
      <c r="DB196677" t="s">
        <v>401</v>
      </c>
      <c r="DC196677" t="s">
        <v>402</v>
      </c>
      <c r="DD196677" t="s">
        <v>403</v>
      </c>
      <c r="DE196677" t="s">
        <v>404</v>
      </c>
      <c r="DF196677" t="s">
        <v>405</v>
      </c>
      <c r="DG196677" t="s">
        <v>406</v>
      </c>
      <c r="DH196677" t="s">
        <v>407</v>
      </c>
      <c r="DI196677" t="s">
        <v>408</v>
      </c>
      <c r="DJ196677" t="s">
        <v>409</v>
      </c>
      <c r="DK196677" t="s">
        <v>410</v>
      </c>
      <c r="DL196677" t="s">
        <v>411</v>
      </c>
      <c r="DM196677" t="s">
        <v>412</v>
      </c>
      <c r="DN196677" t="s">
        <v>413</v>
      </c>
      <c r="DO196677" t="s">
        <v>414</v>
      </c>
      <c r="DP196677" t="s">
        <v>415</v>
      </c>
      <c r="DQ196677" t="s">
        <v>416</v>
      </c>
      <c r="DR196677" t="s">
        <v>417</v>
      </c>
      <c r="DS196677" t="s">
        <v>418</v>
      </c>
      <c r="DT196677" t="s">
        <v>419</v>
      </c>
      <c r="DU196677" t="s">
        <v>420</v>
      </c>
      <c r="DV196677" t="s">
        <v>421</v>
      </c>
      <c r="DW196677" t="s">
        <v>422</v>
      </c>
      <c r="DX196677" t="s">
        <v>424</v>
      </c>
      <c r="DY196677" t="s">
        <v>425</v>
      </c>
      <c r="DZ196677" t="s">
        <v>427</v>
      </c>
      <c r="EA196677" t="s">
        <v>428</v>
      </c>
      <c r="EB196677" t="s">
        <v>429</v>
      </c>
      <c r="EC196677" t="s">
        <v>430</v>
      </c>
      <c r="ED196677" t="s">
        <v>431</v>
      </c>
      <c r="EE196677" t="s">
        <v>433</v>
      </c>
      <c r="EF196677" t="s">
        <v>434</v>
      </c>
      <c r="EG196677" t="s">
        <v>435</v>
      </c>
      <c r="EH196677" t="s">
        <v>436</v>
      </c>
      <c r="EI196677" t="s">
        <v>437</v>
      </c>
      <c r="EJ196677" t="s">
        <v>438</v>
      </c>
      <c r="EK196677" t="s">
        <v>439</v>
      </c>
      <c r="EL196677" t="s">
        <v>441</v>
      </c>
      <c r="EM196677" t="s">
        <v>442</v>
      </c>
      <c r="EN196677" t="s">
        <v>443</v>
      </c>
      <c r="EO196677" t="s">
        <v>444</v>
      </c>
      <c r="EP196677" t="s">
        <v>445</v>
      </c>
    </row>
    <row r="196678" spans="2:146">
      <c r="BQ196678">
        <v>67</v>
      </c>
      <c r="BR196678">
        <v>68</v>
      </c>
      <c r="BS196678">
        <v>69</v>
      </c>
      <c r="BT196678">
        <v>70</v>
      </c>
      <c r="BU196678">
        <v>71</v>
      </c>
      <c r="BV196678">
        <v>72</v>
      </c>
      <c r="BW196678">
        <v>73</v>
      </c>
      <c r="BX196678">
        <v>74</v>
      </c>
      <c r="BY196678">
        <v>75</v>
      </c>
      <c r="BZ196678">
        <v>76</v>
      </c>
      <c r="CA196678">
        <v>77</v>
      </c>
      <c r="CB196678">
        <v>78</v>
      </c>
      <c r="CC196678">
        <v>79</v>
      </c>
      <c r="CD196678">
        <v>80</v>
      </c>
      <c r="CE196678">
        <v>81</v>
      </c>
      <c r="CF196678">
        <v>82</v>
      </c>
      <c r="CG196678">
        <v>83</v>
      </c>
      <c r="CH196678">
        <v>84</v>
      </c>
      <c r="CI196678">
        <v>85</v>
      </c>
      <c r="CJ196678">
        <v>86</v>
      </c>
      <c r="CK196678">
        <v>87</v>
      </c>
      <c r="CL196678">
        <v>88</v>
      </c>
      <c r="CM196678">
        <v>89</v>
      </c>
      <c r="CN196678">
        <v>90</v>
      </c>
      <c r="CO196678">
        <v>91</v>
      </c>
      <c r="CP196678">
        <v>92</v>
      </c>
      <c r="CQ196678">
        <v>93</v>
      </c>
      <c r="CR196678">
        <v>94</v>
      </c>
      <c r="CS196678">
        <v>95</v>
      </c>
      <c r="CT196678">
        <v>96</v>
      </c>
      <c r="CU196678">
        <v>97</v>
      </c>
      <c r="CV196678">
        <v>98</v>
      </c>
      <c r="CW196678">
        <v>99</v>
      </c>
      <c r="CX196678">
        <v>100</v>
      </c>
      <c r="CY196678">
        <v>101</v>
      </c>
      <c r="CZ196678">
        <v>102</v>
      </c>
      <c r="DA196678">
        <v>103</v>
      </c>
      <c r="DB196678">
        <v>104</v>
      </c>
      <c r="DC196678">
        <v>105</v>
      </c>
      <c r="DD196678">
        <v>106</v>
      </c>
      <c r="DE196678">
        <v>107</v>
      </c>
      <c r="DF196678">
        <v>108</v>
      </c>
      <c r="DG196678">
        <v>109</v>
      </c>
      <c r="DH196678">
        <v>110</v>
      </c>
      <c r="DI196678">
        <v>111</v>
      </c>
      <c r="DJ196678">
        <v>112</v>
      </c>
      <c r="DK196678">
        <v>113</v>
      </c>
      <c r="DL196678">
        <v>114</v>
      </c>
      <c r="DM196678">
        <v>115</v>
      </c>
      <c r="DN196678">
        <v>116</v>
      </c>
      <c r="DO196678">
        <v>117</v>
      </c>
      <c r="DP196678">
        <v>118</v>
      </c>
      <c r="DQ196678">
        <v>119</v>
      </c>
      <c r="DR196678">
        <v>120</v>
      </c>
      <c r="DS196678">
        <v>121</v>
      </c>
      <c r="DT196678">
        <v>122</v>
      </c>
      <c r="DU196678">
        <v>123</v>
      </c>
      <c r="DV196678">
        <v>124</v>
      </c>
      <c r="DW196678">
        <v>125</v>
      </c>
      <c r="DX196678">
        <v>126</v>
      </c>
      <c r="DY196678">
        <v>127</v>
      </c>
      <c r="DZ196678">
        <v>128</v>
      </c>
      <c r="EA196678">
        <v>129</v>
      </c>
      <c r="EB196678">
        <v>130</v>
      </c>
      <c r="EC196678">
        <v>131</v>
      </c>
      <c r="ED196678">
        <v>132</v>
      </c>
      <c r="EE196678">
        <v>133</v>
      </c>
      <c r="EF196678">
        <v>134</v>
      </c>
      <c r="EG196678">
        <v>135</v>
      </c>
      <c r="EH196678">
        <v>136</v>
      </c>
      <c r="EI196678">
        <v>137</v>
      </c>
      <c r="EJ196678">
        <v>138</v>
      </c>
      <c r="EK196678">
        <v>139</v>
      </c>
      <c r="EL196678">
        <v>140</v>
      </c>
      <c r="EM196678">
        <v>141</v>
      </c>
      <c r="EN196678">
        <v>142</v>
      </c>
      <c r="EO196678">
        <v>143</v>
      </c>
      <c r="EP196678">
        <v>144</v>
      </c>
    </row>
    <row r="196679" spans="2:146">
      <c r="CE196679" t="s">
        <v>451</v>
      </c>
    </row>
    <row r="212994" spans="2:2">
      <c r="B212994">
        <v>200</v>
      </c>
    </row>
    <row r="212995" spans="2:2">
      <c r="B212995">
        <v>200</v>
      </c>
    </row>
    <row r="212996" spans="2:2">
      <c r="B212996">
        <v>800</v>
      </c>
    </row>
    <row r="212997" spans="2:2">
      <c r="B212997">
        <v>200</v>
      </c>
    </row>
    <row r="212998" spans="2:2">
      <c r="B212998">
        <v>1044</v>
      </c>
    </row>
    <row r="212999" spans="2:2">
      <c r="B212999">
        <v>998.40000000000009</v>
      </c>
    </row>
    <row r="213000" spans="2:2">
      <c r="B213000">
        <v>272</v>
      </c>
    </row>
    <row r="213001" spans="2:2">
      <c r="B213001">
        <v>200</v>
      </c>
    </row>
    <row r="213002" spans="2:2">
      <c r="B213002">
        <v>214</v>
      </c>
    </row>
    <row r="213003" spans="2:2">
      <c r="B213003">
        <v>200</v>
      </c>
    </row>
    <row r="213004" spans="2:2">
      <c r="B213004">
        <v>152</v>
      </c>
    </row>
    <row r="213005" spans="2:2">
      <c r="B213005">
        <v>200</v>
      </c>
    </row>
    <row r="213006" spans="2:2">
      <c r="B213006">
        <v>300</v>
      </c>
    </row>
    <row r="213007" spans="2:2">
      <c r="B213007">
        <v>104</v>
      </c>
    </row>
    <row r="213008" spans="2:2">
      <c r="B213008">
        <v>162</v>
      </c>
    </row>
    <row r="213009" spans="2:2">
      <c r="B213009">
        <v>200</v>
      </c>
    </row>
    <row r="213010" spans="2:2">
      <c r="B213010">
        <v>200</v>
      </c>
    </row>
    <row r="213011" spans="2:2">
      <c r="B213011">
        <v>200</v>
      </c>
    </row>
    <row r="213012" spans="2:2">
      <c r="B213012">
        <v>200</v>
      </c>
    </row>
    <row r="213013" spans="2:2">
      <c r="B213013">
        <v>200</v>
      </c>
    </row>
    <row r="213014" spans="2:2">
      <c r="B213014">
        <v>200</v>
      </c>
    </row>
    <row r="213015" spans="2:2">
      <c r="B213015">
        <v>200</v>
      </c>
    </row>
    <row r="213016" spans="2:2">
      <c r="B213016">
        <v>200</v>
      </c>
    </row>
    <row r="213017" spans="2:2">
      <c r="B213017">
        <v>800</v>
      </c>
    </row>
    <row r="213018" spans="2:2">
      <c r="B213018">
        <v>300</v>
      </c>
    </row>
    <row r="213019" spans="2:2">
      <c r="B213019">
        <v>778</v>
      </c>
    </row>
    <row r="213020" spans="2:2">
      <c r="B213020">
        <v>614</v>
      </c>
    </row>
    <row r="213021" spans="2:2">
      <c r="B213021">
        <v>444</v>
      </c>
    </row>
    <row r="213022" spans="2:2">
      <c r="B213022">
        <v>800</v>
      </c>
    </row>
    <row r="213023" spans="2:2">
      <c r="B213023">
        <v>200</v>
      </c>
    </row>
    <row r="213024" spans="2:2">
      <c r="B213024">
        <v>780</v>
      </c>
    </row>
    <row r="213025" spans="2:146">
      <c r="B213025">
        <v>174</v>
      </c>
    </row>
    <row r="213026" spans="2:146">
      <c r="B213026">
        <v>194</v>
      </c>
    </row>
    <row r="213027" spans="2:146">
      <c r="B213027">
        <v>782</v>
      </c>
    </row>
    <row r="213028" spans="2:146">
      <c r="B213028">
        <v>236</v>
      </c>
    </row>
    <row r="213029" spans="2:146">
      <c r="B213029">
        <v>144</v>
      </c>
    </row>
    <row r="213030" spans="2:146">
      <c r="B213030">
        <v>200</v>
      </c>
    </row>
    <row r="213031" spans="2:146">
      <c r="B213031">
        <v>240</v>
      </c>
    </row>
    <row r="213032" spans="2:146">
      <c r="B213032">
        <v>200</v>
      </c>
    </row>
    <row r="213033" spans="2:146">
      <c r="B213033">
        <v>612</v>
      </c>
    </row>
    <row r="213034" spans="2:146">
      <c r="B213034">
        <v>156</v>
      </c>
    </row>
    <row r="213035" spans="2:146">
      <c r="B213035">
        <v>116</v>
      </c>
    </row>
    <row r="213036" spans="2:146">
      <c r="B213036">
        <v>160</v>
      </c>
    </row>
    <row r="213037" spans="2:146">
      <c r="B213037">
        <v>80</v>
      </c>
      <c r="EL213037">
        <v>0.66</v>
      </c>
      <c r="EM213037">
        <v>0.66</v>
      </c>
      <c r="EN213037">
        <v>0.66</v>
      </c>
      <c r="EO213037">
        <v>0.66</v>
      </c>
      <c r="EP213037">
        <v>0.66</v>
      </c>
    </row>
    <row r="213038" spans="2:146">
      <c r="B213038">
        <v>1144</v>
      </c>
      <c r="BV213038">
        <v>5.0999999999999996</v>
      </c>
      <c r="BW213038">
        <v>5.0999999999999996</v>
      </c>
      <c r="DB213038">
        <v>10.210000000000001</v>
      </c>
      <c r="DC213038">
        <v>10.210000000000001</v>
      </c>
      <c r="DD213038">
        <v>10.210000000000001</v>
      </c>
      <c r="DE213038">
        <v>10.210000000000001</v>
      </c>
      <c r="DF213038">
        <v>10.210000000000001</v>
      </c>
      <c r="DG213038">
        <v>10.210000000000001</v>
      </c>
      <c r="DH213038">
        <v>10.210000000000001</v>
      </c>
    </row>
    <row r="213039" spans="2:146">
      <c r="B213039">
        <v>1240</v>
      </c>
      <c r="EE213039">
        <v>8.15</v>
      </c>
      <c r="EF213039">
        <v>8.15</v>
      </c>
      <c r="EG213039">
        <v>8.15</v>
      </c>
      <c r="EH213039">
        <v>8.15</v>
      </c>
      <c r="EI213039">
        <v>8.15</v>
      </c>
      <c r="EJ213039">
        <v>8.15</v>
      </c>
      <c r="EK213039">
        <v>8.15</v>
      </c>
    </row>
    <row r="213040" spans="2:146">
      <c r="B213040">
        <v>2083.2000000000003</v>
      </c>
      <c r="DI213040">
        <v>20.03</v>
      </c>
      <c r="DJ213040">
        <v>20.03</v>
      </c>
      <c r="DQ213040">
        <v>20.03</v>
      </c>
      <c r="DT213040">
        <v>20.03</v>
      </c>
      <c r="DW213040">
        <v>20.03</v>
      </c>
    </row>
    <row r="213041" spans="2:134">
      <c r="B213041">
        <v>357.20000000000005</v>
      </c>
      <c r="DI213041">
        <v>3.88</v>
      </c>
      <c r="DJ213041">
        <v>3.88</v>
      </c>
      <c r="DV213041">
        <v>3.88</v>
      </c>
      <c r="DW213041">
        <v>3.88</v>
      </c>
    </row>
    <row r="213042" spans="2:134">
      <c r="B213042">
        <v>391.20000000000005</v>
      </c>
      <c r="DI213042">
        <v>3.62</v>
      </c>
      <c r="DJ213042">
        <v>3.62</v>
      </c>
      <c r="DR213042">
        <v>3.62</v>
      </c>
      <c r="DU213042">
        <v>3.62</v>
      </c>
      <c r="DV213042">
        <v>3.62</v>
      </c>
    </row>
    <row r="213043" spans="2:134">
      <c r="B213043">
        <v>762.80000000000007</v>
      </c>
      <c r="DI213043">
        <v>6.15</v>
      </c>
      <c r="DJ213043">
        <v>6.15</v>
      </c>
      <c r="DQ213043">
        <v>6.15</v>
      </c>
      <c r="DR213043">
        <v>6.15</v>
      </c>
      <c r="DS213043">
        <v>6.15</v>
      </c>
      <c r="DT213043">
        <v>6.15</v>
      </c>
    </row>
    <row r="213044" spans="2:134">
      <c r="B213044">
        <v>1280</v>
      </c>
      <c r="DI213044">
        <v>10.66</v>
      </c>
      <c r="DJ213044">
        <v>10.66</v>
      </c>
      <c r="DK213044">
        <v>10.66</v>
      </c>
      <c r="DL213044">
        <v>10.66</v>
      </c>
      <c r="DM213044">
        <v>10.66</v>
      </c>
      <c r="DN213044">
        <v>10.66</v>
      </c>
    </row>
    <row r="213045" spans="2:134">
      <c r="B213045">
        <v>234</v>
      </c>
      <c r="CT213045">
        <v>2.5</v>
      </c>
      <c r="CU213045">
        <v>2.5</v>
      </c>
      <c r="CV213045">
        <v>2.5</v>
      </c>
    </row>
    <row r="213046" spans="2:134">
      <c r="B213046">
        <v>354</v>
      </c>
      <c r="CY213046">
        <v>3.98</v>
      </c>
      <c r="CZ213046">
        <v>3.98</v>
      </c>
      <c r="DA213046">
        <v>3.98</v>
      </c>
    </row>
    <row r="213047" spans="2:134">
      <c r="B213047">
        <v>392</v>
      </c>
      <c r="DI213047">
        <v>3.52</v>
      </c>
      <c r="DJ213047">
        <v>3.52</v>
      </c>
      <c r="DL213047">
        <v>3.52</v>
      </c>
      <c r="DO213047">
        <v>3.52</v>
      </c>
    </row>
    <row r="213048" spans="2:134">
      <c r="B213048">
        <v>304</v>
      </c>
      <c r="CE213048">
        <v>3.8</v>
      </c>
      <c r="CF213048">
        <v>3.8</v>
      </c>
    </row>
    <row r="213049" spans="2:134">
      <c r="B213049">
        <v>144</v>
      </c>
      <c r="DZ213049">
        <v>1.62</v>
      </c>
      <c r="EA213049">
        <v>1.62</v>
      </c>
      <c r="EB213049">
        <v>1.62</v>
      </c>
      <c r="EC213049">
        <v>0.81</v>
      </c>
      <c r="ED213049">
        <v>0.81</v>
      </c>
    </row>
    <row r="213050" spans="2:134">
      <c r="B213050">
        <v>602.40000000000009</v>
      </c>
      <c r="BY213050">
        <v>6.02</v>
      </c>
      <c r="BZ213050">
        <v>6.02</v>
      </c>
      <c r="CB213050">
        <v>3.01</v>
      </c>
      <c r="CC213050">
        <v>3.01</v>
      </c>
      <c r="CD213050">
        <v>3.01</v>
      </c>
      <c r="CI213050">
        <v>6.02</v>
      </c>
      <c r="CJ213050">
        <v>6.02</v>
      </c>
      <c r="CK213050">
        <v>6.02</v>
      </c>
    </row>
    <row r="213051" spans="2:134">
      <c r="B213051">
        <v>307.60000000000002</v>
      </c>
      <c r="BY213051">
        <v>3.34</v>
      </c>
      <c r="BZ213051">
        <v>3.34</v>
      </c>
      <c r="CG213051">
        <v>3.34</v>
      </c>
      <c r="CH213051">
        <v>3.34</v>
      </c>
    </row>
    <row r="213052" spans="2:134">
      <c r="B213052">
        <v>358</v>
      </c>
      <c r="BY213052">
        <v>2.37</v>
      </c>
      <c r="BZ213052">
        <v>2.37</v>
      </c>
      <c r="CA213052">
        <v>2.37</v>
      </c>
      <c r="DX213052">
        <v>4.74</v>
      </c>
      <c r="DY213052">
        <v>4.74</v>
      </c>
    </row>
    <row r="213053" spans="2:134">
      <c r="B213053">
        <v>286</v>
      </c>
      <c r="BT213053">
        <v>1.43</v>
      </c>
      <c r="BV213053">
        <v>1.43</v>
      </c>
      <c r="BW213053">
        <v>1.43</v>
      </c>
      <c r="BX213053">
        <v>1.43</v>
      </c>
      <c r="CO213053">
        <v>2.86</v>
      </c>
      <c r="CP213053">
        <v>2.86</v>
      </c>
      <c r="CQ213053">
        <v>2.86</v>
      </c>
      <c r="CR213053">
        <v>2.86</v>
      </c>
      <c r="CS213053">
        <v>2.86</v>
      </c>
    </row>
    <row r="213054" spans="2:134">
      <c r="B213054">
        <v>410</v>
      </c>
      <c r="BY213054">
        <v>2.88</v>
      </c>
      <c r="BZ213054">
        <v>2.88</v>
      </c>
      <c r="CA213054">
        <v>2.88</v>
      </c>
      <c r="CW213054">
        <v>5.76</v>
      </c>
      <c r="CX213054">
        <v>5.76</v>
      </c>
    </row>
    <row r="213055" spans="2:134">
      <c r="B213055">
        <v>346</v>
      </c>
      <c r="BR213055">
        <v>3.6</v>
      </c>
      <c r="BS213055">
        <v>3.6</v>
      </c>
      <c r="BT213055">
        <v>1.8</v>
      </c>
      <c r="CL213055">
        <v>3.6</v>
      </c>
      <c r="CM213055">
        <v>3.6</v>
      </c>
      <c r="CN213055">
        <v>3.6</v>
      </c>
    </row>
    <row r="213056" spans="2:134">
      <c r="B213056">
        <v>302</v>
      </c>
      <c r="BR213056">
        <v>3.28</v>
      </c>
      <c r="BS213056">
        <v>3.28</v>
      </c>
      <c r="BT213056">
        <v>1.64</v>
      </c>
      <c r="BU213056">
        <v>1.64</v>
      </c>
      <c r="CL213056">
        <v>3.28</v>
      </c>
      <c r="CM213056">
        <v>3.28</v>
      </c>
      <c r="CN213056">
        <v>3.28</v>
      </c>
    </row>
    <row r="213057" spans="2:146">
      <c r="B213057">
        <v>204</v>
      </c>
      <c r="BR213057">
        <v>2.12</v>
      </c>
      <c r="BS213057">
        <v>2.12</v>
      </c>
      <c r="BT213057">
        <v>1.06</v>
      </c>
      <c r="CL213057">
        <v>2.12</v>
      </c>
      <c r="CM213057">
        <v>2.12</v>
      </c>
      <c r="CN213057">
        <v>2.12</v>
      </c>
    </row>
    <row r="213059" spans="2:146">
      <c r="B213059">
        <v>26358.800000000003</v>
      </c>
      <c r="BQ213059">
        <v>0</v>
      </c>
      <c r="BR213059">
        <v>9</v>
      </c>
      <c r="BS213059">
        <v>9</v>
      </c>
      <c r="BT213059">
        <v>5.93</v>
      </c>
      <c r="BU213059">
        <v>1.64</v>
      </c>
      <c r="BV213059">
        <v>6.5299999999999994</v>
      </c>
      <c r="BW213059">
        <v>6.5299999999999994</v>
      </c>
      <c r="BX213059">
        <v>1.43</v>
      </c>
      <c r="BY213059">
        <v>14.61</v>
      </c>
      <c r="BZ213059">
        <v>14.61</v>
      </c>
      <c r="CA213059">
        <v>5.25</v>
      </c>
      <c r="CB213059">
        <v>3.01</v>
      </c>
      <c r="CC213059">
        <v>3.01</v>
      </c>
      <c r="CD213059">
        <v>3.01</v>
      </c>
      <c r="CE213059">
        <v>3.8</v>
      </c>
      <c r="CF213059">
        <v>3.8</v>
      </c>
      <c r="CG213059">
        <v>3.34</v>
      </c>
      <c r="CH213059">
        <v>3.34</v>
      </c>
      <c r="CI213059">
        <v>6.02</v>
      </c>
      <c r="CJ213059">
        <v>6.02</v>
      </c>
      <c r="CK213059">
        <v>6.02</v>
      </c>
      <c r="CL213059">
        <v>9</v>
      </c>
      <c r="CM213059">
        <v>9</v>
      </c>
      <c r="CN213059">
        <v>9</v>
      </c>
      <c r="CO213059">
        <v>2.86</v>
      </c>
      <c r="CP213059">
        <v>2.86</v>
      </c>
      <c r="CQ213059">
        <v>2.86</v>
      </c>
      <c r="CR213059">
        <v>2.86</v>
      </c>
      <c r="CS213059">
        <v>2.86</v>
      </c>
      <c r="CT213059">
        <v>2.5</v>
      </c>
      <c r="CU213059">
        <v>2.5</v>
      </c>
      <c r="CV213059">
        <v>2.5</v>
      </c>
      <c r="CW213059">
        <v>5.76</v>
      </c>
      <c r="CX213059">
        <v>5.76</v>
      </c>
      <c r="CY213059">
        <v>3.98</v>
      </c>
      <c r="CZ213059">
        <v>3.98</v>
      </c>
      <c r="DA213059">
        <v>3.98</v>
      </c>
      <c r="DB213059">
        <v>10.210000000000001</v>
      </c>
      <c r="DC213059">
        <v>10.210000000000001</v>
      </c>
      <c r="DD213059">
        <v>10.210000000000001</v>
      </c>
      <c r="DE213059">
        <v>10.210000000000001</v>
      </c>
      <c r="DF213059">
        <v>10.210000000000001</v>
      </c>
      <c r="DG213059">
        <v>10.210000000000001</v>
      </c>
      <c r="DH213059">
        <v>10.210000000000001</v>
      </c>
      <c r="DI213059">
        <v>47.860000000000007</v>
      </c>
      <c r="DJ213059">
        <v>47.860000000000007</v>
      </c>
      <c r="DK213059">
        <v>10.66</v>
      </c>
      <c r="DL213059">
        <v>14.18</v>
      </c>
      <c r="DM213059">
        <v>10.66</v>
      </c>
      <c r="DN213059">
        <v>10.66</v>
      </c>
      <c r="DO213059">
        <v>3.52</v>
      </c>
      <c r="DP213059">
        <v>0</v>
      </c>
      <c r="DQ213059">
        <v>26.18</v>
      </c>
      <c r="DR213059">
        <v>9.77</v>
      </c>
      <c r="DS213059">
        <v>6.15</v>
      </c>
      <c r="DT213059">
        <v>26.18</v>
      </c>
      <c r="DU213059">
        <v>3.62</v>
      </c>
      <c r="DV213059">
        <v>7.5</v>
      </c>
      <c r="DW213059">
        <v>23.91</v>
      </c>
      <c r="DX213059">
        <v>4.74</v>
      </c>
      <c r="DY213059">
        <v>4.74</v>
      </c>
      <c r="DZ213059">
        <v>1.62</v>
      </c>
      <c r="EA213059">
        <v>1.62</v>
      </c>
      <c r="EB213059">
        <v>1.62</v>
      </c>
      <c r="EC213059">
        <v>0.81</v>
      </c>
      <c r="ED213059">
        <v>0.81</v>
      </c>
      <c r="EE213059">
        <v>8.15</v>
      </c>
      <c r="EF213059">
        <v>8.15</v>
      </c>
      <c r="EG213059">
        <v>8.15</v>
      </c>
      <c r="EH213059">
        <v>8.15</v>
      </c>
      <c r="EI213059">
        <v>8.15</v>
      </c>
      <c r="EJ213059">
        <v>8.15</v>
      </c>
      <c r="EK213059">
        <v>8.15</v>
      </c>
      <c r="EL213059">
        <v>0.66</v>
      </c>
      <c r="EM213059">
        <v>0.66</v>
      </c>
      <c r="EN213059">
        <v>0.66</v>
      </c>
      <c r="EO213059">
        <v>0.66</v>
      </c>
      <c r="EP213059">
        <v>0.66</v>
      </c>
    </row>
    <row r="213060" spans="2:146">
      <c r="B213060" t="s">
        <v>265</v>
      </c>
      <c r="BQ213060" t="s">
        <v>345</v>
      </c>
      <c r="BR213060" t="s">
        <v>131</v>
      </c>
      <c r="BS213060" t="s">
        <v>131</v>
      </c>
      <c r="BT213060" t="s">
        <v>357</v>
      </c>
      <c r="BU213060" t="s">
        <v>131</v>
      </c>
      <c r="BV213060" t="s">
        <v>360</v>
      </c>
      <c r="BW213060" t="s">
        <v>360</v>
      </c>
      <c r="BX213060" t="s">
        <v>360</v>
      </c>
      <c r="BY213060" t="s">
        <v>364</v>
      </c>
      <c r="BZ213060" t="s">
        <v>364</v>
      </c>
      <c r="CA213060" t="s">
        <v>364</v>
      </c>
      <c r="CB213060" t="s">
        <v>368</v>
      </c>
      <c r="CC213060" t="s">
        <v>368</v>
      </c>
      <c r="CD213060" t="s">
        <v>368</v>
      </c>
      <c r="CE213060" t="s">
        <v>352</v>
      </c>
      <c r="CF213060" t="s">
        <v>352</v>
      </c>
      <c r="CG213060" t="s">
        <v>372</v>
      </c>
      <c r="CH213060" t="s">
        <v>372</v>
      </c>
      <c r="CI213060" t="s">
        <v>375</v>
      </c>
      <c r="CJ213060" t="s">
        <v>375</v>
      </c>
      <c r="CK213060" t="s">
        <v>375</v>
      </c>
      <c r="CL213060" t="s">
        <v>379</v>
      </c>
      <c r="CM213060" t="s">
        <v>379</v>
      </c>
      <c r="CN213060" t="s">
        <v>379</v>
      </c>
      <c r="CO213060" t="s">
        <v>383</v>
      </c>
      <c r="CP213060" t="s">
        <v>383</v>
      </c>
      <c r="CQ213060" t="s">
        <v>383</v>
      </c>
      <c r="CR213060" t="s">
        <v>383</v>
      </c>
      <c r="CS213060" t="s">
        <v>383</v>
      </c>
      <c r="CT213060" t="s">
        <v>389</v>
      </c>
      <c r="CU213060" t="s">
        <v>389</v>
      </c>
      <c r="CV213060" t="s">
        <v>389</v>
      </c>
      <c r="CW213060" t="s">
        <v>393</v>
      </c>
      <c r="CX213060" t="s">
        <v>393</v>
      </c>
      <c r="CY213060" t="s">
        <v>396</v>
      </c>
      <c r="CZ213060" t="s">
        <v>396</v>
      </c>
      <c r="DA213060" t="s">
        <v>396</v>
      </c>
      <c r="DB213060" t="s">
        <v>400</v>
      </c>
      <c r="DC213060" t="s">
        <v>400</v>
      </c>
      <c r="DD213060" t="s">
        <v>400</v>
      </c>
      <c r="DE213060" t="s">
        <v>400</v>
      </c>
      <c r="DF213060" t="s">
        <v>400</v>
      </c>
      <c r="DG213060" t="s">
        <v>400</v>
      </c>
      <c r="DH213060" t="s">
        <v>400</v>
      </c>
      <c r="DI213060" t="s">
        <v>121</v>
      </c>
      <c r="DJ213060" t="s">
        <v>121</v>
      </c>
      <c r="DK213060" t="s">
        <v>121</v>
      </c>
      <c r="DL213060" t="s">
        <v>121</v>
      </c>
      <c r="DM213060" t="s">
        <v>121</v>
      </c>
      <c r="DN213060" t="s">
        <v>121</v>
      </c>
      <c r="DO213060" t="s">
        <v>121</v>
      </c>
      <c r="DP213060" t="s">
        <v>121</v>
      </c>
      <c r="DQ213060" t="s">
        <v>121</v>
      </c>
      <c r="DR213060" t="s">
        <v>121</v>
      </c>
      <c r="DS213060" t="s">
        <v>121</v>
      </c>
      <c r="DT213060" t="s">
        <v>121</v>
      </c>
      <c r="DU213060" t="s">
        <v>121</v>
      </c>
      <c r="DV213060" t="s">
        <v>121</v>
      </c>
      <c r="DW213060" t="s">
        <v>121</v>
      </c>
      <c r="DX213060" t="s">
        <v>423</v>
      </c>
      <c r="DY213060" t="s">
        <v>423</v>
      </c>
      <c r="DZ213060" t="s">
        <v>426</v>
      </c>
      <c r="EA213060" t="s">
        <v>426</v>
      </c>
      <c r="EB213060" t="s">
        <v>426</v>
      </c>
      <c r="EC213060" t="s">
        <v>426</v>
      </c>
      <c r="ED213060" t="s">
        <v>426</v>
      </c>
      <c r="EE213060" t="s">
        <v>432</v>
      </c>
      <c r="EF213060" t="s">
        <v>432</v>
      </c>
      <c r="EG213060" t="s">
        <v>432</v>
      </c>
      <c r="EH213060" t="s">
        <v>432</v>
      </c>
      <c r="EI213060" t="s">
        <v>432</v>
      </c>
      <c r="EJ213060" t="s">
        <v>432</v>
      </c>
      <c r="EK213060" t="s">
        <v>432</v>
      </c>
      <c r="EL213060" t="s">
        <v>440</v>
      </c>
      <c r="EM213060" t="s">
        <v>440</v>
      </c>
      <c r="EN213060" t="s">
        <v>440</v>
      </c>
      <c r="EO213060" t="s">
        <v>440</v>
      </c>
      <c r="EP213060" t="s">
        <v>440</v>
      </c>
    </row>
    <row r="213061" spans="2:146">
      <c r="BQ213061" t="s">
        <v>351</v>
      </c>
      <c r="BR213061" t="s">
        <v>355</v>
      </c>
      <c r="BS213061" t="s">
        <v>356</v>
      </c>
      <c r="BT213061" t="s">
        <v>358</v>
      </c>
      <c r="BU213061" t="s">
        <v>359</v>
      </c>
      <c r="BV213061" t="s">
        <v>361</v>
      </c>
      <c r="BW213061" t="s">
        <v>362</v>
      </c>
      <c r="BX213061" t="s">
        <v>363</v>
      </c>
      <c r="BY213061" t="s">
        <v>365</v>
      </c>
      <c r="BZ213061" t="s">
        <v>366</v>
      </c>
      <c r="CA213061" t="s">
        <v>367</v>
      </c>
      <c r="CB213061" t="s">
        <v>369</v>
      </c>
      <c r="CC213061" t="s">
        <v>370</v>
      </c>
      <c r="CD213061" t="s">
        <v>371</v>
      </c>
      <c r="CE213061" t="s">
        <v>353</v>
      </c>
      <c r="CF213061" t="s">
        <v>354</v>
      </c>
      <c r="CG213061" t="s">
        <v>373</v>
      </c>
      <c r="CH213061" t="s">
        <v>374</v>
      </c>
      <c r="CI213061" t="s">
        <v>376</v>
      </c>
      <c r="CJ213061" t="s">
        <v>377</v>
      </c>
      <c r="CK213061" t="s">
        <v>378</v>
      </c>
      <c r="CL213061" t="s">
        <v>380</v>
      </c>
      <c r="CM213061" t="s">
        <v>381</v>
      </c>
      <c r="CN213061" t="s">
        <v>382</v>
      </c>
      <c r="CO213061" t="s">
        <v>384</v>
      </c>
      <c r="CP213061" t="s">
        <v>385</v>
      </c>
      <c r="CQ213061" t="s">
        <v>386</v>
      </c>
      <c r="CR213061" t="s">
        <v>387</v>
      </c>
      <c r="CS213061" t="s">
        <v>388</v>
      </c>
      <c r="CT213061" t="s">
        <v>390</v>
      </c>
      <c r="CU213061" t="s">
        <v>391</v>
      </c>
      <c r="CV213061" t="s">
        <v>392</v>
      </c>
      <c r="CW213061" t="s">
        <v>394</v>
      </c>
      <c r="CX213061" t="s">
        <v>395</v>
      </c>
      <c r="CY213061" t="s">
        <v>397</v>
      </c>
      <c r="CZ213061" t="s">
        <v>398</v>
      </c>
      <c r="DA213061" t="s">
        <v>399</v>
      </c>
      <c r="DB213061" t="s">
        <v>401</v>
      </c>
      <c r="DC213061" t="s">
        <v>402</v>
      </c>
      <c r="DD213061" t="s">
        <v>403</v>
      </c>
      <c r="DE213061" t="s">
        <v>404</v>
      </c>
      <c r="DF213061" t="s">
        <v>405</v>
      </c>
      <c r="DG213061" t="s">
        <v>406</v>
      </c>
      <c r="DH213061" t="s">
        <v>407</v>
      </c>
      <c r="DI213061" t="s">
        <v>408</v>
      </c>
      <c r="DJ213061" t="s">
        <v>409</v>
      </c>
      <c r="DK213061" t="s">
        <v>410</v>
      </c>
      <c r="DL213061" t="s">
        <v>411</v>
      </c>
      <c r="DM213061" t="s">
        <v>412</v>
      </c>
      <c r="DN213061" t="s">
        <v>413</v>
      </c>
      <c r="DO213061" t="s">
        <v>414</v>
      </c>
      <c r="DP213061" t="s">
        <v>415</v>
      </c>
      <c r="DQ213061" t="s">
        <v>416</v>
      </c>
      <c r="DR213061" t="s">
        <v>417</v>
      </c>
      <c r="DS213061" t="s">
        <v>418</v>
      </c>
      <c r="DT213061" t="s">
        <v>419</v>
      </c>
      <c r="DU213061" t="s">
        <v>420</v>
      </c>
      <c r="DV213061" t="s">
        <v>421</v>
      </c>
      <c r="DW213061" t="s">
        <v>422</v>
      </c>
      <c r="DX213061" t="s">
        <v>424</v>
      </c>
      <c r="DY213061" t="s">
        <v>425</v>
      </c>
      <c r="DZ213061" t="s">
        <v>427</v>
      </c>
      <c r="EA213061" t="s">
        <v>428</v>
      </c>
      <c r="EB213061" t="s">
        <v>429</v>
      </c>
      <c r="EC213061" t="s">
        <v>430</v>
      </c>
      <c r="ED213061" t="s">
        <v>431</v>
      </c>
      <c r="EE213061" t="s">
        <v>433</v>
      </c>
      <c r="EF213061" t="s">
        <v>434</v>
      </c>
      <c r="EG213061" t="s">
        <v>435</v>
      </c>
      <c r="EH213061" t="s">
        <v>436</v>
      </c>
      <c r="EI213061" t="s">
        <v>437</v>
      </c>
      <c r="EJ213061" t="s">
        <v>438</v>
      </c>
      <c r="EK213061" t="s">
        <v>439</v>
      </c>
      <c r="EL213061" t="s">
        <v>441</v>
      </c>
      <c r="EM213061" t="s">
        <v>442</v>
      </c>
      <c r="EN213061" t="s">
        <v>443</v>
      </c>
      <c r="EO213061" t="s">
        <v>444</v>
      </c>
      <c r="EP213061" t="s">
        <v>445</v>
      </c>
    </row>
    <row r="213062" spans="2:146">
      <c r="BQ213062">
        <v>67</v>
      </c>
      <c r="BR213062">
        <v>68</v>
      </c>
      <c r="BS213062">
        <v>69</v>
      </c>
      <c r="BT213062">
        <v>70</v>
      </c>
      <c r="BU213062">
        <v>71</v>
      </c>
      <c r="BV213062">
        <v>72</v>
      </c>
      <c r="BW213062">
        <v>73</v>
      </c>
      <c r="BX213062">
        <v>74</v>
      </c>
      <c r="BY213062">
        <v>75</v>
      </c>
      <c r="BZ213062">
        <v>76</v>
      </c>
      <c r="CA213062">
        <v>77</v>
      </c>
      <c r="CB213062">
        <v>78</v>
      </c>
      <c r="CC213062">
        <v>79</v>
      </c>
      <c r="CD213062">
        <v>80</v>
      </c>
      <c r="CE213062">
        <v>81</v>
      </c>
      <c r="CF213062">
        <v>82</v>
      </c>
      <c r="CG213062">
        <v>83</v>
      </c>
      <c r="CH213062">
        <v>84</v>
      </c>
      <c r="CI213062">
        <v>85</v>
      </c>
      <c r="CJ213062">
        <v>86</v>
      </c>
      <c r="CK213062">
        <v>87</v>
      </c>
      <c r="CL213062">
        <v>88</v>
      </c>
      <c r="CM213062">
        <v>89</v>
      </c>
      <c r="CN213062">
        <v>90</v>
      </c>
      <c r="CO213062">
        <v>91</v>
      </c>
      <c r="CP213062">
        <v>92</v>
      </c>
      <c r="CQ213062">
        <v>93</v>
      </c>
      <c r="CR213062">
        <v>94</v>
      </c>
      <c r="CS213062">
        <v>95</v>
      </c>
      <c r="CT213062">
        <v>96</v>
      </c>
      <c r="CU213062">
        <v>97</v>
      </c>
      <c r="CV213062">
        <v>98</v>
      </c>
      <c r="CW213062">
        <v>99</v>
      </c>
      <c r="CX213062">
        <v>100</v>
      </c>
      <c r="CY213062">
        <v>101</v>
      </c>
      <c r="CZ213062">
        <v>102</v>
      </c>
      <c r="DA213062">
        <v>103</v>
      </c>
      <c r="DB213062">
        <v>104</v>
      </c>
      <c r="DC213062">
        <v>105</v>
      </c>
      <c r="DD213062">
        <v>106</v>
      </c>
      <c r="DE213062">
        <v>107</v>
      </c>
      <c r="DF213062">
        <v>108</v>
      </c>
      <c r="DG213062">
        <v>109</v>
      </c>
      <c r="DH213062">
        <v>110</v>
      </c>
      <c r="DI213062">
        <v>111</v>
      </c>
      <c r="DJ213062">
        <v>112</v>
      </c>
      <c r="DK213062">
        <v>113</v>
      </c>
      <c r="DL213062">
        <v>114</v>
      </c>
      <c r="DM213062">
        <v>115</v>
      </c>
      <c r="DN213062">
        <v>116</v>
      </c>
      <c r="DO213062">
        <v>117</v>
      </c>
      <c r="DP213062">
        <v>118</v>
      </c>
      <c r="DQ213062">
        <v>119</v>
      </c>
      <c r="DR213062">
        <v>120</v>
      </c>
      <c r="DS213062">
        <v>121</v>
      </c>
      <c r="DT213062">
        <v>122</v>
      </c>
      <c r="DU213062">
        <v>123</v>
      </c>
      <c r="DV213062">
        <v>124</v>
      </c>
      <c r="DW213062">
        <v>125</v>
      </c>
      <c r="DX213062">
        <v>126</v>
      </c>
      <c r="DY213062">
        <v>127</v>
      </c>
      <c r="DZ213062">
        <v>128</v>
      </c>
      <c r="EA213062">
        <v>129</v>
      </c>
      <c r="EB213062">
        <v>130</v>
      </c>
      <c r="EC213062">
        <v>131</v>
      </c>
      <c r="ED213062">
        <v>132</v>
      </c>
      <c r="EE213062">
        <v>133</v>
      </c>
      <c r="EF213062">
        <v>134</v>
      </c>
      <c r="EG213062">
        <v>135</v>
      </c>
      <c r="EH213062">
        <v>136</v>
      </c>
      <c r="EI213062">
        <v>137</v>
      </c>
      <c r="EJ213062">
        <v>138</v>
      </c>
      <c r="EK213062">
        <v>139</v>
      </c>
      <c r="EL213062">
        <v>140</v>
      </c>
      <c r="EM213062">
        <v>141</v>
      </c>
      <c r="EN213062">
        <v>142</v>
      </c>
      <c r="EO213062">
        <v>143</v>
      </c>
      <c r="EP213062">
        <v>144</v>
      </c>
    </row>
    <row r="213063" spans="2:146">
      <c r="CE213063" t="s">
        <v>451</v>
      </c>
    </row>
    <row r="229378" spans="2:2">
      <c r="B229378">
        <v>200</v>
      </c>
    </row>
    <row r="229379" spans="2:2">
      <c r="B229379">
        <v>200</v>
      </c>
    </row>
    <row r="229380" spans="2:2">
      <c r="B229380">
        <v>800</v>
      </c>
    </row>
    <row r="229381" spans="2:2">
      <c r="B229381">
        <v>200</v>
      </c>
    </row>
    <row r="229382" spans="2:2">
      <c r="B229382">
        <v>1044</v>
      </c>
    </row>
    <row r="229383" spans="2:2">
      <c r="B229383">
        <v>998.40000000000009</v>
      </c>
    </row>
    <row r="229384" spans="2:2">
      <c r="B229384">
        <v>272</v>
      </c>
    </row>
    <row r="229385" spans="2:2">
      <c r="B229385">
        <v>200</v>
      </c>
    </row>
    <row r="229386" spans="2:2">
      <c r="B229386">
        <v>214</v>
      </c>
    </row>
    <row r="229387" spans="2:2">
      <c r="B229387">
        <v>200</v>
      </c>
    </row>
    <row r="229388" spans="2:2">
      <c r="B229388">
        <v>152</v>
      </c>
    </row>
    <row r="229389" spans="2:2">
      <c r="B229389">
        <v>200</v>
      </c>
    </row>
    <row r="229390" spans="2:2">
      <c r="B229390">
        <v>300</v>
      </c>
    </row>
    <row r="229391" spans="2:2">
      <c r="B229391">
        <v>104</v>
      </c>
    </row>
    <row r="229392" spans="2:2">
      <c r="B229392">
        <v>162</v>
      </c>
    </row>
    <row r="229393" spans="2:2">
      <c r="B229393">
        <v>200</v>
      </c>
    </row>
    <row r="229394" spans="2:2">
      <c r="B229394">
        <v>200</v>
      </c>
    </row>
    <row r="229395" spans="2:2">
      <c r="B229395">
        <v>200</v>
      </c>
    </row>
    <row r="229396" spans="2:2">
      <c r="B229396">
        <v>200</v>
      </c>
    </row>
    <row r="229397" spans="2:2">
      <c r="B229397">
        <v>200</v>
      </c>
    </row>
    <row r="229398" spans="2:2">
      <c r="B229398">
        <v>200</v>
      </c>
    </row>
    <row r="229399" spans="2:2">
      <c r="B229399">
        <v>200</v>
      </c>
    </row>
    <row r="229400" spans="2:2">
      <c r="B229400">
        <v>200</v>
      </c>
    </row>
    <row r="229401" spans="2:2">
      <c r="B229401">
        <v>800</v>
      </c>
    </row>
    <row r="229402" spans="2:2">
      <c r="B229402">
        <v>300</v>
      </c>
    </row>
    <row r="229403" spans="2:2">
      <c r="B229403">
        <v>778</v>
      </c>
    </row>
    <row r="229404" spans="2:2">
      <c r="B229404">
        <v>614</v>
      </c>
    </row>
    <row r="229405" spans="2:2">
      <c r="B229405">
        <v>444</v>
      </c>
    </row>
    <row r="229406" spans="2:2">
      <c r="B229406">
        <v>800</v>
      </c>
    </row>
    <row r="229407" spans="2:2">
      <c r="B229407">
        <v>200</v>
      </c>
    </row>
    <row r="229408" spans="2:2">
      <c r="B229408">
        <v>780</v>
      </c>
    </row>
    <row r="229409" spans="2:146">
      <c r="B229409">
        <v>174</v>
      </c>
    </row>
    <row r="229410" spans="2:146">
      <c r="B229410">
        <v>194</v>
      </c>
    </row>
    <row r="229411" spans="2:146">
      <c r="B229411">
        <v>782</v>
      </c>
    </row>
    <row r="229412" spans="2:146">
      <c r="B229412">
        <v>236</v>
      </c>
    </row>
    <row r="229413" spans="2:146">
      <c r="B229413">
        <v>144</v>
      </c>
    </row>
    <row r="229414" spans="2:146">
      <c r="B229414">
        <v>200</v>
      </c>
    </row>
    <row r="229415" spans="2:146">
      <c r="B229415">
        <v>240</v>
      </c>
    </row>
    <row r="229416" spans="2:146">
      <c r="B229416">
        <v>200</v>
      </c>
    </row>
    <row r="229417" spans="2:146">
      <c r="B229417">
        <v>612</v>
      </c>
    </row>
    <row r="229418" spans="2:146">
      <c r="B229418">
        <v>156</v>
      </c>
    </row>
    <row r="229419" spans="2:146">
      <c r="B229419">
        <v>116</v>
      </c>
    </row>
    <row r="229420" spans="2:146">
      <c r="B229420">
        <v>160</v>
      </c>
    </row>
    <row r="229421" spans="2:146">
      <c r="B229421">
        <v>80</v>
      </c>
      <c r="EL229421">
        <v>0.66</v>
      </c>
      <c r="EM229421">
        <v>0.66</v>
      </c>
      <c r="EN229421">
        <v>0.66</v>
      </c>
      <c r="EO229421">
        <v>0.66</v>
      </c>
      <c r="EP229421">
        <v>0.66</v>
      </c>
    </row>
    <row r="229422" spans="2:146">
      <c r="B229422">
        <v>1144</v>
      </c>
      <c r="BV229422">
        <v>5.0999999999999996</v>
      </c>
      <c r="BW229422">
        <v>5.0999999999999996</v>
      </c>
      <c r="DB229422">
        <v>10.210000000000001</v>
      </c>
      <c r="DC229422">
        <v>10.210000000000001</v>
      </c>
      <c r="DD229422">
        <v>10.210000000000001</v>
      </c>
      <c r="DE229422">
        <v>10.210000000000001</v>
      </c>
      <c r="DF229422">
        <v>10.210000000000001</v>
      </c>
      <c r="DG229422">
        <v>10.210000000000001</v>
      </c>
      <c r="DH229422">
        <v>10.210000000000001</v>
      </c>
    </row>
    <row r="229423" spans="2:146">
      <c r="B229423">
        <v>1240</v>
      </c>
      <c r="EE229423">
        <v>8.15</v>
      </c>
      <c r="EF229423">
        <v>8.15</v>
      </c>
      <c r="EG229423">
        <v>8.15</v>
      </c>
      <c r="EH229423">
        <v>8.15</v>
      </c>
      <c r="EI229423">
        <v>8.15</v>
      </c>
      <c r="EJ229423">
        <v>8.15</v>
      </c>
      <c r="EK229423">
        <v>8.15</v>
      </c>
    </row>
    <row r="229424" spans="2:146">
      <c r="B229424">
        <v>2083.2000000000003</v>
      </c>
      <c r="DI229424">
        <v>20.03</v>
      </c>
      <c r="DJ229424">
        <v>20.03</v>
      </c>
      <c r="DQ229424">
        <v>20.03</v>
      </c>
      <c r="DT229424">
        <v>20.03</v>
      </c>
      <c r="DW229424">
        <v>20.03</v>
      </c>
    </row>
    <row r="229425" spans="2:134">
      <c r="B229425">
        <v>357.20000000000005</v>
      </c>
      <c r="DI229425">
        <v>3.88</v>
      </c>
      <c r="DJ229425">
        <v>3.88</v>
      </c>
      <c r="DV229425">
        <v>3.88</v>
      </c>
      <c r="DW229425">
        <v>3.88</v>
      </c>
    </row>
    <row r="229426" spans="2:134">
      <c r="B229426">
        <v>391.20000000000005</v>
      </c>
      <c r="DI229426">
        <v>3.62</v>
      </c>
      <c r="DJ229426">
        <v>3.62</v>
      </c>
      <c r="DR229426">
        <v>3.62</v>
      </c>
      <c r="DU229426">
        <v>3.62</v>
      </c>
      <c r="DV229426">
        <v>3.62</v>
      </c>
    </row>
    <row r="229427" spans="2:134">
      <c r="B229427">
        <v>762.80000000000007</v>
      </c>
      <c r="DI229427">
        <v>6.15</v>
      </c>
      <c r="DJ229427">
        <v>6.15</v>
      </c>
      <c r="DQ229427">
        <v>6.15</v>
      </c>
      <c r="DR229427">
        <v>6.15</v>
      </c>
      <c r="DS229427">
        <v>6.15</v>
      </c>
      <c r="DT229427">
        <v>6.15</v>
      </c>
    </row>
    <row r="229428" spans="2:134">
      <c r="B229428">
        <v>1280</v>
      </c>
      <c r="DI229428">
        <v>10.66</v>
      </c>
      <c r="DJ229428">
        <v>10.66</v>
      </c>
      <c r="DK229428">
        <v>10.66</v>
      </c>
      <c r="DL229428">
        <v>10.66</v>
      </c>
      <c r="DM229428">
        <v>10.66</v>
      </c>
      <c r="DN229428">
        <v>10.66</v>
      </c>
    </row>
    <row r="229429" spans="2:134">
      <c r="B229429">
        <v>234</v>
      </c>
      <c r="CT229429">
        <v>2.5</v>
      </c>
      <c r="CU229429">
        <v>2.5</v>
      </c>
      <c r="CV229429">
        <v>2.5</v>
      </c>
    </row>
    <row r="229430" spans="2:134">
      <c r="B229430">
        <v>354</v>
      </c>
      <c r="CY229430">
        <v>3.98</v>
      </c>
      <c r="CZ229430">
        <v>3.98</v>
      </c>
      <c r="DA229430">
        <v>3.98</v>
      </c>
    </row>
    <row r="229431" spans="2:134">
      <c r="B229431">
        <v>392</v>
      </c>
      <c r="DI229431">
        <v>3.52</v>
      </c>
      <c r="DJ229431">
        <v>3.52</v>
      </c>
      <c r="DL229431">
        <v>3.52</v>
      </c>
      <c r="DO229431">
        <v>3.52</v>
      </c>
    </row>
    <row r="229432" spans="2:134">
      <c r="B229432">
        <v>304</v>
      </c>
      <c r="CE229432">
        <v>3.8</v>
      </c>
      <c r="CF229432">
        <v>3.8</v>
      </c>
    </row>
    <row r="229433" spans="2:134">
      <c r="B229433">
        <v>144</v>
      </c>
      <c r="DZ229433">
        <v>1.62</v>
      </c>
      <c r="EA229433">
        <v>1.62</v>
      </c>
      <c r="EB229433">
        <v>1.62</v>
      </c>
      <c r="EC229433">
        <v>0.81</v>
      </c>
      <c r="ED229433">
        <v>0.81</v>
      </c>
    </row>
    <row r="229434" spans="2:134">
      <c r="B229434">
        <v>602.40000000000009</v>
      </c>
      <c r="BY229434">
        <v>6.02</v>
      </c>
      <c r="BZ229434">
        <v>6.02</v>
      </c>
      <c r="CB229434">
        <v>3.01</v>
      </c>
      <c r="CC229434">
        <v>3.01</v>
      </c>
      <c r="CD229434">
        <v>3.01</v>
      </c>
      <c r="CI229434">
        <v>6.02</v>
      </c>
      <c r="CJ229434">
        <v>6.02</v>
      </c>
      <c r="CK229434">
        <v>6.02</v>
      </c>
    </row>
    <row r="229435" spans="2:134">
      <c r="B229435">
        <v>307.60000000000002</v>
      </c>
      <c r="BY229435">
        <v>3.34</v>
      </c>
      <c r="BZ229435">
        <v>3.34</v>
      </c>
      <c r="CG229435">
        <v>3.34</v>
      </c>
      <c r="CH229435">
        <v>3.34</v>
      </c>
    </row>
    <row r="229436" spans="2:134">
      <c r="B229436">
        <v>358</v>
      </c>
      <c r="BY229436">
        <v>2.37</v>
      </c>
      <c r="BZ229436">
        <v>2.37</v>
      </c>
      <c r="CA229436">
        <v>2.37</v>
      </c>
      <c r="DX229436">
        <v>4.74</v>
      </c>
      <c r="DY229436">
        <v>4.74</v>
      </c>
    </row>
    <row r="229437" spans="2:134">
      <c r="B229437">
        <v>286</v>
      </c>
      <c r="BT229437">
        <v>1.43</v>
      </c>
      <c r="BV229437">
        <v>1.43</v>
      </c>
      <c r="BW229437">
        <v>1.43</v>
      </c>
      <c r="BX229437">
        <v>1.43</v>
      </c>
      <c r="CO229437">
        <v>2.86</v>
      </c>
      <c r="CP229437">
        <v>2.86</v>
      </c>
      <c r="CQ229437">
        <v>2.86</v>
      </c>
      <c r="CR229437">
        <v>2.86</v>
      </c>
      <c r="CS229437">
        <v>2.86</v>
      </c>
    </row>
    <row r="229438" spans="2:134">
      <c r="B229438">
        <v>410</v>
      </c>
      <c r="BY229438">
        <v>2.88</v>
      </c>
      <c r="BZ229438">
        <v>2.88</v>
      </c>
      <c r="CA229438">
        <v>2.88</v>
      </c>
      <c r="CW229438">
        <v>5.76</v>
      </c>
      <c r="CX229438">
        <v>5.76</v>
      </c>
    </row>
    <row r="229439" spans="2:134">
      <c r="B229439">
        <v>346</v>
      </c>
      <c r="BR229439">
        <v>3.6</v>
      </c>
      <c r="BS229439">
        <v>3.6</v>
      </c>
      <c r="BT229439">
        <v>1.8</v>
      </c>
      <c r="CL229439">
        <v>3.6</v>
      </c>
      <c r="CM229439">
        <v>3.6</v>
      </c>
      <c r="CN229439">
        <v>3.6</v>
      </c>
    </row>
    <row r="229440" spans="2:134">
      <c r="B229440">
        <v>302</v>
      </c>
      <c r="BR229440">
        <v>3.28</v>
      </c>
      <c r="BS229440">
        <v>3.28</v>
      </c>
      <c r="BT229440">
        <v>1.64</v>
      </c>
      <c r="BU229440">
        <v>1.64</v>
      </c>
      <c r="CL229440">
        <v>3.28</v>
      </c>
      <c r="CM229440">
        <v>3.28</v>
      </c>
      <c r="CN229440">
        <v>3.28</v>
      </c>
    </row>
    <row r="229441" spans="2:146">
      <c r="B229441">
        <v>204</v>
      </c>
      <c r="BR229441">
        <v>2.12</v>
      </c>
      <c r="BS229441">
        <v>2.12</v>
      </c>
      <c r="BT229441">
        <v>1.06</v>
      </c>
      <c r="CL229441">
        <v>2.12</v>
      </c>
      <c r="CM229441">
        <v>2.12</v>
      </c>
      <c r="CN229441">
        <v>2.12</v>
      </c>
    </row>
    <row r="229443" spans="2:146">
      <c r="B229443">
        <v>26358.800000000003</v>
      </c>
      <c r="BQ229443">
        <v>0</v>
      </c>
      <c r="BR229443">
        <v>9</v>
      </c>
      <c r="BS229443">
        <v>9</v>
      </c>
      <c r="BT229443">
        <v>5.93</v>
      </c>
      <c r="BU229443">
        <v>1.64</v>
      </c>
      <c r="BV229443">
        <v>6.5299999999999994</v>
      </c>
      <c r="BW229443">
        <v>6.5299999999999994</v>
      </c>
      <c r="BX229443">
        <v>1.43</v>
      </c>
      <c r="BY229443">
        <v>14.61</v>
      </c>
      <c r="BZ229443">
        <v>14.61</v>
      </c>
      <c r="CA229443">
        <v>5.25</v>
      </c>
      <c r="CB229443">
        <v>3.01</v>
      </c>
      <c r="CC229443">
        <v>3.01</v>
      </c>
      <c r="CD229443">
        <v>3.01</v>
      </c>
      <c r="CE229443">
        <v>3.8</v>
      </c>
      <c r="CF229443">
        <v>3.8</v>
      </c>
      <c r="CG229443">
        <v>3.34</v>
      </c>
      <c r="CH229443">
        <v>3.34</v>
      </c>
      <c r="CI229443">
        <v>6.02</v>
      </c>
      <c r="CJ229443">
        <v>6.02</v>
      </c>
      <c r="CK229443">
        <v>6.02</v>
      </c>
      <c r="CL229443">
        <v>9</v>
      </c>
      <c r="CM229443">
        <v>9</v>
      </c>
      <c r="CN229443">
        <v>9</v>
      </c>
      <c r="CO229443">
        <v>2.86</v>
      </c>
      <c r="CP229443">
        <v>2.86</v>
      </c>
      <c r="CQ229443">
        <v>2.86</v>
      </c>
      <c r="CR229443">
        <v>2.86</v>
      </c>
      <c r="CS229443">
        <v>2.86</v>
      </c>
      <c r="CT229443">
        <v>2.5</v>
      </c>
      <c r="CU229443">
        <v>2.5</v>
      </c>
      <c r="CV229443">
        <v>2.5</v>
      </c>
      <c r="CW229443">
        <v>5.76</v>
      </c>
      <c r="CX229443">
        <v>5.76</v>
      </c>
      <c r="CY229443">
        <v>3.98</v>
      </c>
      <c r="CZ229443">
        <v>3.98</v>
      </c>
      <c r="DA229443">
        <v>3.98</v>
      </c>
      <c r="DB229443">
        <v>10.210000000000001</v>
      </c>
      <c r="DC229443">
        <v>10.210000000000001</v>
      </c>
      <c r="DD229443">
        <v>10.210000000000001</v>
      </c>
      <c r="DE229443">
        <v>10.210000000000001</v>
      </c>
      <c r="DF229443">
        <v>10.210000000000001</v>
      </c>
      <c r="DG229443">
        <v>10.210000000000001</v>
      </c>
      <c r="DH229443">
        <v>10.210000000000001</v>
      </c>
      <c r="DI229443">
        <v>47.860000000000007</v>
      </c>
      <c r="DJ229443">
        <v>47.860000000000007</v>
      </c>
      <c r="DK229443">
        <v>10.66</v>
      </c>
      <c r="DL229443">
        <v>14.18</v>
      </c>
      <c r="DM229443">
        <v>10.66</v>
      </c>
      <c r="DN229443">
        <v>10.66</v>
      </c>
      <c r="DO229443">
        <v>3.52</v>
      </c>
      <c r="DP229443">
        <v>0</v>
      </c>
      <c r="DQ229443">
        <v>26.18</v>
      </c>
      <c r="DR229443">
        <v>9.77</v>
      </c>
      <c r="DS229443">
        <v>6.15</v>
      </c>
      <c r="DT229443">
        <v>26.18</v>
      </c>
      <c r="DU229443">
        <v>3.62</v>
      </c>
      <c r="DV229443">
        <v>7.5</v>
      </c>
      <c r="DW229443">
        <v>23.91</v>
      </c>
      <c r="DX229443">
        <v>4.74</v>
      </c>
      <c r="DY229443">
        <v>4.74</v>
      </c>
      <c r="DZ229443">
        <v>1.62</v>
      </c>
      <c r="EA229443">
        <v>1.62</v>
      </c>
      <c r="EB229443">
        <v>1.62</v>
      </c>
      <c r="EC229443">
        <v>0.81</v>
      </c>
      <c r="ED229443">
        <v>0.81</v>
      </c>
      <c r="EE229443">
        <v>8.15</v>
      </c>
      <c r="EF229443">
        <v>8.15</v>
      </c>
      <c r="EG229443">
        <v>8.15</v>
      </c>
      <c r="EH229443">
        <v>8.15</v>
      </c>
      <c r="EI229443">
        <v>8.15</v>
      </c>
      <c r="EJ229443">
        <v>8.15</v>
      </c>
      <c r="EK229443">
        <v>8.15</v>
      </c>
      <c r="EL229443">
        <v>0.66</v>
      </c>
      <c r="EM229443">
        <v>0.66</v>
      </c>
      <c r="EN229443">
        <v>0.66</v>
      </c>
      <c r="EO229443">
        <v>0.66</v>
      </c>
      <c r="EP229443">
        <v>0.66</v>
      </c>
    </row>
    <row r="229444" spans="2:146">
      <c r="B229444" t="s">
        <v>265</v>
      </c>
      <c r="BQ229444" t="s">
        <v>345</v>
      </c>
      <c r="BR229444" t="s">
        <v>131</v>
      </c>
      <c r="BS229444" t="s">
        <v>131</v>
      </c>
      <c r="BT229444" t="s">
        <v>357</v>
      </c>
      <c r="BU229444" t="s">
        <v>131</v>
      </c>
      <c r="BV229444" t="s">
        <v>360</v>
      </c>
      <c r="BW229444" t="s">
        <v>360</v>
      </c>
      <c r="BX229444" t="s">
        <v>360</v>
      </c>
      <c r="BY229444" t="s">
        <v>364</v>
      </c>
      <c r="BZ229444" t="s">
        <v>364</v>
      </c>
      <c r="CA229444" t="s">
        <v>364</v>
      </c>
      <c r="CB229444" t="s">
        <v>368</v>
      </c>
      <c r="CC229444" t="s">
        <v>368</v>
      </c>
      <c r="CD229444" t="s">
        <v>368</v>
      </c>
      <c r="CE229444" t="s">
        <v>352</v>
      </c>
      <c r="CF229444" t="s">
        <v>352</v>
      </c>
      <c r="CG229444" t="s">
        <v>372</v>
      </c>
      <c r="CH229444" t="s">
        <v>372</v>
      </c>
      <c r="CI229444" t="s">
        <v>375</v>
      </c>
      <c r="CJ229444" t="s">
        <v>375</v>
      </c>
      <c r="CK229444" t="s">
        <v>375</v>
      </c>
      <c r="CL229444" t="s">
        <v>379</v>
      </c>
      <c r="CM229444" t="s">
        <v>379</v>
      </c>
      <c r="CN229444" t="s">
        <v>379</v>
      </c>
      <c r="CO229444" t="s">
        <v>383</v>
      </c>
      <c r="CP229444" t="s">
        <v>383</v>
      </c>
      <c r="CQ229444" t="s">
        <v>383</v>
      </c>
      <c r="CR229444" t="s">
        <v>383</v>
      </c>
      <c r="CS229444" t="s">
        <v>383</v>
      </c>
      <c r="CT229444" t="s">
        <v>389</v>
      </c>
      <c r="CU229444" t="s">
        <v>389</v>
      </c>
      <c r="CV229444" t="s">
        <v>389</v>
      </c>
      <c r="CW229444" t="s">
        <v>393</v>
      </c>
      <c r="CX229444" t="s">
        <v>393</v>
      </c>
      <c r="CY229444" t="s">
        <v>396</v>
      </c>
      <c r="CZ229444" t="s">
        <v>396</v>
      </c>
      <c r="DA229444" t="s">
        <v>396</v>
      </c>
      <c r="DB229444" t="s">
        <v>400</v>
      </c>
      <c r="DC229444" t="s">
        <v>400</v>
      </c>
      <c r="DD229444" t="s">
        <v>400</v>
      </c>
      <c r="DE229444" t="s">
        <v>400</v>
      </c>
      <c r="DF229444" t="s">
        <v>400</v>
      </c>
      <c r="DG229444" t="s">
        <v>400</v>
      </c>
      <c r="DH229444" t="s">
        <v>400</v>
      </c>
      <c r="DI229444" t="s">
        <v>121</v>
      </c>
      <c r="DJ229444" t="s">
        <v>121</v>
      </c>
      <c r="DK229444" t="s">
        <v>121</v>
      </c>
      <c r="DL229444" t="s">
        <v>121</v>
      </c>
      <c r="DM229444" t="s">
        <v>121</v>
      </c>
      <c r="DN229444" t="s">
        <v>121</v>
      </c>
      <c r="DO229444" t="s">
        <v>121</v>
      </c>
      <c r="DP229444" t="s">
        <v>121</v>
      </c>
      <c r="DQ229444" t="s">
        <v>121</v>
      </c>
      <c r="DR229444" t="s">
        <v>121</v>
      </c>
      <c r="DS229444" t="s">
        <v>121</v>
      </c>
      <c r="DT229444" t="s">
        <v>121</v>
      </c>
      <c r="DU229444" t="s">
        <v>121</v>
      </c>
      <c r="DV229444" t="s">
        <v>121</v>
      </c>
      <c r="DW229444" t="s">
        <v>121</v>
      </c>
      <c r="DX229444" t="s">
        <v>423</v>
      </c>
      <c r="DY229444" t="s">
        <v>423</v>
      </c>
      <c r="DZ229444" t="s">
        <v>426</v>
      </c>
      <c r="EA229444" t="s">
        <v>426</v>
      </c>
      <c r="EB229444" t="s">
        <v>426</v>
      </c>
      <c r="EC229444" t="s">
        <v>426</v>
      </c>
      <c r="ED229444" t="s">
        <v>426</v>
      </c>
      <c r="EE229444" t="s">
        <v>432</v>
      </c>
      <c r="EF229444" t="s">
        <v>432</v>
      </c>
      <c r="EG229444" t="s">
        <v>432</v>
      </c>
      <c r="EH229444" t="s">
        <v>432</v>
      </c>
      <c r="EI229444" t="s">
        <v>432</v>
      </c>
      <c r="EJ229444" t="s">
        <v>432</v>
      </c>
      <c r="EK229444" t="s">
        <v>432</v>
      </c>
      <c r="EL229444" t="s">
        <v>440</v>
      </c>
      <c r="EM229444" t="s">
        <v>440</v>
      </c>
      <c r="EN229444" t="s">
        <v>440</v>
      </c>
      <c r="EO229444" t="s">
        <v>440</v>
      </c>
      <c r="EP229444" t="s">
        <v>440</v>
      </c>
    </row>
    <row r="229445" spans="2:146">
      <c r="BQ229445" t="s">
        <v>351</v>
      </c>
      <c r="BR229445" t="s">
        <v>355</v>
      </c>
      <c r="BS229445" t="s">
        <v>356</v>
      </c>
      <c r="BT229445" t="s">
        <v>358</v>
      </c>
      <c r="BU229445" t="s">
        <v>359</v>
      </c>
      <c r="BV229445" t="s">
        <v>361</v>
      </c>
      <c r="BW229445" t="s">
        <v>362</v>
      </c>
      <c r="BX229445" t="s">
        <v>363</v>
      </c>
      <c r="BY229445" t="s">
        <v>365</v>
      </c>
      <c r="BZ229445" t="s">
        <v>366</v>
      </c>
      <c r="CA229445" t="s">
        <v>367</v>
      </c>
      <c r="CB229445" t="s">
        <v>369</v>
      </c>
      <c r="CC229445" t="s">
        <v>370</v>
      </c>
      <c r="CD229445" t="s">
        <v>371</v>
      </c>
      <c r="CE229445" t="s">
        <v>353</v>
      </c>
      <c r="CF229445" t="s">
        <v>354</v>
      </c>
      <c r="CG229445" t="s">
        <v>373</v>
      </c>
      <c r="CH229445" t="s">
        <v>374</v>
      </c>
      <c r="CI229445" t="s">
        <v>376</v>
      </c>
      <c r="CJ229445" t="s">
        <v>377</v>
      </c>
      <c r="CK229445" t="s">
        <v>378</v>
      </c>
      <c r="CL229445" t="s">
        <v>380</v>
      </c>
      <c r="CM229445" t="s">
        <v>381</v>
      </c>
      <c r="CN229445" t="s">
        <v>382</v>
      </c>
      <c r="CO229445" t="s">
        <v>384</v>
      </c>
      <c r="CP229445" t="s">
        <v>385</v>
      </c>
      <c r="CQ229445" t="s">
        <v>386</v>
      </c>
      <c r="CR229445" t="s">
        <v>387</v>
      </c>
      <c r="CS229445" t="s">
        <v>388</v>
      </c>
      <c r="CT229445" t="s">
        <v>390</v>
      </c>
      <c r="CU229445" t="s">
        <v>391</v>
      </c>
      <c r="CV229445" t="s">
        <v>392</v>
      </c>
      <c r="CW229445" t="s">
        <v>394</v>
      </c>
      <c r="CX229445" t="s">
        <v>395</v>
      </c>
      <c r="CY229445" t="s">
        <v>397</v>
      </c>
      <c r="CZ229445" t="s">
        <v>398</v>
      </c>
      <c r="DA229445" t="s">
        <v>399</v>
      </c>
      <c r="DB229445" t="s">
        <v>401</v>
      </c>
      <c r="DC229445" t="s">
        <v>402</v>
      </c>
      <c r="DD229445" t="s">
        <v>403</v>
      </c>
      <c r="DE229445" t="s">
        <v>404</v>
      </c>
      <c r="DF229445" t="s">
        <v>405</v>
      </c>
      <c r="DG229445" t="s">
        <v>406</v>
      </c>
      <c r="DH229445" t="s">
        <v>407</v>
      </c>
      <c r="DI229445" t="s">
        <v>408</v>
      </c>
      <c r="DJ229445" t="s">
        <v>409</v>
      </c>
      <c r="DK229445" t="s">
        <v>410</v>
      </c>
      <c r="DL229445" t="s">
        <v>411</v>
      </c>
      <c r="DM229445" t="s">
        <v>412</v>
      </c>
      <c r="DN229445" t="s">
        <v>413</v>
      </c>
      <c r="DO229445" t="s">
        <v>414</v>
      </c>
      <c r="DP229445" t="s">
        <v>415</v>
      </c>
      <c r="DQ229445" t="s">
        <v>416</v>
      </c>
      <c r="DR229445" t="s">
        <v>417</v>
      </c>
      <c r="DS229445" t="s">
        <v>418</v>
      </c>
      <c r="DT229445" t="s">
        <v>419</v>
      </c>
      <c r="DU229445" t="s">
        <v>420</v>
      </c>
      <c r="DV229445" t="s">
        <v>421</v>
      </c>
      <c r="DW229445" t="s">
        <v>422</v>
      </c>
      <c r="DX229445" t="s">
        <v>424</v>
      </c>
      <c r="DY229445" t="s">
        <v>425</v>
      </c>
      <c r="DZ229445" t="s">
        <v>427</v>
      </c>
      <c r="EA229445" t="s">
        <v>428</v>
      </c>
      <c r="EB229445" t="s">
        <v>429</v>
      </c>
      <c r="EC229445" t="s">
        <v>430</v>
      </c>
      <c r="ED229445" t="s">
        <v>431</v>
      </c>
      <c r="EE229445" t="s">
        <v>433</v>
      </c>
      <c r="EF229445" t="s">
        <v>434</v>
      </c>
      <c r="EG229445" t="s">
        <v>435</v>
      </c>
      <c r="EH229445" t="s">
        <v>436</v>
      </c>
      <c r="EI229445" t="s">
        <v>437</v>
      </c>
      <c r="EJ229445" t="s">
        <v>438</v>
      </c>
      <c r="EK229445" t="s">
        <v>439</v>
      </c>
      <c r="EL229445" t="s">
        <v>441</v>
      </c>
      <c r="EM229445" t="s">
        <v>442</v>
      </c>
      <c r="EN229445" t="s">
        <v>443</v>
      </c>
      <c r="EO229445" t="s">
        <v>444</v>
      </c>
      <c r="EP229445" t="s">
        <v>445</v>
      </c>
    </row>
    <row r="229446" spans="2:146">
      <c r="BQ229446">
        <v>67</v>
      </c>
      <c r="BR229446">
        <v>68</v>
      </c>
      <c r="BS229446">
        <v>69</v>
      </c>
      <c r="BT229446">
        <v>70</v>
      </c>
      <c r="BU229446">
        <v>71</v>
      </c>
      <c r="BV229446">
        <v>72</v>
      </c>
      <c r="BW229446">
        <v>73</v>
      </c>
      <c r="BX229446">
        <v>74</v>
      </c>
      <c r="BY229446">
        <v>75</v>
      </c>
      <c r="BZ229446">
        <v>76</v>
      </c>
      <c r="CA229446">
        <v>77</v>
      </c>
      <c r="CB229446">
        <v>78</v>
      </c>
      <c r="CC229446">
        <v>79</v>
      </c>
      <c r="CD229446">
        <v>80</v>
      </c>
      <c r="CE229446">
        <v>81</v>
      </c>
      <c r="CF229446">
        <v>82</v>
      </c>
      <c r="CG229446">
        <v>83</v>
      </c>
      <c r="CH229446">
        <v>84</v>
      </c>
      <c r="CI229446">
        <v>85</v>
      </c>
      <c r="CJ229446">
        <v>86</v>
      </c>
      <c r="CK229446">
        <v>87</v>
      </c>
      <c r="CL229446">
        <v>88</v>
      </c>
      <c r="CM229446">
        <v>89</v>
      </c>
      <c r="CN229446">
        <v>90</v>
      </c>
      <c r="CO229446">
        <v>91</v>
      </c>
      <c r="CP229446">
        <v>92</v>
      </c>
      <c r="CQ229446">
        <v>93</v>
      </c>
      <c r="CR229446">
        <v>94</v>
      </c>
      <c r="CS229446">
        <v>95</v>
      </c>
      <c r="CT229446">
        <v>96</v>
      </c>
      <c r="CU229446">
        <v>97</v>
      </c>
      <c r="CV229446">
        <v>98</v>
      </c>
      <c r="CW229446">
        <v>99</v>
      </c>
      <c r="CX229446">
        <v>100</v>
      </c>
      <c r="CY229446">
        <v>101</v>
      </c>
      <c r="CZ229446">
        <v>102</v>
      </c>
      <c r="DA229446">
        <v>103</v>
      </c>
      <c r="DB229446">
        <v>104</v>
      </c>
      <c r="DC229446">
        <v>105</v>
      </c>
      <c r="DD229446">
        <v>106</v>
      </c>
      <c r="DE229446">
        <v>107</v>
      </c>
      <c r="DF229446">
        <v>108</v>
      </c>
      <c r="DG229446">
        <v>109</v>
      </c>
      <c r="DH229446">
        <v>110</v>
      </c>
      <c r="DI229446">
        <v>111</v>
      </c>
      <c r="DJ229446">
        <v>112</v>
      </c>
      <c r="DK229446">
        <v>113</v>
      </c>
      <c r="DL229446">
        <v>114</v>
      </c>
      <c r="DM229446">
        <v>115</v>
      </c>
      <c r="DN229446">
        <v>116</v>
      </c>
      <c r="DO229446">
        <v>117</v>
      </c>
      <c r="DP229446">
        <v>118</v>
      </c>
      <c r="DQ229446">
        <v>119</v>
      </c>
      <c r="DR229446">
        <v>120</v>
      </c>
      <c r="DS229446">
        <v>121</v>
      </c>
      <c r="DT229446">
        <v>122</v>
      </c>
      <c r="DU229446">
        <v>123</v>
      </c>
      <c r="DV229446">
        <v>124</v>
      </c>
      <c r="DW229446">
        <v>125</v>
      </c>
      <c r="DX229446">
        <v>126</v>
      </c>
      <c r="DY229446">
        <v>127</v>
      </c>
      <c r="DZ229446">
        <v>128</v>
      </c>
      <c r="EA229446">
        <v>129</v>
      </c>
      <c r="EB229446">
        <v>130</v>
      </c>
      <c r="EC229446">
        <v>131</v>
      </c>
      <c r="ED229446">
        <v>132</v>
      </c>
      <c r="EE229446">
        <v>133</v>
      </c>
      <c r="EF229446">
        <v>134</v>
      </c>
      <c r="EG229446">
        <v>135</v>
      </c>
      <c r="EH229446">
        <v>136</v>
      </c>
      <c r="EI229446">
        <v>137</v>
      </c>
      <c r="EJ229446">
        <v>138</v>
      </c>
      <c r="EK229446">
        <v>139</v>
      </c>
      <c r="EL229446">
        <v>140</v>
      </c>
      <c r="EM229446">
        <v>141</v>
      </c>
      <c r="EN229446">
        <v>142</v>
      </c>
      <c r="EO229446">
        <v>143</v>
      </c>
      <c r="EP229446">
        <v>144</v>
      </c>
    </row>
    <row r="229447" spans="2:146">
      <c r="CE229447" t="s">
        <v>451</v>
      </c>
    </row>
    <row r="245762" spans="2:2">
      <c r="B245762">
        <v>200</v>
      </c>
    </row>
    <row r="245763" spans="2:2">
      <c r="B245763">
        <v>200</v>
      </c>
    </row>
    <row r="245764" spans="2:2">
      <c r="B245764">
        <v>800</v>
      </c>
    </row>
    <row r="245765" spans="2:2">
      <c r="B245765">
        <v>200</v>
      </c>
    </row>
    <row r="245766" spans="2:2">
      <c r="B245766">
        <v>1044</v>
      </c>
    </row>
    <row r="245767" spans="2:2">
      <c r="B245767">
        <v>998.40000000000009</v>
      </c>
    </row>
    <row r="245768" spans="2:2">
      <c r="B245768">
        <v>272</v>
      </c>
    </row>
    <row r="245769" spans="2:2">
      <c r="B245769">
        <v>200</v>
      </c>
    </row>
    <row r="245770" spans="2:2">
      <c r="B245770">
        <v>214</v>
      </c>
    </row>
    <row r="245771" spans="2:2">
      <c r="B245771">
        <v>200</v>
      </c>
    </row>
    <row r="245772" spans="2:2">
      <c r="B245772">
        <v>152</v>
      </c>
    </row>
    <row r="245773" spans="2:2">
      <c r="B245773">
        <v>200</v>
      </c>
    </row>
    <row r="245774" spans="2:2">
      <c r="B245774">
        <v>300</v>
      </c>
    </row>
    <row r="245775" spans="2:2">
      <c r="B245775">
        <v>104</v>
      </c>
    </row>
    <row r="245776" spans="2:2">
      <c r="B245776">
        <v>162</v>
      </c>
    </row>
    <row r="245777" spans="2:2">
      <c r="B245777">
        <v>200</v>
      </c>
    </row>
    <row r="245778" spans="2:2">
      <c r="B245778">
        <v>200</v>
      </c>
    </row>
    <row r="245779" spans="2:2">
      <c r="B245779">
        <v>200</v>
      </c>
    </row>
    <row r="245780" spans="2:2">
      <c r="B245780">
        <v>200</v>
      </c>
    </row>
    <row r="245781" spans="2:2">
      <c r="B245781">
        <v>200</v>
      </c>
    </row>
    <row r="245782" spans="2:2">
      <c r="B245782">
        <v>200</v>
      </c>
    </row>
    <row r="245783" spans="2:2">
      <c r="B245783">
        <v>200</v>
      </c>
    </row>
    <row r="245784" spans="2:2">
      <c r="B245784">
        <v>200</v>
      </c>
    </row>
    <row r="245785" spans="2:2">
      <c r="B245785">
        <v>800</v>
      </c>
    </row>
    <row r="245786" spans="2:2">
      <c r="B245786">
        <v>300</v>
      </c>
    </row>
    <row r="245787" spans="2:2">
      <c r="B245787">
        <v>778</v>
      </c>
    </row>
    <row r="245788" spans="2:2">
      <c r="B245788">
        <v>614</v>
      </c>
    </row>
    <row r="245789" spans="2:2">
      <c r="B245789">
        <v>444</v>
      </c>
    </row>
    <row r="245790" spans="2:2">
      <c r="B245790">
        <v>800</v>
      </c>
    </row>
    <row r="245791" spans="2:2">
      <c r="B245791">
        <v>200</v>
      </c>
    </row>
    <row r="245792" spans="2:2">
      <c r="B245792">
        <v>780</v>
      </c>
    </row>
    <row r="245793" spans="2:146">
      <c r="B245793">
        <v>174</v>
      </c>
    </row>
    <row r="245794" spans="2:146">
      <c r="B245794">
        <v>194</v>
      </c>
    </row>
    <row r="245795" spans="2:146">
      <c r="B245795">
        <v>782</v>
      </c>
    </row>
    <row r="245796" spans="2:146">
      <c r="B245796">
        <v>236</v>
      </c>
    </row>
    <row r="245797" spans="2:146">
      <c r="B245797">
        <v>144</v>
      </c>
    </row>
    <row r="245798" spans="2:146">
      <c r="B245798">
        <v>200</v>
      </c>
    </row>
    <row r="245799" spans="2:146">
      <c r="B245799">
        <v>240</v>
      </c>
    </row>
    <row r="245800" spans="2:146">
      <c r="B245800">
        <v>200</v>
      </c>
    </row>
    <row r="245801" spans="2:146">
      <c r="B245801">
        <v>612</v>
      </c>
    </row>
    <row r="245802" spans="2:146">
      <c r="B245802">
        <v>156</v>
      </c>
    </row>
    <row r="245803" spans="2:146">
      <c r="B245803">
        <v>116</v>
      </c>
    </row>
    <row r="245804" spans="2:146">
      <c r="B245804">
        <v>160</v>
      </c>
    </row>
    <row r="245805" spans="2:146">
      <c r="B245805">
        <v>80</v>
      </c>
      <c r="EL245805">
        <v>0.66</v>
      </c>
      <c r="EM245805">
        <v>0.66</v>
      </c>
      <c r="EN245805">
        <v>0.66</v>
      </c>
      <c r="EO245805">
        <v>0.66</v>
      </c>
      <c r="EP245805">
        <v>0.66</v>
      </c>
    </row>
    <row r="245806" spans="2:146">
      <c r="B245806">
        <v>1144</v>
      </c>
      <c r="BV245806">
        <v>5.0999999999999996</v>
      </c>
      <c r="BW245806">
        <v>5.0999999999999996</v>
      </c>
      <c r="DB245806">
        <v>10.210000000000001</v>
      </c>
      <c r="DC245806">
        <v>10.210000000000001</v>
      </c>
      <c r="DD245806">
        <v>10.210000000000001</v>
      </c>
      <c r="DE245806">
        <v>10.210000000000001</v>
      </c>
      <c r="DF245806">
        <v>10.210000000000001</v>
      </c>
      <c r="DG245806">
        <v>10.210000000000001</v>
      </c>
      <c r="DH245806">
        <v>10.210000000000001</v>
      </c>
    </row>
    <row r="245807" spans="2:146">
      <c r="B245807">
        <v>1240</v>
      </c>
      <c r="EE245807">
        <v>8.15</v>
      </c>
      <c r="EF245807">
        <v>8.15</v>
      </c>
      <c r="EG245807">
        <v>8.15</v>
      </c>
      <c r="EH245807">
        <v>8.15</v>
      </c>
      <c r="EI245807">
        <v>8.15</v>
      </c>
      <c r="EJ245807">
        <v>8.15</v>
      </c>
      <c r="EK245807">
        <v>8.15</v>
      </c>
    </row>
    <row r="245808" spans="2:146">
      <c r="B245808">
        <v>2083.2000000000003</v>
      </c>
      <c r="DI245808">
        <v>20.03</v>
      </c>
      <c r="DJ245808">
        <v>20.03</v>
      </c>
      <c r="DQ245808">
        <v>20.03</v>
      </c>
      <c r="DT245808">
        <v>20.03</v>
      </c>
      <c r="DW245808">
        <v>20.03</v>
      </c>
    </row>
    <row r="245809" spans="2:134">
      <c r="B245809">
        <v>357.20000000000005</v>
      </c>
      <c r="DI245809">
        <v>3.88</v>
      </c>
      <c r="DJ245809">
        <v>3.88</v>
      </c>
      <c r="DV245809">
        <v>3.88</v>
      </c>
      <c r="DW245809">
        <v>3.88</v>
      </c>
    </row>
    <row r="245810" spans="2:134">
      <c r="B245810">
        <v>391.20000000000005</v>
      </c>
      <c r="DI245810">
        <v>3.62</v>
      </c>
      <c r="DJ245810">
        <v>3.62</v>
      </c>
      <c r="DR245810">
        <v>3.62</v>
      </c>
      <c r="DU245810">
        <v>3.62</v>
      </c>
      <c r="DV245810">
        <v>3.62</v>
      </c>
    </row>
    <row r="245811" spans="2:134">
      <c r="B245811">
        <v>762.80000000000007</v>
      </c>
      <c r="DI245811">
        <v>6.15</v>
      </c>
      <c r="DJ245811">
        <v>6.15</v>
      </c>
      <c r="DQ245811">
        <v>6.15</v>
      </c>
      <c r="DR245811">
        <v>6.15</v>
      </c>
      <c r="DS245811">
        <v>6.15</v>
      </c>
      <c r="DT245811">
        <v>6.15</v>
      </c>
    </row>
    <row r="245812" spans="2:134">
      <c r="B245812">
        <v>1280</v>
      </c>
      <c r="DI245812">
        <v>10.66</v>
      </c>
      <c r="DJ245812">
        <v>10.66</v>
      </c>
      <c r="DK245812">
        <v>10.66</v>
      </c>
      <c r="DL245812">
        <v>10.66</v>
      </c>
      <c r="DM245812">
        <v>10.66</v>
      </c>
      <c r="DN245812">
        <v>10.66</v>
      </c>
    </row>
    <row r="245813" spans="2:134">
      <c r="B245813">
        <v>234</v>
      </c>
      <c r="CT245813">
        <v>2.5</v>
      </c>
      <c r="CU245813">
        <v>2.5</v>
      </c>
      <c r="CV245813">
        <v>2.5</v>
      </c>
    </row>
    <row r="245814" spans="2:134">
      <c r="B245814">
        <v>354</v>
      </c>
      <c r="CY245814">
        <v>3.98</v>
      </c>
      <c r="CZ245814">
        <v>3.98</v>
      </c>
      <c r="DA245814">
        <v>3.98</v>
      </c>
    </row>
    <row r="245815" spans="2:134">
      <c r="B245815">
        <v>392</v>
      </c>
      <c r="DI245815">
        <v>3.52</v>
      </c>
      <c r="DJ245815">
        <v>3.52</v>
      </c>
      <c r="DL245815">
        <v>3.52</v>
      </c>
      <c r="DO245815">
        <v>3.52</v>
      </c>
    </row>
    <row r="245816" spans="2:134">
      <c r="B245816">
        <v>304</v>
      </c>
      <c r="CE245816">
        <v>3.8</v>
      </c>
      <c r="CF245816">
        <v>3.8</v>
      </c>
    </row>
    <row r="245817" spans="2:134">
      <c r="B245817">
        <v>144</v>
      </c>
      <c r="DZ245817">
        <v>1.62</v>
      </c>
      <c r="EA245817">
        <v>1.62</v>
      </c>
      <c r="EB245817">
        <v>1.62</v>
      </c>
      <c r="EC245817">
        <v>0.81</v>
      </c>
      <c r="ED245817">
        <v>0.81</v>
      </c>
    </row>
    <row r="245818" spans="2:134">
      <c r="B245818">
        <v>602.40000000000009</v>
      </c>
      <c r="BY245818">
        <v>6.02</v>
      </c>
      <c r="BZ245818">
        <v>6.02</v>
      </c>
      <c r="CB245818">
        <v>3.01</v>
      </c>
      <c r="CC245818">
        <v>3.01</v>
      </c>
      <c r="CD245818">
        <v>3.01</v>
      </c>
      <c r="CI245818">
        <v>6.02</v>
      </c>
      <c r="CJ245818">
        <v>6.02</v>
      </c>
      <c r="CK245818">
        <v>6.02</v>
      </c>
    </row>
    <row r="245819" spans="2:134">
      <c r="B245819">
        <v>307.60000000000002</v>
      </c>
      <c r="BY245819">
        <v>3.34</v>
      </c>
      <c r="BZ245819">
        <v>3.34</v>
      </c>
      <c r="CG245819">
        <v>3.34</v>
      </c>
      <c r="CH245819">
        <v>3.34</v>
      </c>
    </row>
    <row r="245820" spans="2:134">
      <c r="B245820">
        <v>358</v>
      </c>
      <c r="BY245820">
        <v>2.37</v>
      </c>
      <c r="BZ245820">
        <v>2.37</v>
      </c>
      <c r="CA245820">
        <v>2.37</v>
      </c>
      <c r="DX245820">
        <v>4.74</v>
      </c>
      <c r="DY245820">
        <v>4.74</v>
      </c>
    </row>
    <row r="245821" spans="2:134">
      <c r="B245821">
        <v>286</v>
      </c>
      <c r="BT245821">
        <v>1.43</v>
      </c>
      <c r="BV245821">
        <v>1.43</v>
      </c>
      <c r="BW245821">
        <v>1.43</v>
      </c>
      <c r="BX245821">
        <v>1.43</v>
      </c>
      <c r="CO245821">
        <v>2.86</v>
      </c>
      <c r="CP245821">
        <v>2.86</v>
      </c>
      <c r="CQ245821">
        <v>2.86</v>
      </c>
      <c r="CR245821">
        <v>2.86</v>
      </c>
      <c r="CS245821">
        <v>2.86</v>
      </c>
    </row>
    <row r="245822" spans="2:134">
      <c r="B245822">
        <v>410</v>
      </c>
      <c r="BY245822">
        <v>2.88</v>
      </c>
      <c r="BZ245822">
        <v>2.88</v>
      </c>
      <c r="CA245822">
        <v>2.88</v>
      </c>
      <c r="CW245822">
        <v>5.76</v>
      </c>
      <c r="CX245822">
        <v>5.76</v>
      </c>
    </row>
    <row r="245823" spans="2:134">
      <c r="B245823">
        <v>346</v>
      </c>
      <c r="BR245823">
        <v>3.6</v>
      </c>
      <c r="BS245823">
        <v>3.6</v>
      </c>
      <c r="BT245823">
        <v>1.8</v>
      </c>
      <c r="CL245823">
        <v>3.6</v>
      </c>
      <c r="CM245823">
        <v>3.6</v>
      </c>
      <c r="CN245823">
        <v>3.6</v>
      </c>
    </row>
    <row r="245824" spans="2:134">
      <c r="B245824">
        <v>302</v>
      </c>
      <c r="BR245824">
        <v>3.28</v>
      </c>
      <c r="BS245824">
        <v>3.28</v>
      </c>
      <c r="BT245824">
        <v>1.64</v>
      </c>
      <c r="BU245824">
        <v>1.64</v>
      </c>
      <c r="CL245824">
        <v>3.28</v>
      </c>
      <c r="CM245824">
        <v>3.28</v>
      </c>
      <c r="CN245824">
        <v>3.28</v>
      </c>
    </row>
    <row r="245825" spans="2:146">
      <c r="B245825">
        <v>204</v>
      </c>
      <c r="BR245825">
        <v>2.12</v>
      </c>
      <c r="BS245825">
        <v>2.12</v>
      </c>
      <c r="BT245825">
        <v>1.06</v>
      </c>
      <c r="CL245825">
        <v>2.12</v>
      </c>
      <c r="CM245825">
        <v>2.12</v>
      </c>
      <c r="CN245825">
        <v>2.12</v>
      </c>
    </row>
    <row r="245827" spans="2:146">
      <c r="B245827">
        <v>26358.800000000003</v>
      </c>
      <c r="BQ245827">
        <v>0</v>
      </c>
      <c r="BR245827">
        <v>9</v>
      </c>
      <c r="BS245827">
        <v>9</v>
      </c>
      <c r="BT245827">
        <v>5.93</v>
      </c>
      <c r="BU245827">
        <v>1.64</v>
      </c>
      <c r="BV245827">
        <v>6.5299999999999994</v>
      </c>
      <c r="BW245827">
        <v>6.5299999999999994</v>
      </c>
      <c r="BX245827">
        <v>1.43</v>
      </c>
      <c r="BY245827">
        <v>14.61</v>
      </c>
      <c r="BZ245827">
        <v>14.61</v>
      </c>
      <c r="CA245827">
        <v>5.25</v>
      </c>
      <c r="CB245827">
        <v>3.01</v>
      </c>
      <c r="CC245827">
        <v>3.01</v>
      </c>
      <c r="CD245827">
        <v>3.01</v>
      </c>
      <c r="CE245827">
        <v>3.8</v>
      </c>
      <c r="CF245827">
        <v>3.8</v>
      </c>
      <c r="CG245827">
        <v>3.34</v>
      </c>
      <c r="CH245827">
        <v>3.34</v>
      </c>
      <c r="CI245827">
        <v>6.02</v>
      </c>
      <c r="CJ245827">
        <v>6.02</v>
      </c>
      <c r="CK245827">
        <v>6.02</v>
      </c>
      <c r="CL245827">
        <v>9</v>
      </c>
      <c r="CM245827">
        <v>9</v>
      </c>
      <c r="CN245827">
        <v>9</v>
      </c>
      <c r="CO245827">
        <v>2.86</v>
      </c>
      <c r="CP245827">
        <v>2.86</v>
      </c>
      <c r="CQ245827">
        <v>2.86</v>
      </c>
      <c r="CR245827">
        <v>2.86</v>
      </c>
      <c r="CS245827">
        <v>2.86</v>
      </c>
      <c r="CT245827">
        <v>2.5</v>
      </c>
      <c r="CU245827">
        <v>2.5</v>
      </c>
      <c r="CV245827">
        <v>2.5</v>
      </c>
      <c r="CW245827">
        <v>5.76</v>
      </c>
      <c r="CX245827">
        <v>5.76</v>
      </c>
      <c r="CY245827">
        <v>3.98</v>
      </c>
      <c r="CZ245827">
        <v>3.98</v>
      </c>
      <c r="DA245827">
        <v>3.98</v>
      </c>
      <c r="DB245827">
        <v>10.210000000000001</v>
      </c>
      <c r="DC245827">
        <v>10.210000000000001</v>
      </c>
      <c r="DD245827">
        <v>10.210000000000001</v>
      </c>
      <c r="DE245827">
        <v>10.210000000000001</v>
      </c>
      <c r="DF245827">
        <v>10.210000000000001</v>
      </c>
      <c r="DG245827">
        <v>10.210000000000001</v>
      </c>
      <c r="DH245827">
        <v>10.210000000000001</v>
      </c>
      <c r="DI245827">
        <v>47.860000000000007</v>
      </c>
      <c r="DJ245827">
        <v>47.860000000000007</v>
      </c>
      <c r="DK245827">
        <v>10.66</v>
      </c>
      <c r="DL245827">
        <v>14.18</v>
      </c>
      <c r="DM245827">
        <v>10.66</v>
      </c>
      <c r="DN245827">
        <v>10.66</v>
      </c>
      <c r="DO245827">
        <v>3.52</v>
      </c>
      <c r="DP245827">
        <v>0</v>
      </c>
      <c r="DQ245827">
        <v>26.18</v>
      </c>
      <c r="DR245827">
        <v>9.77</v>
      </c>
      <c r="DS245827">
        <v>6.15</v>
      </c>
      <c r="DT245827">
        <v>26.18</v>
      </c>
      <c r="DU245827">
        <v>3.62</v>
      </c>
      <c r="DV245827">
        <v>7.5</v>
      </c>
      <c r="DW245827">
        <v>23.91</v>
      </c>
      <c r="DX245827">
        <v>4.74</v>
      </c>
      <c r="DY245827">
        <v>4.74</v>
      </c>
      <c r="DZ245827">
        <v>1.62</v>
      </c>
      <c r="EA245827">
        <v>1.62</v>
      </c>
      <c r="EB245827">
        <v>1.62</v>
      </c>
      <c r="EC245827">
        <v>0.81</v>
      </c>
      <c r="ED245827">
        <v>0.81</v>
      </c>
      <c r="EE245827">
        <v>8.15</v>
      </c>
      <c r="EF245827">
        <v>8.15</v>
      </c>
      <c r="EG245827">
        <v>8.15</v>
      </c>
      <c r="EH245827">
        <v>8.15</v>
      </c>
      <c r="EI245827">
        <v>8.15</v>
      </c>
      <c r="EJ245827">
        <v>8.15</v>
      </c>
      <c r="EK245827">
        <v>8.15</v>
      </c>
      <c r="EL245827">
        <v>0.66</v>
      </c>
      <c r="EM245827">
        <v>0.66</v>
      </c>
      <c r="EN245827">
        <v>0.66</v>
      </c>
      <c r="EO245827">
        <v>0.66</v>
      </c>
      <c r="EP245827">
        <v>0.66</v>
      </c>
    </row>
    <row r="245828" spans="2:146">
      <c r="B245828" t="s">
        <v>265</v>
      </c>
      <c r="BQ245828" t="s">
        <v>345</v>
      </c>
      <c r="BR245828" t="s">
        <v>131</v>
      </c>
      <c r="BS245828" t="s">
        <v>131</v>
      </c>
      <c r="BT245828" t="s">
        <v>357</v>
      </c>
      <c r="BU245828" t="s">
        <v>131</v>
      </c>
      <c r="BV245828" t="s">
        <v>360</v>
      </c>
      <c r="BW245828" t="s">
        <v>360</v>
      </c>
      <c r="BX245828" t="s">
        <v>360</v>
      </c>
      <c r="BY245828" t="s">
        <v>364</v>
      </c>
      <c r="BZ245828" t="s">
        <v>364</v>
      </c>
      <c r="CA245828" t="s">
        <v>364</v>
      </c>
      <c r="CB245828" t="s">
        <v>368</v>
      </c>
      <c r="CC245828" t="s">
        <v>368</v>
      </c>
      <c r="CD245828" t="s">
        <v>368</v>
      </c>
      <c r="CE245828" t="s">
        <v>352</v>
      </c>
      <c r="CF245828" t="s">
        <v>352</v>
      </c>
      <c r="CG245828" t="s">
        <v>372</v>
      </c>
      <c r="CH245828" t="s">
        <v>372</v>
      </c>
      <c r="CI245828" t="s">
        <v>375</v>
      </c>
      <c r="CJ245828" t="s">
        <v>375</v>
      </c>
      <c r="CK245828" t="s">
        <v>375</v>
      </c>
      <c r="CL245828" t="s">
        <v>379</v>
      </c>
      <c r="CM245828" t="s">
        <v>379</v>
      </c>
      <c r="CN245828" t="s">
        <v>379</v>
      </c>
      <c r="CO245828" t="s">
        <v>383</v>
      </c>
      <c r="CP245828" t="s">
        <v>383</v>
      </c>
      <c r="CQ245828" t="s">
        <v>383</v>
      </c>
      <c r="CR245828" t="s">
        <v>383</v>
      </c>
      <c r="CS245828" t="s">
        <v>383</v>
      </c>
      <c r="CT245828" t="s">
        <v>389</v>
      </c>
      <c r="CU245828" t="s">
        <v>389</v>
      </c>
      <c r="CV245828" t="s">
        <v>389</v>
      </c>
      <c r="CW245828" t="s">
        <v>393</v>
      </c>
      <c r="CX245828" t="s">
        <v>393</v>
      </c>
      <c r="CY245828" t="s">
        <v>396</v>
      </c>
      <c r="CZ245828" t="s">
        <v>396</v>
      </c>
      <c r="DA245828" t="s">
        <v>396</v>
      </c>
      <c r="DB245828" t="s">
        <v>400</v>
      </c>
      <c r="DC245828" t="s">
        <v>400</v>
      </c>
      <c r="DD245828" t="s">
        <v>400</v>
      </c>
      <c r="DE245828" t="s">
        <v>400</v>
      </c>
      <c r="DF245828" t="s">
        <v>400</v>
      </c>
      <c r="DG245828" t="s">
        <v>400</v>
      </c>
      <c r="DH245828" t="s">
        <v>400</v>
      </c>
      <c r="DI245828" t="s">
        <v>121</v>
      </c>
      <c r="DJ245828" t="s">
        <v>121</v>
      </c>
      <c r="DK245828" t="s">
        <v>121</v>
      </c>
      <c r="DL245828" t="s">
        <v>121</v>
      </c>
      <c r="DM245828" t="s">
        <v>121</v>
      </c>
      <c r="DN245828" t="s">
        <v>121</v>
      </c>
      <c r="DO245828" t="s">
        <v>121</v>
      </c>
      <c r="DP245828" t="s">
        <v>121</v>
      </c>
      <c r="DQ245828" t="s">
        <v>121</v>
      </c>
      <c r="DR245828" t="s">
        <v>121</v>
      </c>
      <c r="DS245828" t="s">
        <v>121</v>
      </c>
      <c r="DT245828" t="s">
        <v>121</v>
      </c>
      <c r="DU245828" t="s">
        <v>121</v>
      </c>
      <c r="DV245828" t="s">
        <v>121</v>
      </c>
      <c r="DW245828" t="s">
        <v>121</v>
      </c>
      <c r="DX245828" t="s">
        <v>423</v>
      </c>
      <c r="DY245828" t="s">
        <v>423</v>
      </c>
      <c r="DZ245828" t="s">
        <v>426</v>
      </c>
      <c r="EA245828" t="s">
        <v>426</v>
      </c>
      <c r="EB245828" t="s">
        <v>426</v>
      </c>
      <c r="EC245828" t="s">
        <v>426</v>
      </c>
      <c r="ED245828" t="s">
        <v>426</v>
      </c>
      <c r="EE245828" t="s">
        <v>432</v>
      </c>
      <c r="EF245828" t="s">
        <v>432</v>
      </c>
      <c r="EG245828" t="s">
        <v>432</v>
      </c>
      <c r="EH245828" t="s">
        <v>432</v>
      </c>
      <c r="EI245828" t="s">
        <v>432</v>
      </c>
      <c r="EJ245828" t="s">
        <v>432</v>
      </c>
      <c r="EK245828" t="s">
        <v>432</v>
      </c>
      <c r="EL245828" t="s">
        <v>440</v>
      </c>
      <c r="EM245828" t="s">
        <v>440</v>
      </c>
      <c r="EN245828" t="s">
        <v>440</v>
      </c>
      <c r="EO245828" t="s">
        <v>440</v>
      </c>
      <c r="EP245828" t="s">
        <v>440</v>
      </c>
    </row>
    <row r="245829" spans="2:146">
      <c r="BQ245829" t="s">
        <v>351</v>
      </c>
      <c r="BR245829" t="s">
        <v>355</v>
      </c>
      <c r="BS245829" t="s">
        <v>356</v>
      </c>
      <c r="BT245829" t="s">
        <v>358</v>
      </c>
      <c r="BU245829" t="s">
        <v>359</v>
      </c>
      <c r="BV245829" t="s">
        <v>361</v>
      </c>
      <c r="BW245829" t="s">
        <v>362</v>
      </c>
      <c r="BX245829" t="s">
        <v>363</v>
      </c>
      <c r="BY245829" t="s">
        <v>365</v>
      </c>
      <c r="BZ245829" t="s">
        <v>366</v>
      </c>
      <c r="CA245829" t="s">
        <v>367</v>
      </c>
      <c r="CB245829" t="s">
        <v>369</v>
      </c>
      <c r="CC245829" t="s">
        <v>370</v>
      </c>
      <c r="CD245829" t="s">
        <v>371</v>
      </c>
      <c r="CE245829" t="s">
        <v>353</v>
      </c>
      <c r="CF245829" t="s">
        <v>354</v>
      </c>
      <c r="CG245829" t="s">
        <v>373</v>
      </c>
      <c r="CH245829" t="s">
        <v>374</v>
      </c>
      <c r="CI245829" t="s">
        <v>376</v>
      </c>
      <c r="CJ245829" t="s">
        <v>377</v>
      </c>
      <c r="CK245829" t="s">
        <v>378</v>
      </c>
      <c r="CL245829" t="s">
        <v>380</v>
      </c>
      <c r="CM245829" t="s">
        <v>381</v>
      </c>
      <c r="CN245829" t="s">
        <v>382</v>
      </c>
      <c r="CO245829" t="s">
        <v>384</v>
      </c>
      <c r="CP245829" t="s">
        <v>385</v>
      </c>
      <c r="CQ245829" t="s">
        <v>386</v>
      </c>
      <c r="CR245829" t="s">
        <v>387</v>
      </c>
      <c r="CS245829" t="s">
        <v>388</v>
      </c>
      <c r="CT245829" t="s">
        <v>390</v>
      </c>
      <c r="CU245829" t="s">
        <v>391</v>
      </c>
      <c r="CV245829" t="s">
        <v>392</v>
      </c>
      <c r="CW245829" t="s">
        <v>394</v>
      </c>
      <c r="CX245829" t="s">
        <v>395</v>
      </c>
      <c r="CY245829" t="s">
        <v>397</v>
      </c>
      <c r="CZ245829" t="s">
        <v>398</v>
      </c>
      <c r="DA245829" t="s">
        <v>399</v>
      </c>
      <c r="DB245829" t="s">
        <v>401</v>
      </c>
      <c r="DC245829" t="s">
        <v>402</v>
      </c>
      <c r="DD245829" t="s">
        <v>403</v>
      </c>
      <c r="DE245829" t="s">
        <v>404</v>
      </c>
      <c r="DF245829" t="s">
        <v>405</v>
      </c>
      <c r="DG245829" t="s">
        <v>406</v>
      </c>
      <c r="DH245829" t="s">
        <v>407</v>
      </c>
      <c r="DI245829" t="s">
        <v>408</v>
      </c>
      <c r="DJ245829" t="s">
        <v>409</v>
      </c>
      <c r="DK245829" t="s">
        <v>410</v>
      </c>
      <c r="DL245829" t="s">
        <v>411</v>
      </c>
      <c r="DM245829" t="s">
        <v>412</v>
      </c>
      <c r="DN245829" t="s">
        <v>413</v>
      </c>
      <c r="DO245829" t="s">
        <v>414</v>
      </c>
      <c r="DP245829" t="s">
        <v>415</v>
      </c>
      <c r="DQ245829" t="s">
        <v>416</v>
      </c>
      <c r="DR245829" t="s">
        <v>417</v>
      </c>
      <c r="DS245829" t="s">
        <v>418</v>
      </c>
      <c r="DT245829" t="s">
        <v>419</v>
      </c>
      <c r="DU245829" t="s">
        <v>420</v>
      </c>
      <c r="DV245829" t="s">
        <v>421</v>
      </c>
      <c r="DW245829" t="s">
        <v>422</v>
      </c>
      <c r="DX245829" t="s">
        <v>424</v>
      </c>
      <c r="DY245829" t="s">
        <v>425</v>
      </c>
      <c r="DZ245829" t="s">
        <v>427</v>
      </c>
      <c r="EA245829" t="s">
        <v>428</v>
      </c>
      <c r="EB245829" t="s">
        <v>429</v>
      </c>
      <c r="EC245829" t="s">
        <v>430</v>
      </c>
      <c r="ED245829" t="s">
        <v>431</v>
      </c>
      <c r="EE245829" t="s">
        <v>433</v>
      </c>
      <c r="EF245829" t="s">
        <v>434</v>
      </c>
      <c r="EG245829" t="s">
        <v>435</v>
      </c>
      <c r="EH245829" t="s">
        <v>436</v>
      </c>
      <c r="EI245829" t="s">
        <v>437</v>
      </c>
      <c r="EJ245829" t="s">
        <v>438</v>
      </c>
      <c r="EK245829" t="s">
        <v>439</v>
      </c>
      <c r="EL245829" t="s">
        <v>441</v>
      </c>
      <c r="EM245829" t="s">
        <v>442</v>
      </c>
      <c r="EN245829" t="s">
        <v>443</v>
      </c>
      <c r="EO245829" t="s">
        <v>444</v>
      </c>
      <c r="EP245829" t="s">
        <v>445</v>
      </c>
    </row>
    <row r="245830" spans="2:146">
      <c r="BQ245830">
        <v>67</v>
      </c>
      <c r="BR245830">
        <v>68</v>
      </c>
      <c r="BS245830">
        <v>69</v>
      </c>
      <c r="BT245830">
        <v>70</v>
      </c>
      <c r="BU245830">
        <v>71</v>
      </c>
      <c r="BV245830">
        <v>72</v>
      </c>
      <c r="BW245830">
        <v>73</v>
      </c>
      <c r="BX245830">
        <v>74</v>
      </c>
      <c r="BY245830">
        <v>75</v>
      </c>
      <c r="BZ245830">
        <v>76</v>
      </c>
      <c r="CA245830">
        <v>77</v>
      </c>
      <c r="CB245830">
        <v>78</v>
      </c>
      <c r="CC245830">
        <v>79</v>
      </c>
      <c r="CD245830">
        <v>80</v>
      </c>
      <c r="CE245830">
        <v>81</v>
      </c>
      <c r="CF245830">
        <v>82</v>
      </c>
      <c r="CG245830">
        <v>83</v>
      </c>
      <c r="CH245830">
        <v>84</v>
      </c>
      <c r="CI245830">
        <v>85</v>
      </c>
      <c r="CJ245830">
        <v>86</v>
      </c>
      <c r="CK245830">
        <v>87</v>
      </c>
      <c r="CL245830">
        <v>88</v>
      </c>
      <c r="CM245830">
        <v>89</v>
      </c>
      <c r="CN245830">
        <v>90</v>
      </c>
      <c r="CO245830">
        <v>91</v>
      </c>
      <c r="CP245830">
        <v>92</v>
      </c>
      <c r="CQ245830">
        <v>93</v>
      </c>
      <c r="CR245830">
        <v>94</v>
      </c>
      <c r="CS245830">
        <v>95</v>
      </c>
      <c r="CT245830">
        <v>96</v>
      </c>
      <c r="CU245830">
        <v>97</v>
      </c>
      <c r="CV245830">
        <v>98</v>
      </c>
      <c r="CW245830">
        <v>99</v>
      </c>
      <c r="CX245830">
        <v>100</v>
      </c>
      <c r="CY245830">
        <v>101</v>
      </c>
      <c r="CZ245830">
        <v>102</v>
      </c>
      <c r="DA245830">
        <v>103</v>
      </c>
      <c r="DB245830">
        <v>104</v>
      </c>
      <c r="DC245830">
        <v>105</v>
      </c>
      <c r="DD245830">
        <v>106</v>
      </c>
      <c r="DE245830">
        <v>107</v>
      </c>
      <c r="DF245830">
        <v>108</v>
      </c>
      <c r="DG245830">
        <v>109</v>
      </c>
      <c r="DH245830">
        <v>110</v>
      </c>
      <c r="DI245830">
        <v>111</v>
      </c>
      <c r="DJ245830">
        <v>112</v>
      </c>
      <c r="DK245830">
        <v>113</v>
      </c>
      <c r="DL245830">
        <v>114</v>
      </c>
      <c r="DM245830">
        <v>115</v>
      </c>
      <c r="DN245830">
        <v>116</v>
      </c>
      <c r="DO245830">
        <v>117</v>
      </c>
      <c r="DP245830">
        <v>118</v>
      </c>
      <c r="DQ245830">
        <v>119</v>
      </c>
      <c r="DR245830">
        <v>120</v>
      </c>
      <c r="DS245830">
        <v>121</v>
      </c>
      <c r="DT245830">
        <v>122</v>
      </c>
      <c r="DU245830">
        <v>123</v>
      </c>
      <c r="DV245830">
        <v>124</v>
      </c>
      <c r="DW245830">
        <v>125</v>
      </c>
      <c r="DX245830">
        <v>126</v>
      </c>
      <c r="DY245830">
        <v>127</v>
      </c>
      <c r="DZ245830">
        <v>128</v>
      </c>
      <c r="EA245830">
        <v>129</v>
      </c>
      <c r="EB245830">
        <v>130</v>
      </c>
      <c r="EC245830">
        <v>131</v>
      </c>
      <c r="ED245830">
        <v>132</v>
      </c>
      <c r="EE245830">
        <v>133</v>
      </c>
      <c r="EF245830">
        <v>134</v>
      </c>
      <c r="EG245830">
        <v>135</v>
      </c>
      <c r="EH245830">
        <v>136</v>
      </c>
      <c r="EI245830">
        <v>137</v>
      </c>
      <c r="EJ245830">
        <v>138</v>
      </c>
      <c r="EK245830">
        <v>139</v>
      </c>
      <c r="EL245830">
        <v>140</v>
      </c>
      <c r="EM245830">
        <v>141</v>
      </c>
      <c r="EN245830">
        <v>142</v>
      </c>
      <c r="EO245830">
        <v>143</v>
      </c>
      <c r="EP245830">
        <v>144</v>
      </c>
    </row>
    <row r="245831" spans="2:146">
      <c r="CE245831" t="s">
        <v>451</v>
      </c>
    </row>
    <row r="262146" spans="2:2">
      <c r="B262146">
        <v>200</v>
      </c>
    </row>
    <row r="262147" spans="2:2">
      <c r="B262147">
        <v>200</v>
      </c>
    </row>
    <row r="262148" spans="2:2">
      <c r="B262148">
        <v>800</v>
      </c>
    </row>
    <row r="262149" spans="2:2">
      <c r="B262149">
        <v>200</v>
      </c>
    </row>
    <row r="262150" spans="2:2">
      <c r="B262150">
        <v>1044</v>
      </c>
    </row>
    <row r="262151" spans="2:2">
      <c r="B262151">
        <v>998.40000000000009</v>
      </c>
    </row>
    <row r="262152" spans="2:2">
      <c r="B262152">
        <v>272</v>
      </c>
    </row>
    <row r="262153" spans="2:2">
      <c r="B262153">
        <v>200</v>
      </c>
    </row>
    <row r="262154" spans="2:2">
      <c r="B262154">
        <v>214</v>
      </c>
    </row>
    <row r="262155" spans="2:2">
      <c r="B262155">
        <v>200</v>
      </c>
    </row>
    <row r="262156" spans="2:2">
      <c r="B262156">
        <v>152</v>
      </c>
    </row>
    <row r="262157" spans="2:2">
      <c r="B262157">
        <v>200</v>
      </c>
    </row>
    <row r="262158" spans="2:2">
      <c r="B262158">
        <v>300</v>
      </c>
    </row>
    <row r="262159" spans="2:2">
      <c r="B262159">
        <v>104</v>
      </c>
    </row>
    <row r="262160" spans="2:2">
      <c r="B262160">
        <v>162</v>
      </c>
    </row>
    <row r="262161" spans="2:2">
      <c r="B262161">
        <v>200</v>
      </c>
    </row>
    <row r="262162" spans="2:2">
      <c r="B262162">
        <v>200</v>
      </c>
    </row>
    <row r="262163" spans="2:2">
      <c r="B262163">
        <v>200</v>
      </c>
    </row>
    <row r="262164" spans="2:2">
      <c r="B262164">
        <v>200</v>
      </c>
    </row>
    <row r="262165" spans="2:2">
      <c r="B262165">
        <v>200</v>
      </c>
    </row>
    <row r="262166" spans="2:2">
      <c r="B262166">
        <v>200</v>
      </c>
    </row>
    <row r="262167" spans="2:2">
      <c r="B262167">
        <v>200</v>
      </c>
    </row>
    <row r="262168" spans="2:2">
      <c r="B262168">
        <v>200</v>
      </c>
    </row>
    <row r="262169" spans="2:2">
      <c r="B262169">
        <v>800</v>
      </c>
    </row>
    <row r="262170" spans="2:2">
      <c r="B262170">
        <v>300</v>
      </c>
    </row>
    <row r="262171" spans="2:2">
      <c r="B262171">
        <v>778</v>
      </c>
    </row>
    <row r="262172" spans="2:2">
      <c r="B262172">
        <v>614</v>
      </c>
    </row>
    <row r="262173" spans="2:2">
      <c r="B262173">
        <v>444</v>
      </c>
    </row>
    <row r="262174" spans="2:2">
      <c r="B262174">
        <v>800</v>
      </c>
    </row>
    <row r="262175" spans="2:2">
      <c r="B262175">
        <v>200</v>
      </c>
    </row>
    <row r="262176" spans="2:2">
      <c r="B262176">
        <v>780</v>
      </c>
    </row>
    <row r="262177" spans="2:146">
      <c r="B262177">
        <v>174</v>
      </c>
    </row>
    <row r="262178" spans="2:146">
      <c r="B262178">
        <v>194</v>
      </c>
    </row>
    <row r="262179" spans="2:146">
      <c r="B262179">
        <v>782</v>
      </c>
    </row>
    <row r="262180" spans="2:146">
      <c r="B262180">
        <v>236</v>
      </c>
    </row>
    <row r="262181" spans="2:146">
      <c r="B262181">
        <v>144</v>
      </c>
    </row>
    <row r="262182" spans="2:146">
      <c r="B262182">
        <v>200</v>
      </c>
    </row>
    <row r="262183" spans="2:146">
      <c r="B262183">
        <v>240</v>
      </c>
    </row>
    <row r="262184" spans="2:146">
      <c r="B262184">
        <v>200</v>
      </c>
    </row>
    <row r="262185" spans="2:146">
      <c r="B262185">
        <v>612</v>
      </c>
    </row>
    <row r="262186" spans="2:146">
      <c r="B262186">
        <v>156</v>
      </c>
    </row>
    <row r="262187" spans="2:146">
      <c r="B262187">
        <v>116</v>
      </c>
    </row>
    <row r="262188" spans="2:146">
      <c r="B262188">
        <v>160</v>
      </c>
    </row>
    <row r="262189" spans="2:146">
      <c r="B262189">
        <v>80</v>
      </c>
      <c r="EL262189">
        <v>0.66</v>
      </c>
      <c r="EM262189">
        <v>0.66</v>
      </c>
      <c r="EN262189">
        <v>0.66</v>
      </c>
      <c r="EO262189">
        <v>0.66</v>
      </c>
      <c r="EP262189">
        <v>0.66</v>
      </c>
    </row>
    <row r="262190" spans="2:146">
      <c r="B262190">
        <v>1144</v>
      </c>
      <c r="BV262190">
        <v>5.0999999999999996</v>
      </c>
      <c r="BW262190">
        <v>5.0999999999999996</v>
      </c>
      <c r="DB262190">
        <v>10.210000000000001</v>
      </c>
      <c r="DC262190">
        <v>10.210000000000001</v>
      </c>
      <c r="DD262190">
        <v>10.210000000000001</v>
      </c>
      <c r="DE262190">
        <v>10.210000000000001</v>
      </c>
      <c r="DF262190">
        <v>10.210000000000001</v>
      </c>
      <c r="DG262190">
        <v>10.210000000000001</v>
      </c>
      <c r="DH262190">
        <v>10.210000000000001</v>
      </c>
    </row>
    <row r="262191" spans="2:146">
      <c r="B262191">
        <v>1240</v>
      </c>
      <c r="EE262191">
        <v>8.15</v>
      </c>
      <c r="EF262191">
        <v>8.15</v>
      </c>
      <c r="EG262191">
        <v>8.15</v>
      </c>
      <c r="EH262191">
        <v>8.15</v>
      </c>
      <c r="EI262191">
        <v>8.15</v>
      </c>
      <c r="EJ262191">
        <v>8.15</v>
      </c>
      <c r="EK262191">
        <v>8.15</v>
      </c>
    </row>
    <row r="262192" spans="2:146">
      <c r="B262192">
        <v>2083.2000000000003</v>
      </c>
      <c r="DI262192">
        <v>20.03</v>
      </c>
      <c r="DJ262192">
        <v>20.03</v>
      </c>
      <c r="DQ262192">
        <v>20.03</v>
      </c>
      <c r="DT262192">
        <v>20.03</v>
      </c>
      <c r="DW262192">
        <v>20.03</v>
      </c>
    </row>
    <row r="262193" spans="2:134">
      <c r="B262193">
        <v>357.20000000000005</v>
      </c>
      <c r="DI262193">
        <v>3.88</v>
      </c>
      <c r="DJ262193">
        <v>3.88</v>
      </c>
      <c r="DV262193">
        <v>3.88</v>
      </c>
      <c r="DW262193">
        <v>3.88</v>
      </c>
    </row>
    <row r="262194" spans="2:134">
      <c r="B262194">
        <v>391.20000000000005</v>
      </c>
      <c r="DI262194">
        <v>3.62</v>
      </c>
      <c r="DJ262194">
        <v>3.62</v>
      </c>
      <c r="DR262194">
        <v>3.62</v>
      </c>
      <c r="DU262194">
        <v>3.62</v>
      </c>
      <c r="DV262194">
        <v>3.62</v>
      </c>
    </row>
    <row r="262195" spans="2:134">
      <c r="B262195">
        <v>762.80000000000007</v>
      </c>
      <c r="DI262195">
        <v>6.15</v>
      </c>
      <c r="DJ262195">
        <v>6.15</v>
      </c>
      <c r="DQ262195">
        <v>6.15</v>
      </c>
      <c r="DR262195">
        <v>6.15</v>
      </c>
      <c r="DS262195">
        <v>6.15</v>
      </c>
      <c r="DT262195">
        <v>6.15</v>
      </c>
    </row>
    <row r="262196" spans="2:134">
      <c r="B262196">
        <v>1280</v>
      </c>
      <c r="DI262196">
        <v>10.66</v>
      </c>
      <c r="DJ262196">
        <v>10.66</v>
      </c>
      <c r="DK262196">
        <v>10.66</v>
      </c>
      <c r="DL262196">
        <v>10.66</v>
      </c>
      <c r="DM262196">
        <v>10.66</v>
      </c>
      <c r="DN262196">
        <v>10.66</v>
      </c>
    </row>
    <row r="262197" spans="2:134">
      <c r="B262197">
        <v>234</v>
      </c>
      <c r="CT262197">
        <v>2.5</v>
      </c>
      <c r="CU262197">
        <v>2.5</v>
      </c>
      <c r="CV262197">
        <v>2.5</v>
      </c>
    </row>
    <row r="262198" spans="2:134">
      <c r="B262198">
        <v>354</v>
      </c>
      <c r="CY262198">
        <v>3.98</v>
      </c>
      <c r="CZ262198">
        <v>3.98</v>
      </c>
      <c r="DA262198">
        <v>3.98</v>
      </c>
    </row>
    <row r="262199" spans="2:134">
      <c r="B262199">
        <v>392</v>
      </c>
      <c r="DI262199">
        <v>3.52</v>
      </c>
      <c r="DJ262199">
        <v>3.52</v>
      </c>
      <c r="DL262199">
        <v>3.52</v>
      </c>
      <c r="DO262199">
        <v>3.52</v>
      </c>
    </row>
    <row r="262200" spans="2:134">
      <c r="B262200">
        <v>304</v>
      </c>
      <c r="CE262200">
        <v>3.8</v>
      </c>
      <c r="CF262200">
        <v>3.8</v>
      </c>
    </row>
    <row r="262201" spans="2:134">
      <c r="B262201">
        <v>144</v>
      </c>
      <c r="DZ262201">
        <v>1.62</v>
      </c>
      <c r="EA262201">
        <v>1.62</v>
      </c>
      <c r="EB262201">
        <v>1.62</v>
      </c>
      <c r="EC262201">
        <v>0.81</v>
      </c>
      <c r="ED262201">
        <v>0.81</v>
      </c>
    </row>
    <row r="262202" spans="2:134">
      <c r="B262202">
        <v>602.40000000000009</v>
      </c>
      <c r="BY262202">
        <v>6.02</v>
      </c>
      <c r="BZ262202">
        <v>6.02</v>
      </c>
      <c r="CB262202">
        <v>3.01</v>
      </c>
      <c r="CC262202">
        <v>3.01</v>
      </c>
      <c r="CD262202">
        <v>3.01</v>
      </c>
      <c r="CI262202">
        <v>6.02</v>
      </c>
      <c r="CJ262202">
        <v>6.02</v>
      </c>
      <c r="CK262202">
        <v>6.02</v>
      </c>
    </row>
    <row r="262203" spans="2:134">
      <c r="B262203">
        <v>307.60000000000002</v>
      </c>
      <c r="BY262203">
        <v>3.34</v>
      </c>
      <c r="BZ262203">
        <v>3.34</v>
      </c>
      <c r="CG262203">
        <v>3.34</v>
      </c>
      <c r="CH262203">
        <v>3.34</v>
      </c>
    </row>
    <row r="262204" spans="2:134">
      <c r="B262204">
        <v>358</v>
      </c>
      <c r="BY262204">
        <v>2.37</v>
      </c>
      <c r="BZ262204">
        <v>2.37</v>
      </c>
      <c r="CA262204">
        <v>2.37</v>
      </c>
      <c r="DX262204">
        <v>4.74</v>
      </c>
      <c r="DY262204">
        <v>4.74</v>
      </c>
    </row>
    <row r="262205" spans="2:134">
      <c r="B262205">
        <v>286</v>
      </c>
      <c r="BT262205">
        <v>1.43</v>
      </c>
      <c r="BV262205">
        <v>1.43</v>
      </c>
      <c r="BW262205">
        <v>1.43</v>
      </c>
      <c r="BX262205">
        <v>1.43</v>
      </c>
      <c r="CO262205">
        <v>2.86</v>
      </c>
      <c r="CP262205">
        <v>2.86</v>
      </c>
      <c r="CQ262205">
        <v>2.86</v>
      </c>
      <c r="CR262205">
        <v>2.86</v>
      </c>
      <c r="CS262205">
        <v>2.86</v>
      </c>
    </row>
    <row r="262206" spans="2:134">
      <c r="B262206">
        <v>410</v>
      </c>
      <c r="BY262206">
        <v>2.88</v>
      </c>
      <c r="BZ262206">
        <v>2.88</v>
      </c>
      <c r="CA262206">
        <v>2.88</v>
      </c>
      <c r="CW262206">
        <v>5.76</v>
      </c>
      <c r="CX262206">
        <v>5.76</v>
      </c>
    </row>
    <row r="262207" spans="2:134">
      <c r="B262207">
        <v>346</v>
      </c>
      <c r="BR262207">
        <v>3.6</v>
      </c>
      <c r="BS262207">
        <v>3.6</v>
      </c>
      <c r="BT262207">
        <v>1.8</v>
      </c>
      <c r="CL262207">
        <v>3.6</v>
      </c>
      <c r="CM262207">
        <v>3.6</v>
      </c>
      <c r="CN262207">
        <v>3.6</v>
      </c>
    </row>
    <row r="262208" spans="2:134">
      <c r="B262208">
        <v>302</v>
      </c>
      <c r="BR262208">
        <v>3.28</v>
      </c>
      <c r="BS262208">
        <v>3.28</v>
      </c>
      <c r="BT262208">
        <v>1.64</v>
      </c>
      <c r="BU262208">
        <v>1.64</v>
      </c>
      <c r="CL262208">
        <v>3.28</v>
      </c>
      <c r="CM262208">
        <v>3.28</v>
      </c>
      <c r="CN262208">
        <v>3.28</v>
      </c>
    </row>
    <row r="262209" spans="2:146">
      <c r="B262209">
        <v>204</v>
      </c>
      <c r="BR262209">
        <v>2.12</v>
      </c>
      <c r="BS262209">
        <v>2.12</v>
      </c>
      <c r="BT262209">
        <v>1.06</v>
      </c>
      <c r="CL262209">
        <v>2.12</v>
      </c>
      <c r="CM262209">
        <v>2.12</v>
      </c>
      <c r="CN262209">
        <v>2.12</v>
      </c>
    </row>
    <row r="262211" spans="2:146">
      <c r="B262211">
        <v>26358.800000000003</v>
      </c>
      <c r="BQ262211">
        <v>0</v>
      </c>
      <c r="BR262211">
        <v>9</v>
      </c>
      <c r="BS262211">
        <v>9</v>
      </c>
      <c r="BT262211">
        <v>5.93</v>
      </c>
      <c r="BU262211">
        <v>1.64</v>
      </c>
      <c r="BV262211">
        <v>6.5299999999999994</v>
      </c>
      <c r="BW262211">
        <v>6.5299999999999994</v>
      </c>
      <c r="BX262211">
        <v>1.43</v>
      </c>
      <c r="BY262211">
        <v>14.61</v>
      </c>
      <c r="BZ262211">
        <v>14.61</v>
      </c>
      <c r="CA262211">
        <v>5.25</v>
      </c>
      <c r="CB262211">
        <v>3.01</v>
      </c>
      <c r="CC262211">
        <v>3.01</v>
      </c>
      <c r="CD262211">
        <v>3.01</v>
      </c>
      <c r="CE262211">
        <v>3.8</v>
      </c>
      <c r="CF262211">
        <v>3.8</v>
      </c>
      <c r="CG262211">
        <v>3.34</v>
      </c>
      <c r="CH262211">
        <v>3.34</v>
      </c>
      <c r="CI262211">
        <v>6.02</v>
      </c>
      <c r="CJ262211">
        <v>6.02</v>
      </c>
      <c r="CK262211">
        <v>6.02</v>
      </c>
      <c r="CL262211">
        <v>9</v>
      </c>
      <c r="CM262211">
        <v>9</v>
      </c>
      <c r="CN262211">
        <v>9</v>
      </c>
      <c r="CO262211">
        <v>2.86</v>
      </c>
      <c r="CP262211">
        <v>2.86</v>
      </c>
      <c r="CQ262211">
        <v>2.86</v>
      </c>
      <c r="CR262211">
        <v>2.86</v>
      </c>
      <c r="CS262211">
        <v>2.86</v>
      </c>
      <c r="CT262211">
        <v>2.5</v>
      </c>
      <c r="CU262211">
        <v>2.5</v>
      </c>
      <c r="CV262211">
        <v>2.5</v>
      </c>
      <c r="CW262211">
        <v>5.76</v>
      </c>
      <c r="CX262211">
        <v>5.76</v>
      </c>
      <c r="CY262211">
        <v>3.98</v>
      </c>
      <c r="CZ262211">
        <v>3.98</v>
      </c>
      <c r="DA262211">
        <v>3.98</v>
      </c>
      <c r="DB262211">
        <v>10.210000000000001</v>
      </c>
      <c r="DC262211">
        <v>10.210000000000001</v>
      </c>
      <c r="DD262211">
        <v>10.210000000000001</v>
      </c>
      <c r="DE262211">
        <v>10.210000000000001</v>
      </c>
      <c r="DF262211">
        <v>10.210000000000001</v>
      </c>
      <c r="DG262211">
        <v>10.210000000000001</v>
      </c>
      <c r="DH262211">
        <v>10.210000000000001</v>
      </c>
      <c r="DI262211">
        <v>47.860000000000007</v>
      </c>
      <c r="DJ262211">
        <v>47.860000000000007</v>
      </c>
      <c r="DK262211">
        <v>10.66</v>
      </c>
      <c r="DL262211">
        <v>14.18</v>
      </c>
      <c r="DM262211">
        <v>10.66</v>
      </c>
      <c r="DN262211">
        <v>10.66</v>
      </c>
      <c r="DO262211">
        <v>3.52</v>
      </c>
      <c r="DP262211">
        <v>0</v>
      </c>
      <c r="DQ262211">
        <v>26.18</v>
      </c>
      <c r="DR262211">
        <v>9.77</v>
      </c>
      <c r="DS262211">
        <v>6.15</v>
      </c>
      <c r="DT262211">
        <v>26.18</v>
      </c>
      <c r="DU262211">
        <v>3.62</v>
      </c>
      <c r="DV262211">
        <v>7.5</v>
      </c>
      <c r="DW262211">
        <v>23.91</v>
      </c>
      <c r="DX262211">
        <v>4.74</v>
      </c>
      <c r="DY262211">
        <v>4.74</v>
      </c>
      <c r="DZ262211">
        <v>1.62</v>
      </c>
      <c r="EA262211">
        <v>1.62</v>
      </c>
      <c r="EB262211">
        <v>1.62</v>
      </c>
      <c r="EC262211">
        <v>0.81</v>
      </c>
      <c r="ED262211">
        <v>0.81</v>
      </c>
      <c r="EE262211">
        <v>8.15</v>
      </c>
      <c r="EF262211">
        <v>8.15</v>
      </c>
      <c r="EG262211">
        <v>8.15</v>
      </c>
      <c r="EH262211">
        <v>8.15</v>
      </c>
      <c r="EI262211">
        <v>8.15</v>
      </c>
      <c r="EJ262211">
        <v>8.15</v>
      </c>
      <c r="EK262211">
        <v>8.15</v>
      </c>
      <c r="EL262211">
        <v>0.66</v>
      </c>
      <c r="EM262211">
        <v>0.66</v>
      </c>
      <c r="EN262211">
        <v>0.66</v>
      </c>
      <c r="EO262211">
        <v>0.66</v>
      </c>
      <c r="EP262211">
        <v>0.66</v>
      </c>
    </row>
    <row r="262212" spans="2:146">
      <c r="B262212" t="s">
        <v>265</v>
      </c>
      <c r="BQ262212" t="s">
        <v>345</v>
      </c>
      <c r="BR262212" t="s">
        <v>131</v>
      </c>
      <c r="BS262212" t="s">
        <v>131</v>
      </c>
      <c r="BT262212" t="s">
        <v>357</v>
      </c>
      <c r="BU262212" t="s">
        <v>131</v>
      </c>
      <c r="BV262212" t="s">
        <v>360</v>
      </c>
      <c r="BW262212" t="s">
        <v>360</v>
      </c>
      <c r="BX262212" t="s">
        <v>360</v>
      </c>
      <c r="BY262212" t="s">
        <v>364</v>
      </c>
      <c r="BZ262212" t="s">
        <v>364</v>
      </c>
      <c r="CA262212" t="s">
        <v>364</v>
      </c>
      <c r="CB262212" t="s">
        <v>368</v>
      </c>
      <c r="CC262212" t="s">
        <v>368</v>
      </c>
      <c r="CD262212" t="s">
        <v>368</v>
      </c>
      <c r="CE262212" t="s">
        <v>352</v>
      </c>
      <c r="CF262212" t="s">
        <v>352</v>
      </c>
      <c r="CG262212" t="s">
        <v>372</v>
      </c>
      <c r="CH262212" t="s">
        <v>372</v>
      </c>
      <c r="CI262212" t="s">
        <v>375</v>
      </c>
      <c r="CJ262212" t="s">
        <v>375</v>
      </c>
      <c r="CK262212" t="s">
        <v>375</v>
      </c>
      <c r="CL262212" t="s">
        <v>379</v>
      </c>
      <c r="CM262212" t="s">
        <v>379</v>
      </c>
      <c r="CN262212" t="s">
        <v>379</v>
      </c>
      <c r="CO262212" t="s">
        <v>383</v>
      </c>
      <c r="CP262212" t="s">
        <v>383</v>
      </c>
      <c r="CQ262212" t="s">
        <v>383</v>
      </c>
      <c r="CR262212" t="s">
        <v>383</v>
      </c>
      <c r="CS262212" t="s">
        <v>383</v>
      </c>
      <c r="CT262212" t="s">
        <v>389</v>
      </c>
      <c r="CU262212" t="s">
        <v>389</v>
      </c>
      <c r="CV262212" t="s">
        <v>389</v>
      </c>
      <c r="CW262212" t="s">
        <v>393</v>
      </c>
      <c r="CX262212" t="s">
        <v>393</v>
      </c>
      <c r="CY262212" t="s">
        <v>396</v>
      </c>
      <c r="CZ262212" t="s">
        <v>396</v>
      </c>
      <c r="DA262212" t="s">
        <v>396</v>
      </c>
      <c r="DB262212" t="s">
        <v>400</v>
      </c>
      <c r="DC262212" t="s">
        <v>400</v>
      </c>
      <c r="DD262212" t="s">
        <v>400</v>
      </c>
      <c r="DE262212" t="s">
        <v>400</v>
      </c>
      <c r="DF262212" t="s">
        <v>400</v>
      </c>
      <c r="DG262212" t="s">
        <v>400</v>
      </c>
      <c r="DH262212" t="s">
        <v>400</v>
      </c>
      <c r="DI262212" t="s">
        <v>121</v>
      </c>
      <c r="DJ262212" t="s">
        <v>121</v>
      </c>
      <c r="DK262212" t="s">
        <v>121</v>
      </c>
      <c r="DL262212" t="s">
        <v>121</v>
      </c>
      <c r="DM262212" t="s">
        <v>121</v>
      </c>
      <c r="DN262212" t="s">
        <v>121</v>
      </c>
      <c r="DO262212" t="s">
        <v>121</v>
      </c>
      <c r="DP262212" t="s">
        <v>121</v>
      </c>
      <c r="DQ262212" t="s">
        <v>121</v>
      </c>
      <c r="DR262212" t="s">
        <v>121</v>
      </c>
      <c r="DS262212" t="s">
        <v>121</v>
      </c>
      <c r="DT262212" t="s">
        <v>121</v>
      </c>
      <c r="DU262212" t="s">
        <v>121</v>
      </c>
      <c r="DV262212" t="s">
        <v>121</v>
      </c>
      <c r="DW262212" t="s">
        <v>121</v>
      </c>
      <c r="DX262212" t="s">
        <v>423</v>
      </c>
      <c r="DY262212" t="s">
        <v>423</v>
      </c>
      <c r="DZ262212" t="s">
        <v>426</v>
      </c>
      <c r="EA262212" t="s">
        <v>426</v>
      </c>
      <c r="EB262212" t="s">
        <v>426</v>
      </c>
      <c r="EC262212" t="s">
        <v>426</v>
      </c>
      <c r="ED262212" t="s">
        <v>426</v>
      </c>
      <c r="EE262212" t="s">
        <v>432</v>
      </c>
      <c r="EF262212" t="s">
        <v>432</v>
      </c>
      <c r="EG262212" t="s">
        <v>432</v>
      </c>
      <c r="EH262212" t="s">
        <v>432</v>
      </c>
      <c r="EI262212" t="s">
        <v>432</v>
      </c>
      <c r="EJ262212" t="s">
        <v>432</v>
      </c>
      <c r="EK262212" t="s">
        <v>432</v>
      </c>
      <c r="EL262212" t="s">
        <v>440</v>
      </c>
      <c r="EM262212" t="s">
        <v>440</v>
      </c>
      <c r="EN262212" t="s">
        <v>440</v>
      </c>
      <c r="EO262212" t="s">
        <v>440</v>
      </c>
      <c r="EP262212" t="s">
        <v>440</v>
      </c>
    </row>
    <row r="262213" spans="2:146">
      <c r="BQ262213" t="s">
        <v>351</v>
      </c>
      <c r="BR262213" t="s">
        <v>355</v>
      </c>
      <c r="BS262213" t="s">
        <v>356</v>
      </c>
      <c r="BT262213" t="s">
        <v>358</v>
      </c>
      <c r="BU262213" t="s">
        <v>359</v>
      </c>
      <c r="BV262213" t="s">
        <v>361</v>
      </c>
      <c r="BW262213" t="s">
        <v>362</v>
      </c>
      <c r="BX262213" t="s">
        <v>363</v>
      </c>
      <c r="BY262213" t="s">
        <v>365</v>
      </c>
      <c r="BZ262213" t="s">
        <v>366</v>
      </c>
      <c r="CA262213" t="s">
        <v>367</v>
      </c>
      <c r="CB262213" t="s">
        <v>369</v>
      </c>
      <c r="CC262213" t="s">
        <v>370</v>
      </c>
      <c r="CD262213" t="s">
        <v>371</v>
      </c>
      <c r="CE262213" t="s">
        <v>353</v>
      </c>
      <c r="CF262213" t="s">
        <v>354</v>
      </c>
      <c r="CG262213" t="s">
        <v>373</v>
      </c>
      <c r="CH262213" t="s">
        <v>374</v>
      </c>
      <c r="CI262213" t="s">
        <v>376</v>
      </c>
      <c r="CJ262213" t="s">
        <v>377</v>
      </c>
      <c r="CK262213" t="s">
        <v>378</v>
      </c>
      <c r="CL262213" t="s">
        <v>380</v>
      </c>
      <c r="CM262213" t="s">
        <v>381</v>
      </c>
      <c r="CN262213" t="s">
        <v>382</v>
      </c>
      <c r="CO262213" t="s">
        <v>384</v>
      </c>
      <c r="CP262213" t="s">
        <v>385</v>
      </c>
      <c r="CQ262213" t="s">
        <v>386</v>
      </c>
      <c r="CR262213" t="s">
        <v>387</v>
      </c>
      <c r="CS262213" t="s">
        <v>388</v>
      </c>
      <c r="CT262213" t="s">
        <v>390</v>
      </c>
      <c r="CU262213" t="s">
        <v>391</v>
      </c>
      <c r="CV262213" t="s">
        <v>392</v>
      </c>
      <c r="CW262213" t="s">
        <v>394</v>
      </c>
      <c r="CX262213" t="s">
        <v>395</v>
      </c>
      <c r="CY262213" t="s">
        <v>397</v>
      </c>
      <c r="CZ262213" t="s">
        <v>398</v>
      </c>
      <c r="DA262213" t="s">
        <v>399</v>
      </c>
      <c r="DB262213" t="s">
        <v>401</v>
      </c>
      <c r="DC262213" t="s">
        <v>402</v>
      </c>
      <c r="DD262213" t="s">
        <v>403</v>
      </c>
      <c r="DE262213" t="s">
        <v>404</v>
      </c>
      <c r="DF262213" t="s">
        <v>405</v>
      </c>
      <c r="DG262213" t="s">
        <v>406</v>
      </c>
      <c r="DH262213" t="s">
        <v>407</v>
      </c>
      <c r="DI262213" t="s">
        <v>408</v>
      </c>
      <c r="DJ262213" t="s">
        <v>409</v>
      </c>
      <c r="DK262213" t="s">
        <v>410</v>
      </c>
      <c r="DL262213" t="s">
        <v>411</v>
      </c>
      <c r="DM262213" t="s">
        <v>412</v>
      </c>
      <c r="DN262213" t="s">
        <v>413</v>
      </c>
      <c r="DO262213" t="s">
        <v>414</v>
      </c>
      <c r="DP262213" t="s">
        <v>415</v>
      </c>
      <c r="DQ262213" t="s">
        <v>416</v>
      </c>
      <c r="DR262213" t="s">
        <v>417</v>
      </c>
      <c r="DS262213" t="s">
        <v>418</v>
      </c>
      <c r="DT262213" t="s">
        <v>419</v>
      </c>
      <c r="DU262213" t="s">
        <v>420</v>
      </c>
      <c r="DV262213" t="s">
        <v>421</v>
      </c>
      <c r="DW262213" t="s">
        <v>422</v>
      </c>
      <c r="DX262213" t="s">
        <v>424</v>
      </c>
      <c r="DY262213" t="s">
        <v>425</v>
      </c>
      <c r="DZ262213" t="s">
        <v>427</v>
      </c>
      <c r="EA262213" t="s">
        <v>428</v>
      </c>
      <c r="EB262213" t="s">
        <v>429</v>
      </c>
      <c r="EC262213" t="s">
        <v>430</v>
      </c>
      <c r="ED262213" t="s">
        <v>431</v>
      </c>
      <c r="EE262213" t="s">
        <v>433</v>
      </c>
      <c r="EF262213" t="s">
        <v>434</v>
      </c>
      <c r="EG262213" t="s">
        <v>435</v>
      </c>
      <c r="EH262213" t="s">
        <v>436</v>
      </c>
      <c r="EI262213" t="s">
        <v>437</v>
      </c>
      <c r="EJ262213" t="s">
        <v>438</v>
      </c>
      <c r="EK262213" t="s">
        <v>439</v>
      </c>
      <c r="EL262213" t="s">
        <v>441</v>
      </c>
      <c r="EM262213" t="s">
        <v>442</v>
      </c>
      <c r="EN262213" t="s">
        <v>443</v>
      </c>
      <c r="EO262213" t="s">
        <v>444</v>
      </c>
      <c r="EP262213" t="s">
        <v>445</v>
      </c>
    </row>
    <row r="262214" spans="2:146">
      <c r="BQ262214">
        <v>67</v>
      </c>
      <c r="BR262214">
        <v>68</v>
      </c>
      <c r="BS262214">
        <v>69</v>
      </c>
      <c r="BT262214">
        <v>70</v>
      </c>
      <c r="BU262214">
        <v>71</v>
      </c>
      <c r="BV262214">
        <v>72</v>
      </c>
      <c r="BW262214">
        <v>73</v>
      </c>
      <c r="BX262214">
        <v>74</v>
      </c>
      <c r="BY262214">
        <v>75</v>
      </c>
      <c r="BZ262214">
        <v>76</v>
      </c>
      <c r="CA262214">
        <v>77</v>
      </c>
      <c r="CB262214">
        <v>78</v>
      </c>
      <c r="CC262214">
        <v>79</v>
      </c>
      <c r="CD262214">
        <v>80</v>
      </c>
      <c r="CE262214">
        <v>81</v>
      </c>
      <c r="CF262214">
        <v>82</v>
      </c>
      <c r="CG262214">
        <v>83</v>
      </c>
      <c r="CH262214">
        <v>84</v>
      </c>
      <c r="CI262214">
        <v>85</v>
      </c>
      <c r="CJ262214">
        <v>86</v>
      </c>
      <c r="CK262214">
        <v>87</v>
      </c>
      <c r="CL262214">
        <v>88</v>
      </c>
      <c r="CM262214">
        <v>89</v>
      </c>
      <c r="CN262214">
        <v>90</v>
      </c>
      <c r="CO262214">
        <v>91</v>
      </c>
      <c r="CP262214">
        <v>92</v>
      </c>
      <c r="CQ262214">
        <v>93</v>
      </c>
      <c r="CR262214">
        <v>94</v>
      </c>
      <c r="CS262214">
        <v>95</v>
      </c>
      <c r="CT262214">
        <v>96</v>
      </c>
      <c r="CU262214">
        <v>97</v>
      </c>
      <c r="CV262214">
        <v>98</v>
      </c>
      <c r="CW262214">
        <v>99</v>
      </c>
      <c r="CX262214">
        <v>100</v>
      </c>
      <c r="CY262214">
        <v>101</v>
      </c>
      <c r="CZ262214">
        <v>102</v>
      </c>
      <c r="DA262214">
        <v>103</v>
      </c>
      <c r="DB262214">
        <v>104</v>
      </c>
      <c r="DC262214">
        <v>105</v>
      </c>
      <c r="DD262214">
        <v>106</v>
      </c>
      <c r="DE262214">
        <v>107</v>
      </c>
      <c r="DF262214">
        <v>108</v>
      </c>
      <c r="DG262214">
        <v>109</v>
      </c>
      <c r="DH262214">
        <v>110</v>
      </c>
      <c r="DI262214">
        <v>111</v>
      </c>
      <c r="DJ262214">
        <v>112</v>
      </c>
      <c r="DK262214">
        <v>113</v>
      </c>
      <c r="DL262214">
        <v>114</v>
      </c>
      <c r="DM262214">
        <v>115</v>
      </c>
      <c r="DN262214">
        <v>116</v>
      </c>
      <c r="DO262214">
        <v>117</v>
      </c>
      <c r="DP262214">
        <v>118</v>
      </c>
      <c r="DQ262214">
        <v>119</v>
      </c>
      <c r="DR262214">
        <v>120</v>
      </c>
      <c r="DS262214">
        <v>121</v>
      </c>
      <c r="DT262214">
        <v>122</v>
      </c>
      <c r="DU262214">
        <v>123</v>
      </c>
      <c r="DV262214">
        <v>124</v>
      </c>
      <c r="DW262214">
        <v>125</v>
      </c>
      <c r="DX262214">
        <v>126</v>
      </c>
      <c r="DY262214">
        <v>127</v>
      </c>
      <c r="DZ262214">
        <v>128</v>
      </c>
      <c r="EA262214">
        <v>129</v>
      </c>
      <c r="EB262214">
        <v>130</v>
      </c>
      <c r="EC262214">
        <v>131</v>
      </c>
      <c r="ED262214">
        <v>132</v>
      </c>
      <c r="EE262214">
        <v>133</v>
      </c>
      <c r="EF262214">
        <v>134</v>
      </c>
      <c r="EG262214">
        <v>135</v>
      </c>
      <c r="EH262214">
        <v>136</v>
      </c>
      <c r="EI262214">
        <v>137</v>
      </c>
      <c r="EJ262214">
        <v>138</v>
      </c>
      <c r="EK262214">
        <v>139</v>
      </c>
      <c r="EL262214">
        <v>140</v>
      </c>
      <c r="EM262214">
        <v>141</v>
      </c>
      <c r="EN262214">
        <v>142</v>
      </c>
      <c r="EO262214">
        <v>143</v>
      </c>
      <c r="EP262214">
        <v>144</v>
      </c>
    </row>
    <row r="262215" spans="2:146">
      <c r="CE262215" t="s">
        <v>451</v>
      </c>
    </row>
    <row r="278530" spans="2:2">
      <c r="B278530">
        <v>200</v>
      </c>
    </row>
    <row r="278531" spans="2:2">
      <c r="B278531">
        <v>200</v>
      </c>
    </row>
    <row r="278532" spans="2:2">
      <c r="B278532">
        <v>800</v>
      </c>
    </row>
    <row r="278533" spans="2:2">
      <c r="B278533">
        <v>200</v>
      </c>
    </row>
    <row r="278534" spans="2:2">
      <c r="B278534">
        <v>1044</v>
      </c>
    </row>
    <row r="278535" spans="2:2">
      <c r="B278535">
        <v>998.40000000000009</v>
      </c>
    </row>
    <row r="278536" spans="2:2">
      <c r="B278536">
        <v>272</v>
      </c>
    </row>
    <row r="278537" spans="2:2">
      <c r="B278537">
        <v>200</v>
      </c>
    </row>
    <row r="278538" spans="2:2">
      <c r="B278538">
        <v>214</v>
      </c>
    </row>
    <row r="278539" spans="2:2">
      <c r="B278539">
        <v>200</v>
      </c>
    </row>
    <row r="278540" spans="2:2">
      <c r="B278540">
        <v>152</v>
      </c>
    </row>
    <row r="278541" spans="2:2">
      <c r="B278541">
        <v>200</v>
      </c>
    </row>
    <row r="278542" spans="2:2">
      <c r="B278542">
        <v>300</v>
      </c>
    </row>
    <row r="278543" spans="2:2">
      <c r="B278543">
        <v>104</v>
      </c>
    </row>
    <row r="278544" spans="2:2">
      <c r="B278544">
        <v>162</v>
      </c>
    </row>
    <row r="278545" spans="2:2">
      <c r="B278545">
        <v>200</v>
      </c>
    </row>
    <row r="278546" spans="2:2">
      <c r="B278546">
        <v>200</v>
      </c>
    </row>
    <row r="278547" spans="2:2">
      <c r="B278547">
        <v>200</v>
      </c>
    </row>
    <row r="278548" spans="2:2">
      <c r="B278548">
        <v>200</v>
      </c>
    </row>
    <row r="278549" spans="2:2">
      <c r="B278549">
        <v>200</v>
      </c>
    </row>
    <row r="278550" spans="2:2">
      <c r="B278550">
        <v>200</v>
      </c>
    </row>
    <row r="278551" spans="2:2">
      <c r="B278551">
        <v>200</v>
      </c>
    </row>
    <row r="278552" spans="2:2">
      <c r="B278552">
        <v>200</v>
      </c>
    </row>
    <row r="278553" spans="2:2">
      <c r="B278553">
        <v>800</v>
      </c>
    </row>
    <row r="278554" spans="2:2">
      <c r="B278554">
        <v>300</v>
      </c>
    </row>
    <row r="278555" spans="2:2">
      <c r="B278555">
        <v>778</v>
      </c>
    </row>
    <row r="278556" spans="2:2">
      <c r="B278556">
        <v>614</v>
      </c>
    </row>
    <row r="278557" spans="2:2">
      <c r="B278557">
        <v>444</v>
      </c>
    </row>
    <row r="278558" spans="2:2">
      <c r="B278558">
        <v>800</v>
      </c>
    </row>
    <row r="278559" spans="2:2">
      <c r="B278559">
        <v>200</v>
      </c>
    </row>
    <row r="278560" spans="2:2">
      <c r="B278560">
        <v>780</v>
      </c>
    </row>
    <row r="278561" spans="2:146">
      <c r="B278561">
        <v>174</v>
      </c>
    </row>
    <row r="278562" spans="2:146">
      <c r="B278562">
        <v>194</v>
      </c>
    </row>
    <row r="278563" spans="2:146">
      <c r="B278563">
        <v>782</v>
      </c>
    </row>
    <row r="278564" spans="2:146">
      <c r="B278564">
        <v>236</v>
      </c>
    </row>
    <row r="278565" spans="2:146">
      <c r="B278565">
        <v>144</v>
      </c>
    </row>
    <row r="278566" spans="2:146">
      <c r="B278566">
        <v>200</v>
      </c>
    </row>
    <row r="278567" spans="2:146">
      <c r="B278567">
        <v>240</v>
      </c>
    </row>
    <row r="278568" spans="2:146">
      <c r="B278568">
        <v>200</v>
      </c>
    </row>
    <row r="278569" spans="2:146">
      <c r="B278569">
        <v>612</v>
      </c>
    </row>
    <row r="278570" spans="2:146">
      <c r="B278570">
        <v>156</v>
      </c>
    </row>
    <row r="278571" spans="2:146">
      <c r="B278571">
        <v>116</v>
      </c>
    </row>
    <row r="278572" spans="2:146">
      <c r="B278572">
        <v>160</v>
      </c>
    </row>
    <row r="278573" spans="2:146">
      <c r="B278573">
        <v>80</v>
      </c>
      <c r="EL278573">
        <v>0.66</v>
      </c>
      <c r="EM278573">
        <v>0.66</v>
      </c>
      <c r="EN278573">
        <v>0.66</v>
      </c>
      <c r="EO278573">
        <v>0.66</v>
      </c>
      <c r="EP278573">
        <v>0.66</v>
      </c>
    </row>
    <row r="278574" spans="2:146">
      <c r="B278574">
        <v>1144</v>
      </c>
      <c r="BV278574">
        <v>5.0999999999999996</v>
      </c>
      <c r="BW278574">
        <v>5.0999999999999996</v>
      </c>
      <c r="DB278574">
        <v>10.210000000000001</v>
      </c>
      <c r="DC278574">
        <v>10.210000000000001</v>
      </c>
      <c r="DD278574">
        <v>10.210000000000001</v>
      </c>
      <c r="DE278574">
        <v>10.210000000000001</v>
      </c>
      <c r="DF278574">
        <v>10.210000000000001</v>
      </c>
      <c r="DG278574">
        <v>10.210000000000001</v>
      </c>
      <c r="DH278574">
        <v>10.210000000000001</v>
      </c>
    </row>
    <row r="278575" spans="2:146">
      <c r="B278575">
        <v>1240</v>
      </c>
      <c r="EE278575">
        <v>8.15</v>
      </c>
      <c r="EF278575">
        <v>8.15</v>
      </c>
      <c r="EG278575">
        <v>8.15</v>
      </c>
      <c r="EH278575">
        <v>8.15</v>
      </c>
      <c r="EI278575">
        <v>8.15</v>
      </c>
      <c r="EJ278575">
        <v>8.15</v>
      </c>
      <c r="EK278575">
        <v>8.15</v>
      </c>
    </row>
    <row r="278576" spans="2:146">
      <c r="B278576">
        <v>2083.2000000000003</v>
      </c>
      <c r="DI278576">
        <v>20.03</v>
      </c>
      <c r="DJ278576">
        <v>20.03</v>
      </c>
      <c r="DQ278576">
        <v>20.03</v>
      </c>
      <c r="DT278576">
        <v>20.03</v>
      </c>
      <c r="DW278576">
        <v>20.03</v>
      </c>
    </row>
    <row r="278577" spans="2:134">
      <c r="B278577">
        <v>357.20000000000005</v>
      </c>
      <c r="DI278577">
        <v>3.88</v>
      </c>
      <c r="DJ278577">
        <v>3.88</v>
      </c>
      <c r="DV278577">
        <v>3.88</v>
      </c>
      <c r="DW278577">
        <v>3.88</v>
      </c>
    </row>
    <row r="278578" spans="2:134">
      <c r="B278578">
        <v>391.20000000000005</v>
      </c>
      <c r="DI278578">
        <v>3.62</v>
      </c>
      <c r="DJ278578">
        <v>3.62</v>
      </c>
      <c r="DR278578">
        <v>3.62</v>
      </c>
      <c r="DU278578">
        <v>3.62</v>
      </c>
      <c r="DV278578">
        <v>3.62</v>
      </c>
    </row>
    <row r="278579" spans="2:134">
      <c r="B278579">
        <v>762.80000000000007</v>
      </c>
      <c r="DI278579">
        <v>6.15</v>
      </c>
      <c r="DJ278579">
        <v>6.15</v>
      </c>
      <c r="DQ278579">
        <v>6.15</v>
      </c>
      <c r="DR278579">
        <v>6.15</v>
      </c>
      <c r="DS278579">
        <v>6.15</v>
      </c>
      <c r="DT278579">
        <v>6.15</v>
      </c>
    </row>
    <row r="278580" spans="2:134">
      <c r="B278580">
        <v>1280</v>
      </c>
      <c r="DI278580">
        <v>10.66</v>
      </c>
      <c r="DJ278580">
        <v>10.66</v>
      </c>
      <c r="DK278580">
        <v>10.66</v>
      </c>
      <c r="DL278580">
        <v>10.66</v>
      </c>
      <c r="DM278580">
        <v>10.66</v>
      </c>
      <c r="DN278580">
        <v>10.66</v>
      </c>
    </row>
    <row r="278581" spans="2:134">
      <c r="B278581">
        <v>234</v>
      </c>
      <c r="CT278581">
        <v>2.5</v>
      </c>
      <c r="CU278581">
        <v>2.5</v>
      </c>
      <c r="CV278581">
        <v>2.5</v>
      </c>
    </row>
    <row r="278582" spans="2:134">
      <c r="B278582">
        <v>354</v>
      </c>
      <c r="CY278582">
        <v>3.98</v>
      </c>
      <c r="CZ278582">
        <v>3.98</v>
      </c>
      <c r="DA278582">
        <v>3.98</v>
      </c>
    </row>
    <row r="278583" spans="2:134">
      <c r="B278583">
        <v>392</v>
      </c>
      <c r="DI278583">
        <v>3.52</v>
      </c>
      <c r="DJ278583">
        <v>3.52</v>
      </c>
      <c r="DL278583">
        <v>3.52</v>
      </c>
      <c r="DO278583">
        <v>3.52</v>
      </c>
    </row>
    <row r="278584" spans="2:134">
      <c r="B278584">
        <v>304</v>
      </c>
      <c r="CE278584">
        <v>3.8</v>
      </c>
      <c r="CF278584">
        <v>3.8</v>
      </c>
    </row>
    <row r="278585" spans="2:134">
      <c r="B278585">
        <v>144</v>
      </c>
      <c r="DZ278585">
        <v>1.62</v>
      </c>
      <c r="EA278585">
        <v>1.62</v>
      </c>
      <c r="EB278585">
        <v>1.62</v>
      </c>
      <c r="EC278585">
        <v>0.81</v>
      </c>
      <c r="ED278585">
        <v>0.81</v>
      </c>
    </row>
    <row r="278586" spans="2:134">
      <c r="B278586">
        <v>602.40000000000009</v>
      </c>
      <c r="BY278586">
        <v>6.02</v>
      </c>
      <c r="BZ278586">
        <v>6.02</v>
      </c>
      <c r="CB278586">
        <v>3.01</v>
      </c>
      <c r="CC278586">
        <v>3.01</v>
      </c>
      <c r="CD278586">
        <v>3.01</v>
      </c>
      <c r="CI278586">
        <v>6.02</v>
      </c>
      <c r="CJ278586">
        <v>6.02</v>
      </c>
      <c r="CK278586">
        <v>6.02</v>
      </c>
    </row>
    <row r="278587" spans="2:134">
      <c r="B278587">
        <v>307.60000000000002</v>
      </c>
      <c r="BY278587">
        <v>3.34</v>
      </c>
      <c r="BZ278587">
        <v>3.34</v>
      </c>
      <c r="CG278587">
        <v>3.34</v>
      </c>
      <c r="CH278587">
        <v>3.34</v>
      </c>
    </row>
    <row r="278588" spans="2:134">
      <c r="B278588">
        <v>358</v>
      </c>
      <c r="BY278588">
        <v>2.37</v>
      </c>
      <c r="BZ278588">
        <v>2.37</v>
      </c>
      <c r="CA278588">
        <v>2.37</v>
      </c>
      <c r="DX278588">
        <v>4.74</v>
      </c>
      <c r="DY278588">
        <v>4.74</v>
      </c>
    </row>
    <row r="278589" spans="2:134">
      <c r="B278589">
        <v>286</v>
      </c>
      <c r="BT278589">
        <v>1.43</v>
      </c>
      <c r="BV278589">
        <v>1.43</v>
      </c>
      <c r="BW278589">
        <v>1.43</v>
      </c>
      <c r="BX278589">
        <v>1.43</v>
      </c>
      <c r="CO278589">
        <v>2.86</v>
      </c>
      <c r="CP278589">
        <v>2.86</v>
      </c>
      <c r="CQ278589">
        <v>2.86</v>
      </c>
      <c r="CR278589">
        <v>2.86</v>
      </c>
      <c r="CS278589">
        <v>2.86</v>
      </c>
    </row>
    <row r="278590" spans="2:134">
      <c r="B278590">
        <v>410</v>
      </c>
      <c r="BY278590">
        <v>2.88</v>
      </c>
      <c r="BZ278590">
        <v>2.88</v>
      </c>
      <c r="CA278590">
        <v>2.88</v>
      </c>
      <c r="CW278590">
        <v>5.76</v>
      </c>
      <c r="CX278590">
        <v>5.76</v>
      </c>
    </row>
    <row r="278591" spans="2:134">
      <c r="B278591">
        <v>346</v>
      </c>
      <c r="BR278591">
        <v>3.6</v>
      </c>
      <c r="BS278591">
        <v>3.6</v>
      </c>
      <c r="BT278591">
        <v>1.8</v>
      </c>
      <c r="CL278591">
        <v>3.6</v>
      </c>
      <c r="CM278591">
        <v>3.6</v>
      </c>
      <c r="CN278591">
        <v>3.6</v>
      </c>
    </row>
    <row r="278592" spans="2:134">
      <c r="B278592">
        <v>302</v>
      </c>
      <c r="BR278592">
        <v>3.28</v>
      </c>
      <c r="BS278592">
        <v>3.28</v>
      </c>
      <c r="BT278592">
        <v>1.64</v>
      </c>
      <c r="BU278592">
        <v>1.64</v>
      </c>
      <c r="CL278592">
        <v>3.28</v>
      </c>
      <c r="CM278592">
        <v>3.28</v>
      </c>
      <c r="CN278592">
        <v>3.28</v>
      </c>
    </row>
    <row r="278593" spans="2:146">
      <c r="B278593">
        <v>204</v>
      </c>
      <c r="BR278593">
        <v>2.12</v>
      </c>
      <c r="BS278593">
        <v>2.12</v>
      </c>
      <c r="BT278593">
        <v>1.06</v>
      </c>
      <c r="CL278593">
        <v>2.12</v>
      </c>
      <c r="CM278593">
        <v>2.12</v>
      </c>
      <c r="CN278593">
        <v>2.12</v>
      </c>
    </row>
    <row r="278595" spans="2:146">
      <c r="B278595">
        <v>26358.800000000003</v>
      </c>
      <c r="BQ278595">
        <v>0</v>
      </c>
      <c r="BR278595">
        <v>9</v>
      </c>
      <c r="BS278595">
        <v>9</v>
      </c>
      <c r="BT278595">
        <v>5.93</v>
      </c>
      <c r="BU278595">
        <v>1.64</v>
      </c>
      <c r="BV278595">
        <v>6.5299999999999994</v>
      </c>
      <c r="BW278595">
        <v>6.5299999999999994</v>
      </c>
      <c r="BX278595">
        <v>1.43</v>
      </c>
      <c r="BY278595">
        <v>14.61</v>
      </c>
      <c r="BZ278595">
        <v>14.61</v>
      </c>
      <c r="CA278595">
        <v>5.25</v>
      </c>
      <c r="CB278595">
        <v>3.01</v>
      </c>
      <c r="CC278595">
        <v>3.01</v>
      </c>
      <c r="CD278595">
        <v>3.01</v>
      </c>
      <c r="CE278595">
        <v>3.8</v>
      </c>
      <c r="CF278595">
        <v>3.8</v>
      </c>
      <c r="CG278595">
        <v>3.34</v>
      </c>
      <c r="CH278595">
        <v>3.34</v>
      </c>
      <c r="CI278595">
        <v>6.02</v>
      </c>
      <c r="CJ278595">
        <v>6.02</v>
      </c>
      <c r="CK278595">
        <v>6.02</v>
      </c>
      <c r="CL278595">
        <v>9</v>
      </c>
      <c r="CM278595">
        <v>9</v>
      </c>
      <c r="CN278595">
        <v>9</v>
      </c>
      <c r="CO278595">
        <v>2.86</v>
      </c>
      <c r="CP278595">
        <v>2.86</v>
      </c>
      <c r="CQ278595">
        <v>2.86</v>
      </c>
      <c r="CR278595">
        <v>2.86</v>
      </c>
      <c r="CS278595">
        <v>2.86</v>
      </c>
      <c r="CT278595">
        <v>2.5</v>
      </c>
      <c r="CU278595">
        <v>2.5</v>
      </c>
      <c r="CV278595">
        <v>2.5</v>
      </c>
      <c r="CW278595">
        <v>5.76</v>
      </c>
      <c r="CX278595">
        <v>5.76</v>
      </c>
      <c r="CY278595">
        <v>3.98</v>
      </c>
      <c r="CZ278595">
        <v>3.98</v>
      </c>
      <c r="DA278595">
        <v>3.98</v>
      </c>
      <c r="DB278595">
        <v>10.210000000000001</v>
      </c>
      <c r="DC278595">
        <v>10.210000000000001</v>
      </c>
      <c r="DD278595">
        <v>10.210000000000001</v>
      </c>
      <c r="DE278595">
        <v>10.210000000000001</v>
      </c>
      <c r="DF278595">
        <v>10.210000000000001</v>
      </c>
      <c r="DG278595">
        <v>10.210000000000001</v>
      </c>
      <c r="DH278595">
        <v>10.210000000000001</v>
      </c>
      <c r="DI278595">
        <v>47.860000000000007</v>
      </c>
      <c r="DJ278595">
        <v>47.860000000000007</v>
      </c>
      <c r="DK278595">
        <v>10.66</v>
      </c>
      <c r="DL278595">
        <v>14.18</v>
      </c>
      <c r="DM278595">
        <v>10.66</v>
      </c>
      <c r="DN278595">
        <v>10.66</v>
      </c>
      <c r="DO278595">
        <v>3.52</v>
      </c>
      <c r="DP278595">
        <v>0</v>
      </c>
      <c r="DQ278595">
        <v>26.18</v>
      </c>
      <c r="DR278595">
        <v>9.77</v>
      </c>
      <c r="DS278595">
        <v>6.15</v>
      </c>
      <c r="DT278595">
        <v>26.18</v>
      </c>
      <c r="DU278595">
        <v>3.62</v>
      </c>
      <c r="DV278595">
        <v>7.5</v>
      </c>
      <c r="DW278595">
        <v>23.91</v>
      </c>
      <c r="DX278595">
        <v>4.74</v>
      </c>
      <c r="DY278595">
        <v>4.74</v>
      </c>
      <c r="DZ278595">
        <v>1.62</v>
      </c>
      <c r="EA278595">
        <v>1.62</v>
      </c>
      <c r="EB278595">
        <v>1.62</v>
      </c>
      <c r="EC278595">
        <v>0.81</v>
      </c>
      <c r="ED278595">
        <v>0.81</v>
      </c>
      <c r="EE278595">
        <v>8.15</v>
      </c>
      <c r="EF278595">
        <v>8.15</v>
      </c>
      <c r="EG278595">
        <v>8.15</v>
      </c>
      <c r="EH278595">
        <v>8.15</v>
      </c>
      <c r="EI278595">
        <v>8.15</v>
      </c>
      <c r="EJ278595">
        <v>8.15</v>
      </c>
      <c r="EK278595">
        <v>8.15</v>
      </c>
      <c r="EL278595">
        <v>0.66</v>
      </c>
      <c r="EM278595">
        <v>0.66</v>
      </c>
      <c r="EN278595">
        <v>0.66</v>
      </c>
      <c r="EO278595">
        <v>0.66</v>
      </c>
      <c r="EP278595">
        <v>0.66</v>
      </c>
    </row>
    <row r="278596" spans="2:146">
      <c r="B278596" t="s">
        <v>265</v>
      </c>
      <c r="BQ278596" t="s">
        <v>345</v>
      </c>
      <c r="BR278596" t="s">
        <v>131</v>
      </c>
      <c r="BS278596" t="s">
        <v>131</v>
      </c>
      <c r="BT278596" t="s">
        <v>357</v>
      </c>
      <c r="BU278596" t="s">
        <v>131</v>
      </c>
      <c r="BV278596" t="s">
        <v>360</v>
      </c>
      <c r="BW278596" t="s">
        <v>360</v>
      </c>
      <c r="BX278596" t="s">
        <v>360</v>
      </c>
      <c r="BY278596" t="s">
        <v>364</v>
      </c>
      <c r="BZ278596" t="s">
        <v>364</v>
      </c>
      <c r="CA278596" t="s">
        <v>364</v>
      </c>
      <c r="CB278596" t="s">
        <v>368</v>
      </c>
      <c r="CC278596" t="s">
        <v>368</v>
      </c>
      <c r="CD278596" t="s">
        <v>368</v>
      </c>
      <c r="CE278596" t="s">
        <v>352</v>
      </c>
      <c r="CF278596" t="s">
        <v>352</v>
      </c>
      <c r="CG278596" t="s">
        <v>372</v>
      </c>
      <c r="CH278596" t="s">
        <v>372</v>
      </c>
      <c r="CI278596" t="s">
        <v>375</v>
      </c>
      <c r="CJ278596" t="s">
        <v>375</v>
      </c>
      <c r="CK278596" t="s">
        <v>375</v>
      </c>
      <c r="CL278596" t="s">
        <v>379</v>
      </c>
      <c r="CM278596" t="s">
        <v>379</v>
      </c>
      <c r="CN278596" t="s">
        <v>379</v>
      </c>
      <c r="CO278596" t="s">
        <v>383</v>
      </c>
      <c r="CP278596" t="s">
        <v>383</v>
      </c>
      <c r="CQ278596" t="s">
        <v>383</v>
      </c>
      <c r="CR278596" t="s">
        <v>383</v>
      </c>
      <c r="CS278596" t="s">
        <v>383</v>
      </c>
      <c r="CT278596" t="s">
        <v>389</v>
      </c>
      <c r="CU278596" t="s">
        <v>389</v>
      </c>
      <c r="CV278596" t="s">
        <v>389</v>
      </c>
      <c r="CW278596" t="s">
        <v>393</v>
      </c>
      <c r="CX278596" t="s">
        <v>393</v>
      </c>
      <c r="CY278596" t="s">
        <v>396</v>
      </c>
      <c r="CZ278596" t="s">
        <v>396</v>
      </c>
      <c r="DA278596" t="s">
        <v>396</v>
      </c>
      <c r="DB278596" t="s">
        <v>400</v>
      </c>
      <c r="DC278596" t="s">
        <v>400</v>
      </c>
      <c r="DD278596" t="s">
        <v>400</v>
      </c>
      <c r="DE278596" t="s">
        <v>400</v>
      </c>
      <c r="DF278596" t="s">
        <v>400</v>
      </c>
      <c r="DG278596" t="s">
        <v>400</v>
      </c>
      <c r="DH278596" t="s">
        <v>400</v>
      </c>
      <c r="DI278596" t="s">
        <v>121</v>
      </c>
      <c r="DJ278596" t="s">
        <v>121</v>
      </c>
      <c r="DK278596" t="s">
        <v>121</v>
      </c>
      <c r="DL278596" t="s">
        <v>121</v>
      </c>
      <c r="DM278596" t="s">
        <v>121</v>
      </c>
      <c r="DN278596" t="s">
        <v>121</v>
      </c>
      <c r="DO278596" t="s">
        <v>121</v>
      </c>
      <c r="DP278596" t="s">
        <v>121</v>
      </c>
      <c r="DQ278596" t="s">
        <v>121</v>
      </c>
      <c r="DR278596" t="s">
        <v>121</v>
      </c>
      <c r="DS278596" t="s">
        <v>121</v>
      </c>
      <c r="DT278596" t="s">
        <v>121</v>
      </c>
      <c r="DU278596" t="s">
        <v>121</v>
      </c>
      <c r="DV278596" t="s">
        <v>121</v>
      </c>
      <c r="DW278596" t="s">
        <v>121</v>
      </c>
      <c r="DX278596" t="s">
        <v>423</v>
      </c>
      <c r="DY278596" t="s">
        <v>423</v>
      </c>
      <c r="DZ278596" t="s">
        <v>426</v>
      </c>
      <c r="EA278596" t="s">
        <v>426</v>
      </c>
      <c r="EB278596" t="s">
        <v>426</v>
      </c>
      <c r="EC278596" t="s">
        <v>426</v>
      </c>
      <c r="ED278596" t="s">
        <v>426</v>
      </c>
      <c r="EE278596" t="s">
        <v>432</v>
      </c>
      <c r="EF278596" t="s">
        <v>432</v>
      </c>
      <c r="EG278596" t="s">
        <v>432</v>
      </c>
      <c r="EH278596" t="s">
        <v>432</v>
      </c>
      <c r="EI278596" t="s">
        <v>432</v>
      </c>
      <c r="EJ278596" t="s">
        <v>432</v>
      </c>
      <c r="EK278596" t="s">
        <v>432</v>
      </c>
      <c r="EL278596" t="s">
        <v>440</v>
      </c>
      <c r="EM278596" t="s">
        <v>440</v>
      </c>
      <c r="EN278596" t="s">
        <v>440</v>
      </c>
      <c r="EO278596" t="s">
        <v>440</v>
      </c>
      <c r="EP278596" t="s">
        <v>440</v>
      </c>
    </row>
    <row r="278597" spans="2:146">
      <c r="BQ278597" t="s">
        <v>351</v>
      </c>
      <c r="BR278597" t="s">
        <v>355</v>
      </c>
      <c r="BS278597" t="s">
        <v>356</v>
      </c>
      <c r="BT278597" t="s">
        <v>358</v>
      </c>
      <c r="BU278597" t="s">
        <v>359</v>
      </c>
      <c r="BV278597" t="s">
        <v>361</v>
      </c>
      <c r="BW278597" t="s">
        <v>362</v>
      </c>
      <c r="BX278597" t="s">
        <v>363</v>
      </c>
      <c r="BY278597" t="s">
        <v>365</v>
      </c>
      <c r="BZ278597" t="s">
        <v>366</v>
      </c>
      <c r="CA278597" t="s">
        <v>367</v>
      </c>
      <c r="CB278597" t="s">
        <v>369</v>
      </c>
      <c r="CC278597" t="s">
        <v>370</v>
      </c>
      <c r="CD278597" t="s">
        <v>371</v>
      </c>
      <c r="CE278597" t="s">
        <v>353</v>
      </c>
      <c r="CF278597" t="s">
        <v>354</v>
      </c>
      <c r="CG278597" t="s">
        <v>373</v>
      </c>
      <c r="CH278597" t="s">
        <v>374</v>
      </c>
      <c r="CI278597" t="s">
        <v>376</v>
      </c>
      <c r="CJ278597" t="s">
        <v>377</v>
      </c>
      <c r="CK278597" t="s">
        <v>378</v>
      </c>
      <c r="CL278597" t="s">
        <v>380</v>
      </c>
      <c r="CM278597" t="s">
        <v>381</v>
      </c>
      <c r="CN278597" t="s">
        <v>382</v>
      </c>
      <c r="CO278597" t="s">
        <v>384</v>
      </c>
      <c r="CP278597" t="s">
        <v>385</v>
      </c>
      <c r="CQ278597" t="s">
        <v>386</v>
      </c>
      <c r="CR278597" t="s">
        <v>387</v>
      </c>
      <c r="CS278597" t="s">
        <v>388</v>
      </c>
      <c r="CT278597" t="s">
        <v>390</v>
      </c>
      <c r="CU278597" t="s">
        <v>391</v>
      </c>
      <c r="CV278597" t="s">
        <v>392</v>
      </c>
      <c r="CW278597" t="s">
        <v>394</v>
      </c>
      <c r="CX278597" t="s">
        <v>395</v>
      </c>
      <c r="CY278597" t="s">
        <v>397</v>
      </c>
      <c r="CZ278597" t="s">
        <v>398</v>
      </c>
      <c r="DA278597" t="s">
        <v>399</v>
      </c>
      <c r="DB278597" t="s">
        <v>401</v>
      </c>
      <c r="DC278597" t="s">
        <v>402</v>
      </c>
      <c r="DD278597" t="s">
        <v>403</v>
      </c>
      <c r="DE278597" t="s">
        <v>404</v>
      </c>
      <c r="DF278597" t="s">
        <v>405</v>
      </c>
      <c r="DG278597" t="s">
        <v>406</v>
      </c>
      <c r="DH278597" t="s">
        <v>407</v>
      </c>
      <c r="DI278597" t="s">
        <v>408</v>
      </c>
      <c r="DJ278597" t="s">
        <v>409</v>
      </c>
      <c r="DK278597" t="s">
        <v>410</v>
      </c>
      <c r="DL278597" t="s">
        <v>411</v>
      </c>
      <c r="DM278597" t="s">
        <v>412</v>
      </c>
      <c r="DN278597" t="s">
        <v>413</v>
      </c>
      <c r="DO278597" t="s">
        <v>414</v>
      </c>
      <c r="DP278597" t="s">
        <v>415</v>
      </c>
      <c r="DQ278597" t="s">
        <v>416</v>
      </c>
      <c r="DR278597" t="s">
        <v>417</v>
      </c>
      <c r="DS278597" t="s">
        <v>418</v>
      </c>
      <c r="DT278597" t="s">
        <v>419</v>
      </c>
      <c r="DU278597" t="s">
        <v>420</v>
      </c>
      <c r="DV278597" t="s">
        <v>421</v>
      </c>
      <c r="DW278597" t="s">
        <v>422</v>
      </c>
      <c r="DX278597" t="s">
        <v>424</v>
      </c>
      <c r="DY278597" t="s">
        <v>425</v>
      </c>
      <c r="DZ278597" t="s">
        <v>427</v>
      </c>
      <c r="EA278597" t="s">
        <v>428</v>
      </c>
      <c r="EB278597" t="s">
        <v>429</v>
      </c>
      <c r="EC278597" t="s">
        <v>430</v>
      </c>
      <c r="ED278597" t="s">
        <v>431</v>
      </c>
      <c r="EE278597" t="s">
        <v>433</v>
      </c>
      <c r="EF278597" t="s">
        <v>434</v>
      </c>
      <c r="EG278597" t="s">
        <v>435</v>
      </c>
      <c r="EH278597" t="s">
        <v>436</v>
      </c>
      <c r="EI278597" t="s">
        <v>437</v>
      </c>
      <c r="EJ278597" t="s">
        <v>438</v>
      </c>
      <c r="EK278597" t="s">
        <v>439</v>
      </c>
      <c r="EL278597" t="s">
        <v>441</v>
      </c>
      <c r="EM278597" t="s">
        <v>442</v>
      </c>
      <c r="EN278597" t="s">
        <v>443</v>
      </c>
      <c r="EO278597" t="s">
        <v>444</v>
      </c>
      <c r="EP278597" t="s">
        <v>445</v>
      </c>
    </row>
    <row r="278598" spans="2:146">
      <c r="BQ278598">
        <v>67</v>
      </c>
      <c r="BR278598">
        <v>68</v>
      </c>
      <c r="BS278598">
        <v>69</v>
      </c>
      <c r="BT278598">
        <v>70</v>
      </c>
      <c r="BU278598">
        <v>71</v>
      </c>
      <c r="BV278598">
        <v>72</v>
      </c>
      <c r="BW278598">
        <v>73</v>
      </c>
      <c r="BX278598">
        <v>74</v>
      </c>
      <c r="BY278598">
        <v>75</v>
      </c>
      <c r="BZ278598">
        <v>76</v>
      </c>
      <c r="CA278598">
        <v>77</v>
      </c>
      <c r="CB278598">
        <v>78</v>
      </c>
      <c r="CC278598">
        <v>79</v>
      </c>
      <c r="CD278598">
        <v>80</v>
      </c>
      <c r="CE278598">
        <v>81</v>
      </c>
      <c r="CF278598">
        <v>82</v>
      </c>
      <c r="CG278598">
        <v>83</v>
      </c>
      <c r="CH278598">
        <v>84</v>
      </c>
      <c r="CI278598">
        <v>85</v>
      </c>
      <c r="CJ278598">
        <v>86</v>
      </c>
      <c r="CK278598">
        <v>87</v>
      </c>
      <c r="CL278598">
        <v>88</v>
      </c>
      <c r="CM278598">
        <v>89</v>
      </c>
      <c r="CN278598">
        <v>90</v>
      </c>
      <c r="CO278598">
        <v>91</v>
      </c>
      <c r="CP278598">
        <v>92</v>
      </c>
      <c r="CQ278598">
        <v>93</v>
      </c>
      <c r="CR278598">
        <v>94</v>
      </c>
      <c r="CS278598">
        <v>95</v>
      </c>
      <c r="CT278598">
        <v>96</v>
      </c>
      <c r="CU278598">
        <v>97</v>
      </c>
      <c r="CV278598">
        <v>98</v>
      </c>
      <c r="CW278598">
        <v>99</v>
      </c>
      <c r="CX278598">
        <v>100</v>
      </c>
      <c r="CY278598">
        <v>101</v>
      </c>
      <c r="CZ278598">
        <v>102</v>
      </c>
      <c r="DA278598">
        <v>103</v>
      </c>
      <c r="DB278598">
        <v>104</v>
      </c>
      <c r="DC278598">
        <v>105</v>
      </c>
      <c r="DD278598">
        <v>106</v>
      </c>
      <c r="DE278598">
        <v>107</v>
      </c>
      <c r="DF278598">
        <v>108</v>
      </c>
      <c r="DG278598">
        <v>109</v>
      </c>
      <c r="DH278598">
        <v>110</v>
      </c>
      <c r="DI278598">
        <v>111</v>
      </c>
      <c r="DJ278598">
        <v>112</v>
      </c>
      <c r="DK278598">
        <v>113</v>
      </c>
      <c r="DL278598">
        <v>114</v>
      </c>
      <c r="DM278598">
        <v>115</v>
      </c>
      <c r="DN278598">
        <v>116</v>
      </c>
      <c r="DO278598">
        <v>117</v>
      </c>
      <c r="DP278598">
        <v>118</v>
      </c>
      <c r="DQ278598">
        <v>119</v>
      </c>
      <c r="DR278598">
        <v>120</v>
      </c>
      <c r="DS278598">
        <v>121</v>
      </c>
      <c r="DT278598">
        <v>122</v>
      </c>
      <c r="DU278598">
        <v>123</v>
      </c>
      <c r="DV278598">
        <v>124</v>
      </c>
      <c r="DW278598">
        <v>125</v>
      </c>
      <c r="DX278598">
        <v>126</v>
      </c>
      <c r="DY278598">
        <v>127</v>
      </c>
      <c r="DZ278598">
        <v>128</v>
      </c>
      <c r="EA278598">
        <v>129</v>
      </c>
      <c r="EB278598">
        <v>130</v>
      </c>
      <c r="EC278598">
        <v>131</v>
      </c>
      <c r="ED278598">
        <v>132</v>
      </c>
      <c r="EE278598">
        <v>133</v>
      </c>
      <c r="EF278598">
        <v>134</v>
      </c>
      <c r="EG278598">
        <v>135</v>
      </c>
      <c r="EH278598">
        <v>136</v>
      </c>
      <c r="EI278598">
        <v>137</v>
      </c>
      <c r="EJ278598">
        <v>138</v>
      </c>
      <c r="EK278598">
        <v>139</v>
      </c>
      <c r="EL278598">
        <v>140</v>
      </c>
      <c r="EM278598">
        <v>141</v>
      </c>
      <c r="EN278598">
        <v>142</v>
      </c>
      <c r="EO278598">
        <v>143</v>
      </c>
      <c r="EP278598">
        <v>144</v>
      </c>
    </row>
    <row r="278599" spans="2:146">
      <c r="CE278599" t="s">
        <v>451</v>
      </c>
    </row>
    <row r="294914" spans="2:2">
      <c r="B294914">
        <v>200</v>
      </c>
    </row>
    <row r="294915" spans="2:2">
      <c r="B294915">
        <v>200</v>
      </c>
    </row>
    <row r="294916" spans="2:2">
      <c r="B294916">
        <v>800</v>
      </c>
    </row>
    <row r="294917" spans="2:2">
      <c r="B294917">
        <v>200</v>
      </c>
    </row>
    <row r="294918" spans="2:2">
      <c r="B294918">
        <v>1044</v>
      </c>
    </row>
    <row r="294919" spans="2:2">
      <c r="B294919">
        <v>998.40000000000009</v>
      </c>
    </row>
    <row r="294920" spans="2:2">
      <c r="B294920">
        <v>272</v>
      </c>
    </row>
    <row r="294921" spans="2:2">
      <c r="B294921">
        <v>200</v>
      </c>
    </row>
    <row r="294922" spans="2:2">
      <c r="B294922">
        <v>214</v>
      </c>
    </row>
    <row r="294923" spans="2:2">
      <c r="B294923">
        <v>200</v>
      </c>
    </row>
    <row r="294924" spans="2:2">
      <c r="B294924">
        <v>152</v>
      </c>
    </row>
    <row r="294925" spans="2:2">
      <c r="B294925">
        <v>200</v>
      </c>
    </row>
    <row r="294926" spans="2:2">
      <c r="B294926">
        <v>300</v>
      </c>
    </row>
    <row r="294927" spans="2:2">
      <c r="B294927">
        <v>104</v>
      </c>
    </row>
    <row r="294928" spans="2:2">
      <c r="B294928">
        <v>162</v>
      </c>
    </row>
    <row r="294929" spans="2:2">
      <c r="B294929">
        <v>200</v>
      </c>
    </row>
    <row r="294930" spans="2:2">
      <c r="B294930">
        <v>200</v>
      </c>
    </row>
    <row r="294931" spans="2:2">
      <c r="B294931">
        <v>200</v>
      </c>
    </row>
    <row r="294932" spans="2:2">
      <c r="B294932">
        <v>200</v>
      </c>
    </row>
    <row r="294933" spans="2:2">
      <c r="B294933">
        <v>200</v>
      </c>
    </row>
    <row r="294934" spans="2:2">
      <c r="B294934">
        <v>200</v>
      </c>
    </row>
    <row r="294935" spans="2:2">
      <c r="B294935">
        <v>200</v>
      </c>
    </row>
    <row r="294936" spans="2:2">
      <c r="B294936">
        <v>200</v>
      </c>
    </row>
    <row r="294937" spans="2:2">
      <c r="B294937">
        <v>800</v>
      </c>
    </row>
    <row r="294938" spans="2:2">
      <c r="B294938">
        <v>300</v>
      </c>
    </row>
    <row r="294939" spans="2:2">
      <c r="B294939">
        <v>778</v>
      </c>
    </row>
    <row r="294940" spans="2:2">
      <c r="B294940">
        <v>614</v>
      </c>
    </row>
    <row r="294941" spans="2:2">
      <c r="B294941">
        <v>444</v>
      </c>
    </row>
    <row r="294942" spans="2:2">
      <c r="B294942">
        <v>800</v>
      </c>
    </row>
    <row r="294943" spans="2:2">
      <c r="B294943">
        <v>200</v>
      </c>
    </row>
    <row r="294944" spans="2:2">
      <c r="B294944">
        <v>780</v>
      </c>
    </row>
    <row r="294945" spans="2:146">
      <c r="B294945">
        <v>174</v>
      </c>
    </row>
    <row r="294946" spans="2:146">
      <c r="B294946">
        <v>194</v>
      </c>
    </row>
    <row r="294947" spans="2:146">
      <c r="B294947">
        <v>782</v>
      </c>
    </row>
    <row r="294948" spans="2:146">
      <c r="B294948">
        <v>236</v>
      </c>
    </row>
    <row r="294949" spans="2:146">
      <c r="B294949">
        <v>144</v>
      </c>
    </row>
    <row r="294950" spans="2:146">
      <c r="B294950">
        <v>200</v>
      </c>
    </row>
    <row r="294951" spans="2:146">
      <c r="B294951">
        <v>240</v>
      </c>
    </row>
    <row r="294952" spans="2:146">
      <c r="B294952">
        <v>200</v>
      </c>
    </row>
    <row r="294953" spans="2:146">
      <c r="B294953">
        <v>612</v>
      </c>
    </row>
    <row r="294954" spans="2:146">
      <c r="B294954">
        <v>156</v>
      </c>
    </row>
    <row r="294955" spans="2:146">
      <c r="B294955">
        <v>116</v>
      </c>
    </row>
    <row r="294956" spans="2:146">
      <c r="B294956">
        <v>160</v>
      </c>
    </row>
    <row r="294957" spans="2:146">
      <c r="B294957">
        <v>80</v>
      </c>
      <c r="EL294957">
        <v>0.66</v>
      </c>
      <c r="EM294957">
        <v>0.66</v>
      </c>
      <c r="EN294957">
        <v>0.66</v>
      </c>
      <c r="EO294957">
        <v>0.66</v>
      </c>
      <c r="EP294957">
        <v>0.66</v>
      </c>
    </row>
    <row r="294958" spans="2:146">
      <c r="B294958">
        <v>1144</v>
      </c>
      <c r="BV294958">
        <v>5.0999999999999996</v>
      </c>
      <c r="BW294958">
        <v>5.0999999999999996</v>
      </c>
      <c r="DB294958">
        <v>10.210000000000001</v>
      </c>
      <c r="DC294958">
        <v>10.210000000000001</v>
      </c>
      <c r="DD294958">
        <v>10.210000000000001</v>
      </c>
      <c r="DE294958">
        <v>10.210000000000001</v>
      </c>
      <c r="DF294958">
        <v>10.210000000000001</v>
      </c>
      <c r="DG294958">
        <v>10.210000000000001</v>
      </c>
      <c r="DH294958">
        <v>10.210000000000001</v>
      </c>
    </row>
    <row r="294959" spans="2:146">
      <c r="B294959">
        <v>1240</v>
      </c>
      <c r="EE294959">
        <v>8.15</v>
      </c>
      <c r="EF294959">
        <v>8.15</v>
      </c>
      <c r="EG294959">
        <v>8.15</v>
      </c>
      <c r="EH294959">
        <v>8.15</v>
      </c>
      <c r="EI294959">
        <v>8.15</v>
      </c>
      <c r="EJ294959">
        <v>8.15</v>
      </c>
      <c r="EK294959">
        <v>8.15</v>
      </c>
    </row>
    <row r="294960" spans="2:146">
      <c r="B294960">
        <v>2083.2000000000003</v>
      </c>
      <c r="DI294960">
        <v>20.03</v>
      </c>
      <c r="DJ294960">
        <v>20.03</v>
      </c>
      <c r="DQ294960">
        <v>20.03</v>
      </c>
      <c r="DT294960">
        <v>20.03</v>
      </c>
      <c r="DW294960">
        <v>20.03</v>
      </c>
    </row>
    <row r="294961" spans="2:134">
      <c r="B294961">
        <v>357.20000000000005</v>
      </c>
      <c r="DI294961">
        <v>3.88</v>
      </c>
      <c r="DJ294961">
        <v>3.88</v>
      </c>
      <c r="DV294961">
        <v>3.88</v>
      </c>
      <c r="DW294961">
        <v>3.88</v>
      </c>
    </row>
    <row r="294962" spans="2:134">
      <c r="B294962">
        <v>391.20000000000005</v>
      </c>
      <c r="DI294962">
        <v>3.62</v>
      </c>
      <c r="DJ294962">
        <v>3.62</v>
      </c>
      <c r="DR294962">
        <v>3.62</v>
      </c>
      <c r="DU294962">
        <v>3.62</v>
      </c>
      <c r="DV294962">
        <v>3.62</v>
      </c>
    </row>
    <row r="294963" spans="2:134">
      <c r="B294963">
        <v>762.80000000000007</v>
      </c>
      <c r="DI294963">
        <v>6.15</v>
      </c>
      <c r="DJ294963">
        <v>6.15</v>
      </c>
      <c r="DQ294963">
        <v>6.15</v>
      </c>
      <c r="DR294963">
        <v>6.15</v>
      </c>
      <c r="DS294963">
        <v>6.15</v>
      </c>
      <c r="DT294963">
        <v>6.15</v>
      </c>
    </row>
    <row r="294964" spans="2:134">
      <c r="B294964">
        <v>1280</v>
      </c>
      <c r="DI294964">
        <v>10.66</v>
      </c>
      <c r="DJ294964">
        <v>10.66</v>
      </c>
      <c r="DK294964">
        <v>10.66</v>
      </c>
      <c r="DL294964">
        <v>10.66</v>
      </c>
      <c r="DM294964">
        <v>10.66</v>
      </c>
      <c r="DN294964">
        <v>10.66</v>
      </c>
    </row>
    <row r="294965" spans="2:134">
      <c r="B294965">
        <v>234</v>
      </c>
      <c r="CT294965">
        <v>2.5</v>
      </c>
      <c r="CU294965">
        <v>2.5</v>
      </c>
      <c r="CV294965">
        <v>2.5</v>
      </c>
    </row>
    <row r="294966" spans="2:134">
      <c r="B294966">
        <v>354</v>
      </c>
      <c r="CY294966">
        <v>3.98</v>
      </c>
      <c r="CZ294966">
        <v>3.98</v>
      </c>
      <c r="DA294966">
        <v>3.98</v>
      </c>
    </row>
    <row r="294967" spans="2:134">
      <c r="B294967">
        <v>392</v>
      </c>
      <c r="DI294967">
        <v>3.52</v>
      </c>
      <c r="DJ294967">
        <v>3.52</v>
      </c>
      <c r="DL294967">
        <v>3.52</v>
      </c>
      <c r="DO294967">
        <v>3.52</v>
      </c>
    </row>
    <row r="294968" spans="2:134">
      <c r="B294968">
        <v>304</v>
      </c>
      <c r="CE294968">
        <v>3.8</v>
      </c>
      <c r="CF294968">
        <v>3.8</v>
      </c>
    </row>
    <row r="294969" spans="2:134">
      <c r="B294969">
        <v>144</v>
      </c>
      <c r="DZ294969">
        <v>1.62</v>
      </c>
      <c r="EA294969">
        <v>1.62</v>
      </c>
      <c r="EB294969">
        <v>1.62</v>
      </c>
      <c r="EC294969">
        <v>0.81</v>
      </c>
      <c r="ED294969">
        <v>0.81</v>
      </c>
    </row>
    <row r="294970" spans="2:134">
      <c r="B294970">
        <v>602.40000000000009</v>
      </c>
      <c r="BY294970">
        <v>6.02</v>
      </c>
      <c r="BZ294970">
        <v>6.02</v>
      </c>
      <c r="CB294970">
        <v>3.01</v>
      </c>
      <c r="CC294970">
        <v>3.01</v>
      </c>
      <c r="CD294970">
        <v>3.01</v>
      </c>
      <c r="CI294970">
        <v>6.02</v>
      </c>
      <c r="CJ294970">
        <v>6.02</v>
      </c>
      <c r="CK294970">
        <v>6.02</v>
      </c>
    </row>
    <row r="294971" spans="2:134">
      <c r="B294971">
        <v>307.60000000000002</v>
      </c>
      <c r="BY294971">
        <v>3.34</v>
      </c>
      <c r="BZ294971">
        <v>3.34</v>
      </c>
      <c r="CG294971">
        <v>3.34</v>
      </c>
      <c r="CH294971">
        <v>3.34</v>
      </c>
    </row>
    <row r="294972" spans="2:134">
      <c r="B294972">
        <v>358</v>
      </c>
      <c r="BY294972">
        <v>2.37</v>
      </c>
      <c r="BZ294972">
        <v>2.37</v>
      </c>
      <c r="CA294972">
        <v>2.37</v>
      </c>
      <c r="DX294972">
        <v>4.74</v>
      </c>
      <c r="DY294972">
        <v>4.74</v>
      </c>
    </row>
    <row r="294973" spans="2:134">
      <c r="B294973">
        <v>286</v>
      </c>
      <c r="BT294973">
        <v>1.43</v>
      </c>
      <c r="BV294973">
        <v>1.43</v>
      </c>
      <c r="BW294973">
        <v>1.43</v>
      </c>
      <c r="BX294973">
        <v>1.43</v>
      </c>
      <c r="CO294973">
        <v>2.86</v>
      </c>
      <c r="CP294973">
        <v>2.86</v>
      </c>
      <c r="CQ294973">
        <v>2.86</v>
      </c>
      <c r="CR294973">
        <v>2.86</v>
      </c>
      <c r="CS294973">
        <v>2.86</v>
      </c>
    </row>
    <row r="294974" spans="2:134">
      <c r="B294974">
        <v>410</v>
      </c>
      <c r="BY294974">
        <v>2.88</v>
      </c>
      <c r="BZ294974">
        <v>2.88</v>
      </c>
      <c r="CA294974">
        <v>2.88</v>
      </c>
      <c r="CW294974">
        <v>5.76</v>
      </c>
      <c r="CX294974">
        <v>5.76</v>
      </c>
    </row>
    <row r="294975" spans="2:134">
      <c r="B294975">
        <v>346</v>
      </c>
      <c r="BR294975">
        <v>3.6</v>
      </c>
      <c r="BS294975">
        <v>3.6</v>
      </c>
      <c r="BT294975">
        <v>1.8</v>
      </c>
      <c r="CL294975">
        <v>3.6</v>
      </c>
      <c r="CM294975">
        <v>3.6</v>
      </c>
      <c r="CN294975">
        <v>3.6</v>
      </c>
    </row>
    <row r="294976" spans="2:134">
      <c r="B294976">
        <v>302</v>
      </c>
      <c r="BR294976">
        <v>3.28</v>
      </c>
      <c r="BS294976">
        <v>3.28</v>
      </c>
      <c r="BT294976">
        <v>1.64</v>
      </c>
      <c r="BU294976">
        <v>1.64</v>
      </c>
      <c r="CL294976">
        <v>3.28</v>
      </c>
      <c r="CM294976">
        <v>3.28</v>
      </c>
      <c r="CN294976">
        <v>3.28</v>
      </c>
    </row>
    <row r="294977" spans="2:146">
      <c r="B294977">
        <v>204</v>
      </c>
      <c r="BR294977">
        <v>2.12</v>
      </c>
      <c r="BS294977">
        <v>2.12</v>
      </c>
      <c r="BT294977">
        <v>1.06</v>
      </c>
      <c r="CL294977">
        <v>2.12</v>
      </c>
      <c r="CM294977">
        <v>2.12</v>
      </c>
      <c r="CN294977">
        <v>2.12</v>
      </c>
    </row>
    <row r="294979" spans="2:146">
      <c r="B294979">
        <v>26358.800000000003</v>
      </c>
      <c r="BQ294979">
        <v>0</v>
      </c>
      <c r="BR294979">
        <v>9</v>
      </c>
      <c r="BS294979">
        <v>9</v>
      </c>
      <c r="BT294979">
        <v>5.93</v>
      </c>
      <c r="BU294979">
        <v>1.64</v>
      </c>
      <c r="BV294979">
        <v>6.5299999999999994</v>
      </c>
      <c r="BW294979">
        <v>6.5299999999999994</v>
      </c>
      <c r="BX294979">
        <v>1.43</v>
      </c>
      <c r="BY294979">
        <v>14.61</v>
      </c>
      <c r="BZ294979">
        <v>14.61</v>
      </c>
      <c r="CA294979">
        <v>5.25</v>
      </c>
      <c r="CB294979">
        <v>3.01</v>
      </c>
      <c r="CC294979">
        <v>3.01</v>
      </c>
      <c r="CD294979">
        <v>3.01</v>
      </c>
      <c r="CE294979">
        <v>3.8</v>
      </c>
      <c r="CF294979">
        <v>3.8</v>
      </c>
      <c r="CG294979">
        <v>3.34</v>
      </c>
      <c r="CH294979">
        <v>3.34</v>
      </c>
      <c r="CI294979">
        <v>6.02</v>
      </c>
      <c r="CJ294979">
        <v>6.02</v>
      </c>
      <c r="CK294979">
        <v>6.02</v>
      </c>
      <c r="CL294979">
        <v>9</v>
      </c>
      <c r="CM294979">
        <v>9</v>
      </c>
      <c r="CN294979">
        <v>9</v>
      </c>
      <c r="CO294979">
        <v>2.86</v>
      </c>
      <c r="CP294979">
        <v>2.86</v>
      </c>
      <c r="CQ294979">
        <v>2.86</v>
      </c>
      <c r="CR294979">
        <v>2.86</v>
      </c>
      <c r="CS294979">
        <v>2.86</v>
      </c>
      <c r="CT294979">
        <v>2.5</v>
      </c>
      <c r="CU294979">
        <v>2.5</v>
      </c>
      <c r="CV294979">
        <v>2.5</v>
      </c>
      <c r="CW294979">
        <v>5.76</v>
      </c>
      <c r="CX294979">
        <v>5.76</v>
      </c>
      <c r="CY294979">
        <v>3.98</v>
      </c>
      <c r="CZ294979">
        <v>3.98</v>
      </c>
      <c r="DA294979">
        <v>3.98</v>
      </c>
      <c r="DB294979">
        <v>10.210000000000001</v>
      </c>
      <c r="DC294979">
        <v>10.210000000000001</v>
      </c>
      <c r="DD294979">
        <v>10.210000000000001</v>
      </c>
      <c r="DE294979">
        <v>10.210000000000001</v>
      </c>
      <c r="DF294979">
        <v>10.210000000000001</v>
      </c>
      <c r="DG294979">
        <v>10.210000000000001</v>
      </c>
      <c r="DH294979">
        <v>10.210000000000001</v>
      </c>
      <c r="DI294979">
        <v>47.860000000000007</v>
      </c>
      <c r="DJ294979">
        <v>47.860000000000007</v>
      </c>
      <c r="DK294979">
        <v>10.66</v>
      </c>
      <c r="DL294979">
        <v>14.18</v>
      </c>
      <c r="DM294979">
        <v>10.66</v>
      </c>
      <c r="DN294979">
        <v>10.66</v>
      </c>
      <c r="DO294979">
        <v>3.52</v>
      </c>
      <c r="DP294979">
        <v>0</v>
      </c>
      <c r="DQ294979">
        <v>26.18</v>
      </c>
      <c r="DR294979">
        <v>9.77</v>
      </c>
      <c r="DS294979">
        <v>6.15</v>
      </c>
      <c r="DT294979">
        <v>26.18</v>
      </c>
      <c r="DU294979">
        <v>3.62</v>
      </c>
      <c r="DV294979">
        <v>7.5</v>
      </c>
      <c r="DW294979">
        <v>23.91</v>
      </c>
      <c r="DX294979">
        <v>4.74</v>
      </c>
      <c r="DY294979">
        <v>4.74</v>
      </c>
      <c r="DZ294979">
        <v>1.62</v>
      </c>
      <c r="EA294979">
        <v>1.62</v>
      </c>
      <c r="EB294979">
        <v>1.62</v>
      </c>
      <c r="EC294979">
        <v>0.81</v>
      </c>
      <c r="ED294979">
        <v>0.81</v>
      </c>
      <c r="EE294979">
        <v>8.15</v>
      </c>
      <c r="EF294979">
        <v>8.15</v>
      </c>
      <c r="EG294979">
        <v>8.15</v>
      </c>
      <c r="EH294979">
        <v>8.15</v>
      </c>
      <c r="EI294979">
        <v>8.15</v>
      </c>
      <c r="EJ294979">
        <v>8.15</v>
      </c>
      <c r="EK294979">
        <v>8.15</v>
      </c>
      <c r="EL294979">
        <v>0.66</v>
      </c>
      <c r="EM294979">
        <v>0.66</v>
      </c>
      <c r="EN294979">
        <v>0.66</v>
      </c>
      <c r="EO294979">
        <v>0.66</v>
      </c>
      <c r="EP294979">
        <v>0.66</v>
      </c>
    </row>
    <row r="294980" spans="2:146">
      <c r="B294980" t="s">
        <v>265</v>
      </c>
      <c r="BQ294980" t="s">
        <v>345</v>
      </c>
      <c r="BR294980" t="s">
        <v>131</v>
      </c>
      <c r="BS294980" t="s">
        <v>131</v>
      </c>
      <c r="BT294980" t="s">
        <v>357</v>
      </c>
      <c r="BU294980" t="s">
        <v>131</v>
      </c>
      <c r="BV294980" t="s">
        <v>360</v>
      </c>
      <c r="BW294980" t="s">
        <v>360</v>
      </c>
      <c r="BX294980" t="s">
        <v>360</v>
      </c>
      <c r="BY294980" t="s">
        <v>364</v>
      </c>
      <c r="BZ294980" t="s">
        <v>364</v>
      </c>
      <c r="CA294980" t="s">
        <v>364</v>
      </c>
      <c r="CB294980" t="s">
        <v>368</v>
      </c>
      <c r="CC294980" t="s">
        <v>368</v>
      </c>
      <c r="CD294980" t="s">
        <v>368</v>
      </c>
      <c r="CE294980" t="s">
        <v>352</v>
      </c>
      <c r="CF294980" t="s">
        <v>352</v>
      </c>
      <c r="CG294980" t="s">
        <v>372</v>
      </c>
      <c r="CH294980" t="s">
        <v>372</v>
      </c>
      <c r="CI294980" t="s">
        <v>375</v>
      </c>
      <c r="CJ294980" t="s">
        <v>375</v>
      </c>
      <c r="CK294980" t="s">
        <v>375</v>
      </c>
      <c r="CL294980" t="s">
        <v>379</v>
      </c>
      <c r="CM294980" t="s">
        <v>379</v>
      </c>
      <c r="CN294980" t="s">
        <v>379</v>
      </c>
      <c r="CO294980" t="s">
        <v>383</v>
      </c>
      <c r="CP294980" t="s">
        <v>383</v>
      </c>
      <c r="CQ294980" t="s">
        <v>383</v>
      </c>
      <c r="CR294980" t="s">
        <v>383</v>
      </c>
      <c r="CS294980" t="s">
        <v>383</v>
      </c>
      <c r="CT294980" t="s">
        <v>389</v>
      </c>
      <c r="CU294980" t="s">
        <v>389</v>
      </c>
      <c r="CV294980" t="s">
        <v>389</v>
      </c>
      <c r="CW294980" t="s">
        <v>393</v>
      </c>
      <c r="CX294980" t="s">
        <v>393</v>
      </c>
      <c r="CY294980" t="s">
        <v>396</v>
      </c>
      <c r="CZ294980" t="s">
        <v>396</v>
      </c>
      <c r="DA294980" t="s">
        <v>396</v>
      </c>
      <c r="DB294980" t="s">
        <v>400</v>
      </c>
      <c r="DC294980" t="s">
        <v>400</v>
      </c>
      <c r="DD294980" t="s">
        <v>400</v>
      </c>
      <c r="DE294980" t="s">
        <v>400</v>
      </c>
      <c r="DF294980" t="s">
        <v>400</v>
      </c>
      <c r="DG294980" t="s">
        <v>400</v>
      </c>
      <c r="DH294980" t="s">
        <v>400</v>
      </c>
      <c r="DI294980" t="s">
        <v>121</v>
      </c>
      <c r="DJ294980" t="s">
        <v>121</v>
      </c>
      <c r="DK294980" t="s">
        <v>121</v>
      </c>
      <c r="DL294980" t="s">
        <v>121</v>
      </c>
      <c r="DM294980" t="s">
        <v>121</v>
      </c>
      <c r="DN294980" t="s">
        <v>121</v>
      </c>
      <c r="DO294980" t="s">
        <v>121</v>
      </c>
      <c r="DP294980" t="s">
        <v>121</v>
      </c>
      <c r="DQ294980" t="s">
        <v>121</v>
      </c>
      <c r="DR294980" t="s">
        <v>121</v>
      </c>
      <c r="DS294980" t="s">
        <v>121</v>
      </c>
      <c r="DT294980" t="s">
        <v>121</v>
      </c>
      <c r="DU294980" t="s">
        <v>121</v>
      </c>
      <c r="DV294980" t="s">
        <v>121</v>
      </c>
      <c r="DW294980" t="s">
        <v>121</v>
      </c>
      <c r="DX294980" t="s">
        <v>423</v>
      </c>
      <c r="DY294980" t="s">
        <v>423</v>
      </c>
      <c r="DZ294980" t="s">
        <v>426</v>
      </c>
      <c r="EA294980" t="s">
        <v>426</v>
      </c>
      <c r="EB294980" t="s">
        <v>426</v>
      </c>
      <c r="EC294980" t="s">
        <v>426</v>
      </c>
      <c r="ED294980" t="s">
        <v>426</v>
      </c>
      <c r="EE294980" t="s">
        <v>432</v>
      </c>
      <c r="EF294980" t="s">
        <v>432</v>
      </c>
      <c r="EG294980" t="s">
        <v>432</v>
      </c>
      <c r="EH294980" t="s">
        <v>432</v>
      </c>
      <c r="EI294980" t="s">
        <v>432</v>
      </c>
      <c r="EJ294980" t="s">
        <v>432</v>
      </c>
      <c r="EK294980" t="s">
        <v>432</v>
      </c>
      <c r="EL294980" t="s">
        <v>440</v>
      </c>
      <c r="EM294980" t="s">
        <v>440</v>
      </c>
      <c r="EN294980" t="s">
        <v>440</v>
      </c>
      <c r="EO294980" t="s">
        <v>440</v>
      </c>
      <c r="EP294980" t="s">
        <v>440</v>
      </c>
    </row>
    <row r="294981" spans="2:146">
      <c r="BQ294981" t="s">
        <v>351</v>
      </c>
      <c r="BR294981" t="s">
        <v>355</v>
      </c>
      <c r="BS294981" t="s">
        <v>356</v>
      </c>
      <c r="BT294981" t="s">
        <v>358</v>
      </c>
      <c r="BU294981" t="s">
        <v>359</v>
      </c>
      <c r="BV294981" t="s">
        <v>361</v>
      </c>
      <c r="BW294981" t="s">
        <v>362</v>
      </c>
      <c r="BX294981" t="s">
        <v>363</v>
      </c>
      <c r="BY294981" t="s">
        <v>365</v>
      </c>
      <c r="BZ294981" t="s">
        <v>366</v>
      </c>
      <c r="CA294981" t="s">
        <v>367</v>
      </c>
      <c r="CB294981" t="s">
        <v>369</v>
      </c>
      <c r="CC294981" t="s">
        <v>370</v>
      </c>
      <c r="CD294981" t="s">
        <v>371</v>
      </c>
      <c r="CE294981" t="s">
        <v>353</v>
      </c>
      <c r="CF294981" t="s">
        <v>354</v>
      </c>
      <c r="CG294981" t="s">
        <v>373</v>
      </c>
      <c r="CH294981" t="s">
        <v>374</v>
      </c>
      <c r="CI294981" t="s">
        <v>376</v>
      </c>
      <c r="CJ294981" t="s">
        <v>377</v>
      </c>
      <c r="CK294981" t="s">
        <v>378</v>
      </c>
      <c r="CL294981" t="s">
        <v>380</v>
      </c>
      <c r="CM294981" t="s">
        <v>381</v>
      </c>
      <c r="CN294981" t="s">
        <v>382</v>
      </c>
      <c r="CO294981" t="s">
        <v>384</v>
      </c>
      <c r="CP294981" t="s">
        <v>385</v>
      </c>
      <c r="CQ294981" t="s">
        <v>386</v>
      </c>
      <c r="CR294981" t="s">
        <v>387</v>
      </c>
      <c r="CS294981" t="s">
        <v>388</v>
      </c>
      <c r="CT294981" t="s">
        <v>390</v>
      </c>
      <c r="CU294981" t="s">
        <v>391</v>
      </c>
      <c r="CV294981" t="s">
        <v>392</v>
      </c>
      <c r="CW294981" t="s">
        <v>394</v>
      </c>
      <c r="CX294981" t="s">
        <v>395</v>
      </c>
      <c r="CY294981" t="s">
        <v>397</v>
      </c>
      <c r="CZ294981" t="s">
        <v>398</v>
      </c>
      <c r="DA294981" t="s">
        <v>399</v>
      </c>
      <c r="DB294981" t="s">
        <v>401</v>
      </c>
      <c r="DC294981" t="s">
        <v>402</v>
      </c>
      <c r="DD294981" t="s">
        <v>403</v>
      </c>
      <c r="DE294981" t="s">
        <v>404</v>
      </c>
      <c r="DF294981" t="s">
        <v>405</v>
      </c>
      <c r="DG294981" t="s">
        <v>406</v>
      </c>
      <c r="DH294981" t="s">
        <v>407</v>
      </c>
      <c r="DI294981" t="s">
        <v>408</v>
      </c>
      <c r="DJ294981" t="s">
        <v>409</v>
      </c>
      <c r="DK294981" t="s">
        <v>410</v>
      </c>
      <c r="DL294981" t="s">
        <v>411</v>
      </c>
      <c r="DM294981" t="s">
        <v>412</v>
      </c>
      <c r="DN294981" t="s">
        <v>413</v>
      </c>
      <c r="DO294981" t="s">
        <v>414</v>
      </c>
      <c r="DP294981" t="s">
        <v>415</v>
      </c>
      <c r="DQ294981" t="s">
        <v>416</v>
      </c>
      <c r="DR294981" t="s">
        <v>417</v>
      </c>
      <c r="DS294981" t="s">
        <v>418</v>
      </c>
      <c r="DT294981" t="s">
        <v>419</v>
      </c>
      <c r="DU294981" t="s">
        <v>420</v>
      </c>
      <c r="DV294981" t="s">
        <v>421</v>
      </c>
      <c r="DW294981" t="s">
        <v>422</v>
      </c>
      <c r="DX294981" t="s">
        <v>424</v>
      </c>
      <c r="DY294981" t="s">
        <v>425</v>
      </c>
      <c r="DZ294981" t="s">
        <v>427</v>
      </c>
      <c r="EA294981" t="s">
        <v>428</v>
      </c>
      <c r="EB294981" t="s">
        <v>429</v>
      </c>
      <c r="EC294981" t="s">
        <v>430</v>
      </c>
      <c r="ED294981" t="s">
        <v>431</v>
      </c>
      <c r="EE294981" t="s">
        <v>433</v>
      </c>
      <c r="EF294981" t="s">
        <v>434</v>
      </c>
      <c r="EG294981" t="s">
        <v>435</v>
      </c>
      <c r="EH294981" t="s">
        <v>436</v>
      </c>
      <c r="EI294981" t="s">
        <v>437</v>
      </c>
      <c r="EJ294981" t="s">
        <v>438</v>
      </c>
      <c r="EK294981" t="s">
        <v>439</v>
      </c>
      <c r="EL294981" t="s">
        <v>441</v>
      </c>
      <c r="EM294981" t="s">
        <v>442</v>
      </c>
      <c r="EN294981" t="s">
        <v>443</v>
      </c>
      <c r="EO294981" t="s">
        <v>444</v>
      </c>
      <c r="EP294981" t="s">
        <v>445</v>
      </c>
    </row>
    <row r="294982" spans="2:146">
      <c r="BQ294982">
        <v>67</v>
      </c>
      <c r="BR294982">
        <v>68</v>
      </c>
      <c r="BS294982">
        <v>69</v>
      </c>
      <c r="BT294982">
        <v>70</v>
      </c>
      <c r="BU294982">
        <v>71</v>
      </c>
      <c r="BV294982">
        <v>72</v>
      </c>
      <c r="BW294982">
        <v>73</v>
      </c>
      <c r="BX294982">
        <v>74</v>
      </c>
      <c r="BY294982">
        <v>75</v>
      </c>
      <c r="BZ294982">
        <v>76</v>
      </c>
      <c r="CA294982">
        <v>77</v>
      </c>
      <c r="CB294982">
        <v>78</v>
      </c>
      <c r="CC294982">
        <v>79</v>
      </c>
      <c r="CD294982">
        <v>80</v>
      </c>
      <c r="CE294982">
        <v>81</v>
      </c>
      <c r="CF294982">
        <v>82</v>
      </c>
      <c r="CG294982">
        <v>83</v>
      </c>
      <c r="CH294982">
        <v>84</v>
      </c>
      <c r="CI294982">
        <v>85</v>
      </c>
      <c r="CJ294982">
        <v>86</v>
      </c>
      <c r="CK294982">
        <v>87</v>
      </c>
      <c r="CL294982">
        <v>88</v>
      </c>
      <c r="CM294982">
        <v>89</v>
      </c>
      <c r="CN294982">
        <v>90</v>
      </c>
      <c r="CO294982">
        <v>91</v>
      </c>
      <c r="CP294982">
        <v>92</v>
      </c>
      <c r="CQ294982">
        <v>93</v>
      </c>
      <c r="CR294982">
        <v>94</v>
      </c>
      <c r="CS294982">
        <v>95</v>
      </c>
      <c r="CT294982">
        <v>96</v>
      </c>
      <c r="CU294982">
        <v>97</v>
      </c>
      <c r="CV294982">
        <v>98</v>
      </c>
      <c r="CW294982">
        <v>99</v>
      </c>
      <c r="CX294982">
        <v>100</v>
      </c>
      <c r="CY294982">
        <v>101</v>
      </c>
      <c r="CZ294982">
        <v>102</v>
      </c>
      <c r="DA294982">
        <v>103</v>
      </c>
      <c r="DB294982">
        <v>104</v>
      </c>
      <c r="DC294982">
        <v>105</v>
      </c>
      <c r="DD294982">
        <v>106</v>
      </c>
      <c r="DE294982">
        <v>107</v>
      </c>
      <c r="DF294982">
        <v>108</v>
      </c>
      <c r="DG294982">
        <v>109</v>
      </c>
      <c r="DH294982">
        <v>110</v>
      </c>
      <c r="DI294982">
        <v>111</v>
      </c>
      <c r="DJ294982">
        <v>112</v>
      </c>
      <c r="DK294982">
        <v>113</v>
      </c>
      <c r="DL294982">
        <v>114</v>
      </c>
      <c r="DM294982">
        <v>115</v>
      </c>
      <c r="DN294982">
        <v>116</v>
      </c>
      <c r="DO294982">
        <v>117</v>
      </c>
      <c r="DP294982">
        <v>118</v>
      </c>
      <c r="DQ294982">
        <v>119</v>
      </c>
      <c r="DR294982">
        <v>120</v>
      </c>
      <c r="DS294982">
        <v>121</v>
      </c>
      <c r="DT294982">
        <v>122</v>
      </c>
      <c r="DU294982">
        <v>123</v>
      </c>
      <c r="DV294982">
        <v>124</v>
      </c>
      <c r="DW294982">
        <v>125</v>
      </c>
      <c r="DX294982">
        <v>126</v>
      </c>
      <c r="DY294982">
        <v>127</v>
      </c>
      <c r="DZ294982">
        <v>128</v>
      </c>
      <c r="EA294982">
        <v>129</v>
      </c>
      <c r="EB294982">
        <v>130</v>
      </c>
      <c r="EC294982">
        <v>131</v>
      </c>
      <c r="ED294982">
        <v>132</v>
      </c>
      <c r="EE294982">
        <v>133</v>
      </c>
      <c r="EF294982">
        <v>134</v>
      </c>
      <c r="EG294982">
        <v>135</v>
      </c>
      <c r="EH294982">
        <v>136</v>
      </c>
      <c r="EI294982">
        <v>137</v>
      </c>
      <c r="EJ294982">
        <v>138</v>
      </c>
      <c r="EK294982">
        <v>139</v>
      </c>
      <c r="EL294982">
        <v>140</v>
      </c>
      <c r="EM294982">
        <v>141</v>
      </c>
      <c r="EN294982">
        <v>142</v>
      </c>
      <c r="EO294982">
        <v>143</v>
      </c>
      <c r="EP294982">
        <v>144</v>
      </c>
    </row>
    <row r="294983" spans="2:146">
      <c r="CE294983" t="s">
        <v>451</v>
      </c>
    </row>
    <row r="311298" spans="2:2">
      <c r="B311298">
        <v>200</v>
      </c>
    </row>
    <row r="311299" spans="2:2">
      <c r="B311299">
        <v>200</v>
      </c>
    </row>
    <row r="311300" spans="2:2">
      <c r="B311300">
        <v>800</v>
      </c>
    </row>
    <row r="311301" spans="2:2">
      <c r="B311301">
        <v>200</v>
      </c>
    </row>
    <row r="311302" spans="2:2">
      <c r="B311302">
        <v>1044</v>
      </c>
    </row>
    <row r="311303" spans="2:2">
      <c r="B311303">
        <v>998.40000000000009</v>
      </c>
    </row>
    <row r="311304" spans="2:2">
      <c r="B311304">
        <v>272</v>
      </c>
    </row>
    <row r="311305" spans="2:2">
      <c r="B311305">
        <v>200</v>
      </c>
    </row>
    <row r="311306" spans="2:2">
      <c r="B311306">
        <v>214</v>
      </c>
    </row>
    <row r="311307" spans="2:2">
      <c r="B311307">
        <v>200</v>
      </c>
    </row>
    <row r="311308" spans="2:2">
      <c r="B311308">
        <v>152</v>
      </c>
    </row>
    <row r="311309" spans="2:2">
      <c r="B311309">
        <v>200</v>
      </c>
    </row>
    <row r="311310" spans="2:2">
      <c r="B311310">
        <v>300</v>
      </c>
    </row>
    <row r="311311" spans="2:2">
      <c r="B311311">
        <v>104</v>
      </c>
    </row>
    <row r="311312" spans="2:2">
      <c r="B311312">
        <v>162</v>
      </c>
    </row>
    <row r="311313" spans="2:2">
      <c r="B311313">
        <v>200</v>
      </c>
    </row>
    <row r="311314" spans="2:2">
      <c r="B311314">
        <v>200</v>
      </c>
    </row>
    <row r="311315" spans="2:2">
      <c r="B311315">
        <v>200</v>
      </c>
    </row>
    <row r="311316" spans="2:2">
      <c r="B311316">
        <v>200</v>
      </c>
    </row>
    <row r="311317" spans="2:2">
      <c r="B311317">
        <v>200</v>
      </c>
    </row>
    <row r="311318" spans="2:2">
      <c r="B311318">
        <v>200</v>
      </c>
    </row>
    <row r="311319" spans="2:2">
      <c r="B311319">
        <v>200</v>
      </c>
    </row>
    <row r="311320" spans="2:2">
      <c r="B311320">
        <v>200</v>
      </c>
    </row>
    <row r="311321" spans="2:2">
      <c r="B311321">
        <v>800</v>
      </c>
    </row>
    <row r="311322" spans="2:2">
      <c r="B311322">
        <v>300</v>
      </c>
    </row>
    <row r="311323" spans="2:2">
      <c r="B311323">
        <v>778</v>
      </c>
    </row>
    <row r="311324" spans="2:2">
      <c r="B311324">
        <v>614</v>
      </c>
    </row>
    <row r="311325" spans="2:2">
      <c r="B311325">
        <v>444</v>
      </c>
    </row>
    <row r="311326" spans="2:2">
      <c r="B311326">
        <v>800</v>
      </c>
    </row>
    <row r="311327" spans="2:2">
      <c r="B311327">
        <v>200</v>
      </c>
    </row>
    <row r="311328" spans="2:2">
      <c r="B311328">
        <v>780</v>
      </c>
    </row>
    <row r="311329" spans="2:146">
      <c r="B311329">
        <v>174</v>
      </c>
    </row>
    <row r="311330" spans="2:146">
      <c r="B311330">
        <v>194</v>
      </c>
    </row>
    <row r="311331" spans="2:146">
      <c r="B311331">
        <v>782</v>
      </c>
    </row>
    <row r="311332" spans="2:146">
      <c r="B311332">
        <v>236</v>
      </c>
    </row>
    <row r="311333" spans="2:146">
      <c r="B311333">
        <v>144</v>
      </c>
    </row>
    <row r="311334" spans="2:146">
      <c r="B311334">
        <v>200</v>
      </c>
    </row>
    <row r="311335" spans="2:146">
      <c r="B311335">
        <v>240</v>
      </c>
    </row>
    <row r="311336" spans="2:146">
      <c r="B311336">
        <v>200</v>
      </c>
    </row>
    <row r="311337" spans="2:146">
      <c r="B311337">
        <v>612</v>
      </c>
    </row>
    <row r="311338" spans="2:146">
      <c r="B311338">
        <v>156</v>
      </c>
    </row>
    <row r="311339" spans="2:146">
      <c r="B311339">
        <v>116</v>
      </c>
    </row>
    <row r="311340" spans="2:146">
      <c r="B311340">
        <v>160</v>
      </c>
    </row>
    <row r="311341" spans="2:146">
      <c r="B311341">
        <v>80</v>
      </c>
      <c r="EL311341">
        <v>0.66</v>
      </c>
      <c r="EM311341">
        <v>0.66</v>
      </c>
      <c r="EN311341">
        <v>0.66</v>
      </c>
      <c r="EO311341">
        <v>0.66</v>
      </c>
      <c r="EP311341">
        <v>0.66</v>
      </c>
    </row>
    <row r="311342" spans="2:146">
      <c r="B311342">
        <v>1144</v>
      </c>
      <c r="BV311342">
        <v>5.0999999999999996</v>
      </c>
      <c r="BW311342">
        <v>5.0999999999999996</v>
      </c>
      <c r="DB311342">
        <v>10.210000000000001</v>
      </c>
      <c r="DC311342">
        <v>10.210000000000001</v>
      </c>
      <c r="DD311342">
        <v>10.210000000000001</v>
      </c>
      <c r="DE311342">
        <v>10.210000000000001</v>
      </c>
      <c r="DF311342">
        <v>10.210000000000001</v>
      </c>
      <c r="DG311342">
        <v>10.210000000000001</v>
      </c>
      <c r="DH311342">
        <v>10.210000000000001</v>
      </c>
    </row>
    <row r="311343" spans="2:146">
      <c r="B311343">
        <v>1240</v>
      </c>
      <c r="EE311343">
        <v>8.15</v>
      </c>
      <c r="EF311343">
        <v>8.15</v>
      </c>
      <c r="EG311343">
        <v>8.15</v>
      </c>
      <c r="EH311343">
        <v>8.15</v>
      </c>
      <c r="EI311343">
        <v>8.15</v>
      </c>
      <c r="EJ311343">
        <v>8.15</v>
      </c>
      <c r="EK311343">
        <v>8.15</v>
      </c>
    </row>
    <row r="311344" spans="2:146">
      <c r="B311344">
        <v>2083.2000000000003</v>
      </c>
      <c r="DI311344">
        <v>20.03</v>
      </c>
      <c r="DJ311344">
        <v>20.03</v>
      </c>
      <c r="DQ311344">
        <v>20.03</v>
      </c>
      <c r="DT311344">
        <v>20.03</v>
      </c>
      <c r="DW311344">
        <v>20.03</v>
      </c>
    </row>
    <row r="311345" spans="2:134">
      <c r="B311345">
        <v>357.20000000000005</v>
      </c>
      <c r="DI311345">
        <v>3.88</v>
      </c>
      <c r="DJ311345">
        <v>3.88</v>
      </c>
      <c r="DV311345">
        <v>3.88</v>
      </c>
      <c r="DW311345">
        <v>3.88</v>
      </c>
    </row>
    <row r="311346" spans="2:134">
      <c r="B311346">
        <v>391.20000000000005</v>
      </c>
      <c r="DI311346">
        <v>3.62</v>
      </c>
      <c r="DJ311346">
        <v>3.62</v>
      </c>
      <c r="DR311346">
        <v>3.62</v>
      </c>
      <c r="DU311346">
        <v>3.62</v>
      </c>
      <c r="DV311346">
        <v>3.62</v>
      </c>
    </row>
    <row r="311347" spans="2:134">
      <c r="B311347">
        <v>762.80000000000007</v>
      </c>
      <c r="DI311347">
        <v>6.15</v>
      </c>
      <c r="DJ311347">
        <v>6.15</v>
      </c>
      <c r="DQ311347">
        <v>6.15</v>
      </c>
      <c r="DR311347">
        <v>6.15</v>
      </c>
      <c r="DS311347">
        <v>6.15</v>
      </c>
      <c r="DT311347">
        <v>6.15</v>
      </c>
    </row>
    <row r="311348" spans="2:134">
      <c r="B311348">
        <v>1280</v>
      </c>
      <c r="DI311348">
        <v>10.66</v>
      </c>
      <c r="DJ311348">
        <v>10.66</v>
      </c>
      <c r="DK311348">
        <v>10.66</v>
      </c>
      <c r="DL311348">
        <v>10.66</v>
      </c>
      <c r="DM311348">
        <v>10.66</v>
      </c>
      <c r="DN311348">
        <v>10.66</v>
      </c>
    </row>
    <row r="311349" spans="2:134">
      <c r="B311349">
        <v>234</v>
      </c>
      <c r="CT311349">
        <v>2.5</v>
      </c>
      <c r="CU311349">
        <v>2.5</v>
      </c>
      <c r="CV311349">
        <v>2.5</v>
      </c>
    </row>
    <row r="311350" spans="2:134">
      <c r="B311350">
        <v>354</v>
      </c>
      <c r="CY311350">
        <v>3.98</v>
      </c>
      <c r="CZ311350">
        <v>3.98</v>
      </c>
      <c r="DA311350">
        <v>3.98</v>
      </c>
    </row>
    <row r="311351" spans="2:134">
      <c r="B311351">
        <v>392</v>
      </c>
      <c r="DI311351">
        <v>3.52</v>
      </c>
      <c r="DJ311351">
        <v>3.52</v>
      </c>
      <c r="DL311351">
        <v>3.52</v>
      </c>
      <c r="DO311351">
        <v>3.52</v>
      </c>
    </row>
    <row r="311352" spans="2:134">
      <c r="B311352">
        <v>304</v>
      </c>
      <c r="CE311352">
        <v>3.8</v>
      </c>
      <c r="CF311352">
        <v>3.8</v>
      </c>
    </row>
    <row r="311353" spans="2:134">
      <c r="B311353">
        <v>144</v>
      </c>
      <c r="DZ311353">
        <v>1.62</v>
      </c>
      <c r="EA311353">
        <v>1.62</v>
      </c>
      <c r="EB311353">
        <v>1.62</v>
      </c>
      <c r="EC311353">
        <v>0.81</v>
      </c>
      <c r="ED311353">
        <v>0.81</v>
      </c>
    </row>
    <row r="311354" spans="2:134">
      <c r="B311354">
        <v>602.40000000000009</v>
      </c>
      <c r="BY311354">
        <v>6.02</v>
      </c>
      <c r="BZ311354">
        <v>6.02</v>
      </c>
      <c r="CB311354">
        <v>3.01</v>
      </c>
      <c r="CC311354">
        <v>3.01</v>
      </c>
      <c r="CD311354">
        <v>3.01</v>
      </c>
      <c r="CI311354">
        <v>6.02</v>
      </c>
      <c r="CJ311354">
        <v>6.02</v>
      </c>
      <c r="CK311354">
        <v>6.02</v>
      </c>
    </row>
    <row r="311355" spans="2:134">
      <c r="B311355">
        <v>307.60000000000002</v>
      </c>
      <c r="BY311355">
        <v>3.34</v>
      </c>
      <c r="BZ311355">
        <v>3.34</v>
      </c>
      <c r="CG311355">
        <v>3.34</v>
      </c>
      <c r="CH311355">
        <v>3.34</v>
      </c>
    </row>
    <row r="311356" spans="2:134">
      <c r="B311356">
        <v>358</v>
      </c>
      <c r="BY311356">
        <v>2.37</v>
      </c>
      <c r="BZ311356">
        <v>2.37</v>
      </c>
      <c r="CA311356">
        <v>2.37</v>
      </c>
      <c r="DX311356">
        <v>4.74</v>
      </c>
      <c r="DY311356">
        <v>4.74</v>
      </c>
    </row>
    <row r="311357" spans="2:134">
      <c r="B311357">
        <v>286</v>
      </c>
      <c r="BT311357">
        <v>1.43</v>
      </c>
      <c r="BV311357">
        <v>1.43</v>
      </c>
      <c r="BW311357">
        <v>1.43</v>
      </c>
      <c r="BX311357">
        <v>1.43</v>
      </c>
      <c r="CO311357">
        <v>2.86</v>
      </c>
      <c r="CP311357">
        <v>2.86</v>
      </c>
      <c r="CQ311357">
        <v>2.86</v>
      </c>
      <c r="CR311357">
        <v>2.86</v>
      </c>
      <c r="CS311357">
        <v>2.86</v>
      </c>
    </row>
    <row r="311358" spans="2:134">
      <c r="B311358">
        <v>410</v>
      </c>
      <c r="BY311358">
        <v>2.88</v>
      </c>
      <c r="BZ311358">
        <v>2.88</v>
      </c>
      <c r="CA311358">
        <v>2.88</v>
      </c>
      <c r="CW311358">
        <v>5.76</v>
      </c>
      <c r="CX311358">
        <v>5.76</v>
      </c>
    </row>
    <row r="311359" spans="2:134">
      <c r="B311359">
        <v>346</v>
      </c>
      <c r="BR311359">
        <v>3.6</v>
      </c>
      <c r="BS311359">
        <v>3.6</v>
      </c>
      <c r="BT311359">
        <v>1.8</v>
      </c>
      <c r="CL311359">
        <v>3.6</v>
      </c>
      <c r="CM311359">
        <v>3.6</v>
      </c>
      <c r="CN311359">
        <v>3.6</v>
      </c>
    </row>
    <row r="311360" spans="2:134">
      <c r="B311360">
        <v>302</v>
      </c>
      <c r="BR311360">
        <v>3.28</v>
      </c>
      <c r="BS311360">
        <v>3.28</v>
      </c>
      <c r="BT311360">
        <v>1.64</v>
      </c>
      <c r="BU311360">
        <v>1.64</v>
      </c>
      <c r="CL311360">
        <v>3.28</v>
      </c>
      <c r="CM311360">
        <v>3.28</v>
      </c>
      <c r="CN311360">
        <v>3.28</v>
      </c>
    </row>
    <row r="311361" spans="2:146">
      <c r="B311361">
        <v>204</v>
      </c>
      <c r="BR311361">
        <v>2.12</v>
      </c>
      <c r="BS311361">
        <v>2.12</v>
      </c>
      <c r="BT311361">
        <v>1.06</v>
      </c>
      <c r="CL311361">
        <v>2.12</v>
      </c>
      <c r="CM311361">
        <v>2.12</v>
      </c>
      <c r="CN311361">
        <v>2.12</v>
      </c>
    </row>
    <row r="311363" spans="2:146">
      <c r="B311363">
        <v>26358.800000000003</v>
      </c>
      <c r="BQ311363">
        <v>0</v>
      </c>
      <c r="BR311363">
        <v>9</v>
      </c>
      <c r="BS311363">
        <v>9</v>
      </c>
      <c r="BT311363">
        <v>5.93</v>
      </c>
      <c r="BU311363">
        <v>1.64</v>
      </c>
      <c r="BV311363">
        <v>6.5299999999999994</v>
      </c>
      <c r="BW311363">
        <v>6.5299999999999994</v>
      </c>
      <c r="BX311363">
        <v>1.43</v>
      </c>
      <c r="BY311363">
        <v>14.61</v>
      </c>
      <c r="BZ311363">
        <v>14.61</v>
      </c>
      <c r="CA311363">
        <v>5.25</v>
      </c>
      <c r="CB311363">
        <v>3.01</v>
      </c>
      <c r="CC311363">
        <v>3.01</v>
      </c>
      <c r="CD311363">
        <v>3.01</v>
      </c>
      <c r="CE311363">
        <v>3.8</v>
      </c>
      <c r="CF311363">
        <v>3.8</v>
      </c>
      <c r="CG311363">
        <v>3.34</v>
      </c>
      <c r="CH311363">
        <v>3.34</v>
      </c>
      <c r="CI311363">
        <v>6.02</v>
      </c>
      <c r="CJ311363">
        <v>6.02</v>
      </c>
      <c r="CK311363">
        <v>6.02</v>
      </c>
      <c r="CL311363">
        <v>9</v>
      </c>
      <c r="CM311363">
        <v>9</v>
      </c>
      <c r="CN311363">
        <v>9</v>
      </c>
      <c r="CO311363">
        <v>2.86</v>
      </c>
      <c r="CP311363">
        <v>2.86</v>
      </c>
      <c r="CQ311363">
        <v>2.86</v>
      </c>
      <c r="CR311363">
        <v>2.86</v>
      </c>
      <c r="CS311363">
        <v>2.86</v>
      </c>
      <c r="CT311363">
        <v>2.5</v>
      </c>
      <c r="CU311363">
        <v>2.5</v>
      </c>
      <c r="CV311363">
        <v>2.5</v>
      </c>
      <c r="CW311363">
        <v>5.76</v>
      </c>
      <c r="CX311363">
        <v>5.76</v>
      </c>
      <c r="CY311363">
        <v>3.98</v>
      </c>
      <c r="CZ311363">
        <v>3.98</v>
      </c>
      <c r="DA311363">
        <v>3.98</v>
      </c>
      <c r="DB311363">
        <v>10.210000000000001</v>
      </c>
      <c r="DC311363">
        <v>10.210000000000001</v>
      </c>
      <c r="DD311363">
        <v>10.210000000000001</v>
      </c>
      <c r="DE311363">
        <v>10.210000000000001</v>
      </c>
      <c r="DF311363">
        <v>10.210000000000001</v>
      </c>
      <c r="DG311363">
        <v>10.210000000000001</v>
      </c>
      <c r="DH311363">
        <v>10.210000000000001</v>
      </c>
      <c r="DI311363">
        <v>47.860000000000007</v>
      </c>
      <c r="DJ311363">
        <v>47.860000000000007</v>
      </c>
      <c r="DK311363">
        <v>10.66</v>
      </c>
      <c r="DL311363">
        <v>14.18</v>
      </c>
      <c r="DM311363">
        <v>10.66</v>
      </c>
      <c r="DN311363">
        <v>10.66</v>
      </c>
      <c r="DO311363">
        <v>3.52</v>
      </c>
      <c r="DP311363">
        <v>0</v>
      </c>
      <c r="DQ311363">
        <v>26.18</v>
      </c>
      <c r="DR311363">
        <v>9.77</v>
      </c>
      <c r="DS311363">
        <v>6.15</v>
      </c>
      <c r="DT311363">
        <v>26.18</v>
      </c>
      <c r="DU311363">
        <v>3.62</v>
      </c>
      <c r="DV311363">
        <v>7.5</v>
      </c>
      <c r="DW311363">
        <v>23.91</v>
      </c>
      <c r="DX311363">
        <v>4.74</v>
      </c>
      <c r="DY311363">
        <v>4.74</v>
      </c>
      <c r="DZ311363">
        <v>1.62</v>
      </c>
      <c r="EA311363">
        <v>1.62</v>
      </c>
      <c r="EB311363">
        <v>1.62</v>
      </c>
      <c r="EC311363">
        <v>0.81</v>
      </c>
      <c r="ED311363">
        <v>0.81</v>
      </c>
      <c r="EE311363">
        <v>8.15</v>
      </c>
      <c r="EF311363">
        <v>8.15</v>
      </c>
      <c r="EG311363">
        <v>8.15</v>
      </c>
      <c r="EH311363">
        <v>8.15</v>
      </c>
      <c r="EI311363">
        <v>8.15</v>
      </c>
      <c r="EJ311363">
        <v>8.15</v>
      </c>
      <c r="EK311363">
        <v>8.15</v>
      </c>
      <c r="EL311363">
        <v>0.66</v>
      </c>
      <c r="EM311363">
        <v>0.66</v>
      </c>
      <c r="EN311363">
        <v>0.66</v>
      </c>
      <c r="EO311363">
        <v>0.66</v>
      </c>
      <c r="EP311363">
        <v>0.66</v>
      </c>
    </row>
    <row r="311364" spans="2:146">
      <c r="B311364" t="s">
        <v>265</v>
      </c>
      <c r="BQ311364" t="s">
        <v>345</v>
      </c>
      <c r="BR311364" t="s">
        <v>131</v>
      </c>
      <c r="BS311364" t="s">
        <v>131</v>
      </c>
      <c r="BT311364" t="s">
        <v>357</v>
      </c>
      <c r="BU311364" t="s">
        <v>131</v>
      </c>
      <c r="BV311364" t="s">
        <v>360</v>
      </c>
      <c r="BW311364" t="s">
        <v>360</v>
      </c>
      <c r="BX311364" t="s">
        <v>360</v>
      </c>
      <c r="BY311364" t="s">
        <v>364</v>
      </c>
      <c r="BZ311364" t="s">
        <v>364</v>
      </c>
      <c r="CA311364" t="s">
        <v>364</v>
      </c>
      <c r="CB311364" t="s">
        <v>368</v>
      </c>
      <c r="CC311364" t="s">
        <v>368</v>
      </c>
      <c r="CD311364" t="s">
        <v>368</v>
      </c>
      <c r="CE311364" t="s">
        <v>352</v>
      </c>
      <c r="CF311364" t="s">
        <v>352</v>
      </c>
      <c r="CG311364" t="s">
        <v>372</v>
      </c>
      <c r="CH311364" t="s">
        <v>372</v>
      </c>
      <c r="CI311364" t="s">
        <v>375</v>
      </c>
      <c r="CJ311364" t="s">
        <v>375</v>
      </c>
      <c r="CK311364" t="s">
        <v>375</v>
      </c>
      <c r="CL311364" t="s">
        <v>379</v>
      </c>
      <c r="CM311364" t="s">
        <v>379</v>
      </c>
      <c r="CN311364" t="s">
        <v>379</v>
      </c>
      <c r="CO311364" t="s">
        <v>383</v>
      </c>
      <c r="CP311364" t="s">
        <v>383</v>
      </c>
      <c r="CQ311364" t="s">
        <v>383</v>
      </c>
      <c r="CR311364" t="s">
        <v>383</v>
      </c>
      <c r="CS311364" t="s">
        <v>383</v>
      </c>
      <c r="CT311364" t="s">
        <v>389</v>
      </c>
      <c r="CU311364" t="s">
        <v>389</v>
      </c>
      <c r="CV311364" t="s">
        <v>389</v>
      </c>
      <c r="CW311364" t="s">
        <v>393</v>
      </c>
      <c r="CX311364" t="s">
        <v>393</v>
      </c>
      <c r="CY311364" t="s">
        <v>396</v>
      </c>
      <c r="CZ311364" t="s">
        <v>396</v>
      </c>
      <c r="DA311364" t="s">
        <v>396</v>
      </c>
      <c r="DB311364" t="s">
        <v>400</v>
      </c>
      <c r="DC311364" t="s">
        <v>400</v>
      </c>
      <c r="DD311364" t="s">
        <v>400</v>
      </c>
      <c r="DE311364" t="s">
        <v>400</v>
      </c>
      <c r="DF311364" t="s">
        <v>400</v>
      </c>
      <c r="DG311364" t="s">
        <v>400</v>
      </c>
      <c r="DH311364" t="s">
        <v>400</v>
      </c>
      <c r="DI311364" t="s">
        <v>121</v>
      </c>
      <c r="DJ311364" t="s">
        <v>121</v>
      </c>
      <c r="DK311364" t="s">
        <v>121</v>
      </c>
      <c r="DL311364" t="s">
        <v>121</v>
      </c>
      <c r="DM311364" t="s">
        <v>121</v>
      </c>
      <c r="DN311364" t="s">
        <v>121</v>
      </c>
      <c r="DO311364" t="s">
        <v>121</v>
      </c>
      <c r="DP311364" t="s">
        <v>121</v>
      </c>
      <c r="DQ311364" t="s">
        <v>121</v>
      </c>
      <c r="DR311364" t="s">
        <v>121</v>
      </c>
      <c r="DS311364" t="s">
        <v>121</v>
      </c>
      <c r="DT311364" t="s">
        <v>121</v>
      </c>
      <c r="DU311364" t="s">
        <v>121</v>
      </c>
      <c r="DV311364" t="s">
        <v>121</v>
      </c>
      <c r="DW311364" t="s">
        <v>121</v>
      </c>
      <c r="DX311364" t="s">
        <v>423</v>
      </c>
      <c r="DY311364" t="s">
        <v>423</v>
      </c>
      <c r="DZ311364" t="s">
        <v>426</v>
      </c>
      <c r="EA311364" t="s">
        <v>426</v>
      </c>
      <c r="EB311364" t="s">
        <v>426</v>
      </c>
      <c r="EC311364" t="s">
        <v>426</v>
      </c>
      <c r="ED311364" t="s">
        <v>426</v>
      </c>
      <c r="EE311364" t="s">
        <v>432</v>
      </c>
      <c r="EF311364" t="s">
        <v>432</v>
      </c>
      <c r="EG311364" t="s">
        <v>432</v>
      </c>
      <c r="EH311364" t="s">
        <v>432</v>
      </c>
      <c r="EI311364" t="s">
        <v>432</v>
      </c>
      <c r="EJ311364" t="s">
        <v>432</v>
      </c>
      <c r="EK311364" t="s">
        <v>432</v>
      </c>
      <c r="EL311364" t="s">
        <v>440</v>
      </c>
      <c r="EM311364" t="s">
        <v>440</v>
      </c>
      <c r="EN311364" t="s">
        <v>440</v>
      </c>
      <c r="EO311364" t="s">
        <v>440</v>
      </c>
      <c r="EP311364" t="s">
        <v>440</v>
      </c>
    </row>
    <row r="311365" spans="2:146">
      <c r="BQ311365" t="s">
        <v>351</v>
      </c>
      <c r="BR311365" t="s">
        <v>355</v>
      </c>
      <c r="BS311365" t="s">
        <v>356</v>
      </c>
      <c r="BT311365" t="s">
        <v>358</v>
      </c>
      <c r="BU311365" t="s">
        <v>359</v>
      </c>
      <c r="BV311365" t="s">
        <v>361</v>
      </c>
      <c r="BW311365" t="s">
        <v>362</v>
      </c>
      <c r="BX311365" t="s">
        <v>363</v>
      </c>
      <c r="BY311365" t="s">
        <v>365</v>
      </c>
      <c r="BZ311365" t="s">
        <v>366</v>
      </c>
      <c r="CA311365" t="s">
        <v>367</v>
      </c>
      <c r="CB311365" t="s">
        <v>369</v>
      </c>
      <c r="CC311365" t="s">
        <v>370</v>
      </c>
      <c r="CD311365" t="s">
        <v>371</v>
      </c>
      <c r="CE311365" t="s">
        <v>353</v>
      </c>
      <c r="CF311365" t="s">
        <v>354</v>
      </c>
      <c r="CG311365" t="s">
        <v>373</v>
      </c>
      <c r="CH311365" t="s">
        <v>374</v>
      </c>
      <c r="CI311365" t="s">
        <v>376</v>
      </c>
      <c r="CJ311365" t="s">
        <v>377</v>
      </c>
      <c r="CK311365" t="s">
        <v>378</v>
      </c>
      <c r="CL311365" t="s">
        <v>380</v>
      </c>
      <c r="CM311365" t="s">
        <v>381</v>
      </c>
      <c r="CN311365" t="s">
        <v>382</v>
      </c>
      <c r="CO311365" t="s">
        <v>384</v>
      </c>
      <c r="CP311365" t="s">
        <v>385</v>
      </c>
      <c r="CQ311365" t="s">
        <v>386</v>
      </c>
      <c r="CR311365" t="s">
        <v>387</v>
      </c>
      <c r="CS311365" t="s">
        <v>388</v>
      </c>
      <c r="CT311365" t="s">
        <v>390</v>
      </c>
      <c r="CU311365" t="s">
        <v>391</v>
      </c>
      <c r="CV311365" t="s">
        <v>392</v>
      </c>
      <c r="CW311365" t="s">
        <v>394</v>
      </c>
      <c r="CX311365" t="s">
        <v>395</v>
      </c>
      <c r="CY311365" t="s">
        <v>397</v>
      </c>
      <c r="CZ311365" t="s">
        <v>398</v>
      </c>
      <c r="DA311365" t="s">
        <v>399</v>
      </c>
      <c r="DB311365" t="s">
        <v>401</v>
      </c>
      <c r="DC311365" t="s">
        <v>402</v>
      </c>
      <c r="DD311365" t="s">
        <v>403</v>
      </c>
      <c r="DE311365" t="s">
        <v>404</v>
      </c>
      <c r="DF311365" t="s">
        <v>405</v>
      </c>
      <c r="DG311365" t="s">
        <v>406</v>
      </c>
      <c r="DH311365" t="s">
        <v>407</v>
      </c>
      <c r="DI311365" t="s">
        <v>408</v>
      </c>
      <c r="DJ311365" t="s">
        <v>409</v>
      </c>
      <c r="DK311365" t="s">
        <v>410</v>
      </c>
      <c r="DL311365" t="s">
        <v>411</v>
      </c>
      <c r="DM311365" t="s">
        <v>412</v>
      </c>
      <c r="DN311365" t="s">
        <v>413</v>
      </c>
      <c r="DO311365" t="s">
        <v>414</v>
      </c>
      <c r="DP311365" t="s">
        <v>415</v>
      </c>
      <c r="DQ311365" t="s">
        <v>416</v>
      </c>
      <c r="DR311365" t="s">
        <v>417</v>
      </c>
      <c r="DS311365" t="s">
        <v>418</v>
      </c>
      <c r="DT311365" t="s">
        <v>419</v>
      </c>
      <c r="DU311365" t="s">
        <v>420</v>
      </c>
      <c r="DV311365" t="s">
        <v>421</v>
      </c>
      <c r="DW311365" t="s">
        <v>422</v>
      </c>
      <c r="DX311365" t="s">
        <v>424</v>
      </c>
      <c r="DY311365" t="s">
        <v>425</v>
      </c>
      <c r="DZ311365" t="s">
        <v>427</v>
      </c>
      <c r="EA311365" t="s">
        <v>428</v>
      </c>
      <c r="EB311365" t="s">
        <v>429</v>
      </c>
      <c r="EC311365" t="s">
        <v>430</v>
      </c>
      <c r="ED311365" t="s">
        <v>431</v>
      </c>
      <c r="EE311365" t="s">
        <v>433</v>
      </c>
      <c r="EF311365" t="s">
        <v>434</v>
      </c>
      <c r="EG311365" t="s">
        <v>435</v>
      </c>
      <c r="EH311365" t="s">
        <v>436</v>
      </c>
      <c r="EI311365" t="s">
        <v>437</v>
      </c>
      <c r="EJ311365" t="s">
        <v>438</v>
      </c>
      <c r="EK311365" t="s">
        <v>439</v>
      </c>
      <c r="EL311365" t="s">
        <v>441</v>
      </c>
      <c r="EM311365" t="s">
        <v>442</v>
      </c>
      <c r="EN311365" t="s">
        <v>443</v>
      </c>
      <c r="EO311365" t="s">
        <v>444</v>
      </c>
      <c r="EP311365" t="s">
        <v>445</v>
      </c>
    </row>
    <row r="311366" spans="2:146">
      <c r="BQ311366">
        <v>67</v>
      </c>
      <c r="BR311366">
        <v>68</v>
      </c>
      <c r="BS311366">
        <v>69</v>
      </c>
      <c r="BT311366">
        <v>70</v>
      </c>
      <c r="BU311366">
        <v>71</v>
      </c>
      <c r="BV311366">
        <v>72</v>
      </c>
      <c r="BW311366">
        <v>73</v>
      </c>
      <c r="BX311366">
        <v>74</v>
      </c>
      <c r="BY311366">
        <v>75</v>
      </c>
      <c r="BZ311366">
        <v>76</v>
      </c>
      <c r="CA311366">
        <v>77</v>
      </c>
      <c r="CB311366">
        <v>78</v>
      </c>
      <c r="CC311366">
        <v>79</v>
      </c>
      <c r="CD311366">
        <v>80</v>
      </c>
      <c r="CE311366">
        <v>81</v>
      </c>
      <c r="CF311366">
        <v>82</v>
      </c>
      <c r="CG311366">
        <v>83</v>
      </c>
      <c r="CH311366">
        <v>84</v>
      </c>
      <c r="CI311366">
        <v>85</v>
      </c>
      <c r="CJ311366">
        <v>86</v>
      </c>
      <c r="CK311366">
        <v>87</v>
      </c>
      <c r="CL311366">
        <v>88</v>
      </c>
      <c r="CM311366">
        <v>89</v>
      </c>
      <c r="CN311366">
        <v>90</v>
      </c>
      <c r="CO311366">
        <v>91</v>
      </c>
      <c r="CP311366">
        <v>92</v>
      </c>
      <c r="CQ311366">
        <v>93</v>
      </c>
      <c r="CR311366">
        <v>94</v>
      </c>
      <c r="CS311366">
        <v>95</v>
      </c>
      <c r="CT311366">
        <v>96</v>
      </c>
      <c r="CU311366">
        <v>97</v>
      </c>
      <c r="CV311366">
        <v>98</v>
      </c>
      <c r="CW311366">
        <v>99</v>
      </c>
      <c r="CX311366">
        <v>100</v>
      </c>
      <c r="CY311366">
        <v>101</v>
      </c>
      <c r="CZ311366">
        <v>102</v>
      </c>
      <c r="DA311366">
        <v>103</v>
      </c>
      <c r="DB311366">
        <v>104</v>
      </c>
      <c r="DC311366">
        <v>105</v>
      </c>
      <c r="DD311366">
        <v>106</v>
      </c>
      <c r="DE311366">
        <v>107</v>
      </c>
      <c r="DF311366">
        <v>108</v>
      </c>
      <c r="DG311366">
        <v>109</v>
      </c>
      <c r="DH311366">
        <v>110</v>
      </c>
      <c r="DI311366">
        <v>111</v>
      </c>
      <c r="DJ311366">
        <v>112</v>
      </c>
      <c r="DK311366">
        <v>113</v>
      </c>
      <c r="DL311366">
        <v>114</v>
      </c>
      <c r="DM311366">
        <v>115</v>
      </c>
      <c r="DN311366">
        <v>116</v>
      </c>
      <c r="DO311366">
        <v>117</v>
      </c>
      <c r="DP311366">
        <v>118</v>
      </c>
      <c r="DQ311366">
        <v>119</v>
      </c>
      <c r="DR311366">
        <v>120</v>
      </c>
      <c r="DS311366">
        <v>121</v>
      </c>
      <c r="DT311366">
        <v>122</v>
      </c>
      <c r="DU311366">
        <v>123</v>
      </c>
      <c r="DV311366">
        <v>124</v>
      </c>
      <c r="DW311366">
        <v>125</v>
      </c>
      <c r="DX311366">
        <v>126</v>
      </c>
      <c r="DY311366">
        <v>127</v>
      </c>
      <c r="DZ311366">
        <v>128</v>
      </c>
      <c r="EA311366">
        <v>129</v>
      </c>
      <c r="EB311366">
        <v>130</v>
      </c>
      <c r="EC311366">
        <v>131</v>
      </c>
      <c r="ED311366">
        <v>132</v>
      </c>
      <c r="EE311366">
        <v>133</v>
      </c>
      <c r="EF311366">
        <v>134</v>
      </c>
      <c r="EG311366">
        <v>135</v>
      </c>
      <c r="EH311366">
        <v>136</v>
      </c>
      <c r="EI311366">
        <v>137</v>
      </c>
      <c r="EJ311366">
        <v>138</v>
      </c>
      <c r="EK311366">
        <v>139</v>
      </c>
      <c r="EL311366">
        <v>140</v>
      </c>
      <c r="EM311366">
        <v>141</v>
      </c>
      <c r="EN311366">
        <v>142</v>
      </c>
      <c r="EO311366">
        <v>143</v>
      </c>
      <c r="EP311366">
        <v>144</v>
      </c>
    </row>
    <row r="311367" spans="2:146">
      <c r="CE311367" t="s">
        <v>451</v>
      </c>
    </row>
    <row r="327682" spans="2:2">
      <c r="B327682">
        <v>200</v>
      </c>
    </row>
    <row r="327683" spans="2:2">
      <c r="B327683">
        <v>200</v>
      </c>
    </row>
    <row r="327684" spans="2:2">
      <c r="B327684">
        <v>800</v>
      </c>
    </row>
    <row r="327685" spans="2:2">
      <c r="B327685">
        <v>200</v>
      </c>
    </row>
    <row r="327686" spans="2:2">
      <c r="B327686">
        <v>1044</v>
      </c>
    </row>
    <row r="327687" spans="2:2">
      <c r="B327687">
        <v>998.40000000000009</v>
      </c>
    </row>
    <row r="327688" spans="2:2">
      <c r="B327688">
        <v>272</v>
      </c>
    </row>
    <row r="327689" spans="2:2">
      <c r="B327689">
        <v>200</v>
      </c>
    </row>
    <row r="327690" spans="2:2">
      <c r="B327690">
        <v>214</v>
      </c>
    </row>
    <row r="327691" spans="2:2">
      <c r="B327691">
        <v>200</v>
      </c>
    </row>
    <row r="327692" spans="2:2">
      <c r="B327692">
        <v>152</v>
      </c>
    </row>
    <row r="327693" spans="2:2">
      <c r="B327693">
        <v>200</v>
      </c>
    </row>
    <row r="327694" spans="2:2">
      <c r="B327694">
        <v>300</v>
      </c>
    </row>
    <row r="327695" spans="2:2">
      <c r="B327695">
        <v>104</v>
      </c>
    </row>
    <row r="327696" spans="2:2">
      <c r="B327696">
        <v>162</v>
      </c>
    </row>
    <row r="327697" spans="2:2">
      <c r="B327697">
        <v>200</v>
      </c>
    </row>
    <row r="327698" spans="2:2">
      <c r="B327698">
        <v>200</v>
      </c>
    </row>
    <row r="327699" spans="2:2">
      <c r="B327699">
        <v>200</v>
      </c>
    </row>
    <row r="327700" spans="2:2">
      <c r="B327700">
        <v>200</v>
      </c>
    </row>
    <row r="327701" spans="2:2">
      <c r="B327701">
        <v>200</v>
      </c>
    </row>
    <row r="327702" spans="2:2">
      <c r="B327702">
        <v>200</v>
      </c>
    </row>
    <row r="327703" spans="2:2">
      <c r="B327703">
        <v>200</v>
      </c>
    </row>
    <row r="327704" spans="2:2">
      <c r="B327704">
        <v>200</v>
      </c>
    </row>
    <row r="327705" spans="2:2">
      <c r="B327705">
        <v>800</v>
      </c>
    </row>
    <row r="327706" spans="2:2">
      <c r="B327706">
        <v>300</v>
      </c>
    </row>
    <row r="327707" spans="2:2">
      <c r="B327707">
        <v>778</v>
      </c>
    </row>
    <row r="327708" spans="2:2">
      <c r="B327708">
        <v>614</v>
      </c>
    </row>
    <row r="327709" spans="2:2">
      <c r="B327709">
        <v>444</v>
      </c>
    </row>
    <row r="327710" spans="2:2">
      <c r="B327710">
        <v>800</v>
      </c>
    </row>
    <row r="327711" spans="2:2">
      <c r="B327711">
        <v>200</v>
      </c>
    </row>
    <row r="327712" spans="2:2">
      <c r="B327712">
        <v>780</v>
      </c>
    </row>
    <row r="327713" spans="2:146">
      <c r="B327713">
        <v>174</v>
      </c>
    </row>
    <row r="327714" spans="2:146">
      <c r="B327714">
        <v>194</v>
      </c>
    </row>
    <row r="327715" spans="2:146">
      <c r="B327715">
        <v>782</v>
      </c>
    </row>
    <row r="327716" spans="2:146">
      <c r="B327716">
        <v>236</v>
      </c>
    </row>
    <row r="327717" spans="2:146">
      <c r="B327717">
        <v>144</v>
      </c>
    </row>
    <row r="327718" spans="2:146">
      <c r="B327718">
        <v>200</v>
      </c>
    </row>
    <row r="327719" spans="2:146">
      <c r="B327719">
        <v>240</v>
      </c>
    </row>
    <row r="327720" spans="2:146">
      <c r="B327720">
        <v>200</v>
      </c>
    </row>
    <row r="327721" spans="2:146">
      <c r="B327721">
        <v>612</v>
      </c>
    </row>
    <row r="327722" spans="2:146">
      <c r="B327722">
        <v>156</v>
      </c>
    </row>
    <row r="327723" spans="2:146">
      <c r="B327723">
        <v>116</v>
      </c>
    </row>
    <row r="327724" spans="2:146">
      <c r="B327724">
        <v>160</v>
      </c>
    </row>
    <row r="327725" spans="2:146">
      <c r="B327725">
        <v>80</v>
      </c>
      <c r="EL327725">
        <v>0.66</v>
      </c>
      <c r="EM327725">
        <v>0.66</v>
      </c>
      <c r="EN327725">
        <v>0.66</v>
      </c>
      <c r="EO327725">
        <v>0.66</v>
      </c>
      <c r="EP327725">
        <v>0.66</v>
      </c>
    </row>
    <row r="327726" spans="2:146">
      <c r="B327726">
        <v>1144</v>
      </c>
      <c r="BV327726">
        <v>5.0999999999999996</v>
      </c>
      <c r="BW327726">
        <v>5.0999999999999996</v>
      </c>
      <c r="DB327726">
        <v>10.210000000000001</v>
      </c>
      <c r="DC327726">
        <v>10.210000000000001</v>
      </c>
      <c r="DD327726">
        <v>10.210000000000001</v>
      </c>
      <c r="DE327726">
        <v>10.210000000000001</v>
      </c>
      <c r="DF327726">
        <v>10.210000000000001</v>
      </c>
      <c r="DG327726">
        <v>10.210000000000001</v>
      </c>
      <c r="DH327726">
        <v>10.210000000000001</v>
      </c>
    </row>
    <row r="327727" spans="2:146">
      <c r="B327727">
        <v>1240</v>
      </c>
      <c r="EE327727">
        <v>8.15</v>
      </c>
      <c r="EF327727">
        <v>8.15</v>
      </c>
      <c r="EG327727">
        <v>8.15</v>
      </c>
      <c r="EH327727">
        <v>8.15</v>
      </c>
      <c r="EI327727">
        <v>8.15</v>
      </c>
      <c r="EJ327727">
        <v>8.15</v>
      </c>
      <c r="EK327727">
        <v>8.15</v>
      </c>
    </row>
    <row r="327728" spans="2:146">
      <c r="B327728">
        <v>2083.2000000000003</v>
      </c>
      <c r="DI327728">
        <v>20.03</v>
      </c>
      <c r="DJ327728">
        <v>20.03</v>
      </c>
      <c r="DQ327728">
        <v>20.03</v>
      </c>
      <c r="DT327728">
        <v>20.03</v>
      </c>
      <c r="DW327728">
        <v>20.03</v>
      </c>
    </row>
    <row r="327729" spans="2:134">
      <c r="B327729">
        <v>357.20000000000005</v>
      </c>
      <c r="DI327729">
        <v>3.88</v>
      </c>
      <c r="DJ327729">
        <v>3.88</v>
      </c>
      <c r="DV327729">
        <v>3.88</v>
      </c>
      <c r="DW327729">
        <v>3.88</v>
      </c>
    </row>
    <row r="327730" spans="2:134">
      <c r="B327730">
        <v>391.20000000000005</v>
      </c>
      <c r="DI327730">
        <v>3.62</v>
      </c>
      <c r="DJ327730">
        <v>3.62</v>
      </c>
      <c r="DR327730">
        <v>3.62</v>
      </c>
      <c r="DU327730">
        <v>3.62</v>
      </c>
      <c r="DV327730">
        <v>3.62</v>
      </c>
    </row>
    <row r="327731" spans="2:134">
      <c r="B327731">
        <v>762.80000000000007</v>
      </c>
      <c r="DI327731">
        <v>6.15</v>
      </c>
      <c r="DJ327731">
        <v>6.15</v>
      </c>
      <c r="DQ327731">
        <v>6.15</v>
      </c>
      <c r="DR327731">
        <v>6.15</v>
      </c>
      <c r="DS327731">
        <v>6.15</v>
      </c>
      <c r="DT327731">
        <v>6.15</v>
      </c>
    </row>
    <row r="327732" spans="2:134">
      <c r="B327732">
        <v>1280</v>
      </c>
      <c r="DI327732">
        <v>10.66</v>
      </c>
      <c r="DJ327732">
        <v>10.66</v>
      </c>
      <c r="DK327732">
        <v>10.66</v>
      </c>
      <c r="DL327732">
        <v>10.66</v>
      </c>
      <c r="DM327732">
        <v>10.66</v>
      </c>
      <c r="DN327732">
        <v>10.66</v>
      </c>
    </row>
    <row r="327733" spans="2:134">
      <c r="B327733">
        <v>234</v>
      </c>
      <c r="CT327733">
        <v>2.5</v>
      </c>
      <c r="CU327733">
        <v>2.5</v>
      </c>
      <c r="CV327733">
        <v>2.5</v>
      </c>
    </row>
    <row r="327734" spans="2:134">
      <c r="B327734">
        <v>354</v>
      </c>
      <c r="CY327734">
        <v>3.98</v>
      </c>
      <c r="CZ327734">
        <v>3.98</v>
      </c>
      <c r="DA327734">
        <v>3.98</v>
      </c>
    </row>
    <row r="327735" spans="2:134">
      <c r="B327735">
        <v>392</v>
      </c>
      <c r="DI327735">
        <v>3.52</v>
      </c>
      <c r="DJ327735">
        <v>3.52</v>
      </c>
      <c r="DL327735">
        <v>3.52</v>
      </c>
      <c r="DO327735">
        <v>3.52</v>
      </c>
    </row>
    <row r="327736" spans="2:134">
      <c r="B327736">
        <v>304</v>
      </c>
      <c r="CE327736">
        <v>3.8</v>
      </c>
      <c r="CF327736">
        <v>3.8</v>
      </c>
    </row>
    <row r="327737" spans="2:134">
      <c r="B327737">
        <v>144</v>
      </c>
      <c r="DZ327737">
        <v>1.62</v>
      </c>
      <c r="EA327737">
        <v>1.62</v>
      </c>
      <c r="EB327737">
        <v>1.62</v>
      </c>
      <c r="EC327737">
        <v>0.81</v>
      </c>
      <c r="ED327737">
        <v>0.81</v>
      </c>
    </row>
    <row r="327738" spans="2:134">
      <c r="B327738">
        <v>602.40000000000009</v>
      </c>
      <c r="BY327738">
        <v>6.02</v>
      </c>
      <c r="BZ327738">
        <v>6.02</v>
      </c>
      <c r="CB327738">
        <v>3.01</v>
      </c>
      <c r="CC327738">
        <v>3.01</v>
      </c>
      <c r="CD327738">
        <v>3.01</v>
      </c>
      <c r="CI327738">
        <v>6.02</v>
      </c>
      <c r="CJ327738">
        <v>6.02</v>
      </c>
      <c r="CK327738">
        <v>6.02</v>
      </c>
    </row>
    <row r="327739" spans="2:134">
      <c r="B327739">
        <v>307.60000000000002</v>
      </c>
      <c r="BY327739">
        <v>3.34</v>
      </c>
      <c r="BZ327739">
        <v>3.34</v>
      </c>
      <c r="CG327739">
        <v>3.34</v>
      </c>
      <c r="CH327739">
        <v>3.34</v>
      </c>
    </row>
    <row r="327740" spans="2:134">
      <c r="B327740">
        <v>358</v>
      </c>
      <c r="BY327740">
        <v>2.37</v>
      </c>
      <c r="BZ327740">
        <v>2.37</v>
      </c>
      <c r="CA327740">
        <v>2.37</v>
      </c>
      <c r="DX327740">
        <v>4.74</v>
      </c>
      <c r="DY327740">
        <v>4.74</v>
      </c>
    </row>
    <row r="327741" spans="2:134">
      <c r="B327741">
        <v>286</v>
      </c>
      <c r="BT327741">
        <v>1.43</v>
      </c>
      <c r="BV327741">
        <v>1.43</v>
      </c>
      <c r="BW327741">
        <v>1.43</v>
      </c>
      <c r="BX327741">
        <v>1.43</v>
      </c>
      <c r="CO327741">
        <v>2.86</v>
      </c>
      <c r="CP327741">
        <v>2.86</v>
      </c>
      <c r="CQ327741">
        <v>2.86</v>
      </c>
      <c r="CR327741">
        <v>2.86</v>
      </c>
      <c r="CS327741">
        <v>2.86</v>
      </c>
    </row>
    <row r="327742" spans="2:134">
      <c r="B327742">
        <v>410</v>
      </c>
      <c r="BY327742">
        <v>2.88</v>
      </c>
      <c r="BZ327742">
        <v>2.88</v>
      </c>
      <c r="CA327742">
        <v>2.88</v>
      </c>
      <c r="CW327742">
        <v>5.76</v>
      </c>
      <c r="CX327742">
        <v>5.76</v>
      </c>
    </row>
    <row r="327743" spans="2:134">
      <c r="B327743">
        <v>346</v>
      </c>
      <c r="BR327743">
        <v>3.6</v>
      </c>
      <c r="BS327743">
        <v>3.6</v>
      </c>
      <c r="BT327743">
        <v>1.8</v>
      </c>
      <c r="CL327743">
        <v>3.6</v>
      </c>
      <c r="CM327743">
        <v>3.6</v>
      </c>
      <c r="CN327743">
        <v>3.6</v>
      </c>
    </row>
    <row r="327744" spans="2:134">
      <c r="B327744">
        <v>302</v>
      </c>
      <c r="BR327744">
        <v>3.28</v>
      </c>
      <c r="BS327744">
        <v>3.28</v>
      </c>
      <c r="BT327744">
        <v>1.64</v>
      </c>
      <c r="BU327744">
        <v>1.64</v>
      </c>
      <c r="CL327744">
        <v>3.28</v>
      </c>
      <c r="CM327744">
        <v>3.28</v>
      </c>
      <c r="CN327744">
        <v>3.28</v>
      </c>
    </row>
    <row r="327745" spans="2:146">
      <c r="B327745">
        <v>204</v>
      </c>
      <c r="BR327745">
        <v>2.12</v>
      </c>
      <c r="BS327745">
        <v>2.12</v>
      </c>
      <c r="BT327745">
        <v>1.06</v>
      </c>
      <c r="CL327745">
        <v>2.12</v>
      </c>
      <c r="CM327745">
        <v>2.12</v>
      </c>
      <c r="CN327745">
        <v>2.12</v>
      </c>
    </row>
    <row r="327747" spans="2:146">
      <c r="B327747">
        <v>26358.800000000003</v>
      </c>
      <c r="BQ327747">
        <v>0</v>
      </c>
      <c r="BR327747">
        <v>9</v>
      </c>
      <c r="BS327747">
        <v>9</v>
      </c>
      <c r="BT327747">
        <v>5.93</v>
      </c>
      <c r="BU327747">
        <v>1.64</v>
      </c>
      <c r="BV327747">
        <v>6.5299999999999994</v>
      </c>
      <c r="BW327747">
        <v>6.5299999999999994</v>
      </c>
      <c r="BX327747">
        <v>1.43</v>
      </c>
      <c r="BY327747">
        <v>14.61</v>
      </c>
      <c r="BZ327747">
        <v>14.61</v>
      </c>
      <c r="CA327747">
        <v>5.25</v>
      </c>
      <c r="CB327747">
        <v>3.01</v>
      </c>
      <c r="CC327747">
        <v>3.01</v>
      </c>
      <c r="CD327747">
        <v>3.01</v>
      </c>
      <c r="CE327747">
        <v>3.8</v>
      </c>
      <c r="CF327747">
        <v>3.8</v>
      </c>
      <c r="CG327747">
        <v>3.34</v>
      </c>
      <c r="CH327747">
        <v>3.34</v>
      </c>
      <c r="CI327747">
        <v>6.02</v>
      </c>
      <c r="CJ327747">
        <v>6.02</v>
      </c>
      <c r="CK327747">
        <v>6.02</v>
      </c>
      <c r="CL327747">
        <v>9</v>
      </c>
      <c r="CM327747">
        <v>9</v>
      </c>
      <c r="CN327747">
        <v>9</v>
      </c>
      <c r="CO327747">
        <v>2.86</v>
      </c>
      <c r="CP327747">
        <v>2.86</v>
      </c>
      <c r="CQ327747">
        <v>2.86</v>
      </c>
      <c r="CR327747">
        <v>2.86</v>
      </c>
      <c r="CS327747">
        <v>2.86</v>
      </c>
      <c r="CT327747">
        <v>2.5</v>
      </c>
      <c r="CU327747">
        <v>2.5</v>
      </c>
      <c r="CV327747">
        <v>2.5</v>
      </c>
      <c r="CW327747">
        <v>5.76</v>
      </c>
      <c r="CX327747">
        <v>5.76</v>
      </c>
      <c r="CY327747">
        <v>3.98</v>
      </c>
      <c r="CZ327747">
        <v>3.98</v>
      </c>
      <c r="DA327747">
        <v>3.98</v>
      </c>
      <c r="DB327747">
        <v>10.210000000000001</v>
      </c>
      <c r="DC327747">
        <v>10.210000000000001</v>
      </c>
      <c r="DD327747">
        <v>10.210000000000001</v>
      </c>
      <c r="DE327747">
        <v>10.210000000000001</v>
      </c>
      <c r="DF327747">
        <v>10.210000000000001</v>
      </c>
      <c r="DG327747">
        <v>10.210000000000001</v>
      </c>
      <c r="DH327747">
        <v>10.210000000000001</v>
      </c>
      <c r="DI327747">
        <v>47.860000000000007</v>
      </c>
      <c r="DJ327747">
        <v>47.860000000000007</v>
      </c>
      <c r="DK327747">
        <v>10.66</v>
      </c>
      <c r="DL327747">
        <v>14.18</v>
      </c>
      <c r="DM327747">
        <v>10.66</v>
      </c>
      <c r="DN327747">
        <v>10.66</v>
      </c>
      <c r="DO327747">
        <v>3.52</v>
      </c>
      <c r="DP327747">
        <v>0</v>
      </c>
      <c r="DQ327747">
        <v>26.18</v>
      </c>
      <c r="DR327747">
        <v>9.77</v>
      </c>
      <c r="DS327747">
        <v>6.15</v>
      </c>
      <c r="DT327747">
        <v>26.18</v>
      </c>
      <c r="DU327747">
        <v>3.62</v>
      </c>
      <c r="DV327747">
        <v>7.5</v>
      </c>
      <c r="DW327747">
        <v>23.91</v>
      </c>
      <c r="DX327747">
        <v>4.74</v>
      </c>
      <c r="DY327747">
        <v>4.74</v>
      </c>
      <c r="DZ327747">
        <v>1.62</v>
      </c>
      <c r="EA327747">
        <v>1.62</v>
      </c>
      <c r="EB327747">
        <v>1.62</v>
      </c>
      <c r="EC327747">
        <v>0.81</v>
      </c>
      <c r="ED327747">
        <v>0.81</v>
      </c>
      <c r="EE327747">
        <v>8.15</v>
      </c>
      <c r="EF327747">
        <v>8.15</v>
      </c>
      <c r="EG327747">
        <v>8.15</v>
      </c>
      <c r="EH327747">
        <v>8.15</v>
      </c>
      <c r="EI327747">
        <v>8.15</v>
      </c>
      <c r="EJ327747">
        <v>8.15</v>
      </c>
      <c r="EK327747">
        <v>8.15</v>
      </c>
      <c r="EL327747">
        <v>0.66</v>
      </c>
      <c r="EM327747">
        <v>0.66</v>
      </c>
      <c r="EN327747">
        <v>0.66</v>
      </c>
      <c r="EO327747">
        <v>0.66</v>
      </c>
      <c r="EP327747">
        <v>0.66</v>
      </c>
    </row>
    <row r="327748" spans="2:146">
      <c r="B327748" t="s">
        <v>265</v>
      </c>
      <c r="BQ327748" t="s">
        <v>345</v>
      </c>
      <c r="BR327748" t="s">
        <v>131</v>
      </c>
      <c r="BS327748" t="s">
        <v>131</v>
      </c>
      <c r="BT327748" t="s">
        <v>357</v>
      </c>
      <c r="BU327748" t="s">
        <v>131</v>
      </c>
      <c r="BV327748" t="s">
        <v>360</v>
      </c>
      <c r="BW327748" t="s">
        <v>360</v>
      </c>
      <c r="BX327748" t="s">
        <v>360</v>
      </c>
      <c r="BY327748" t="s">
        <v>364</v>
      </c>
      <c r="BZ327748" t="s">
        <v>364</v>
      </c>
      <c r="CA327748" t="s">
        <v>364</v>
      </c>
      <c r="CB327748" t="s">
        <v>368</v>
      </c>
      <c r="CC327748" t="s">
        <v>368</v>
      </c>
      <c r="CD327748" t="s">
        <v>368</v>
      </c>
      <c r="CE327748" t="s">
        <v>352</v>
      </c>
      <c r="CF327748" t="s">
        <v>352</v>
      </c>
      <c r="CG327748" t="s">
        <v>372</v>
      </c>
      <c r="CH327748" t="s">
        <v>372</v>
      </c>
      <c r="CI327748" t="s">
        <v>375</v>
      </c>
      <c r="CJ327748" t="s">
        <v>375</v>
      </c>
      <c r="CK327748" t="s">
        <v>375</v>
      </c>
      <c r="CL327748" t="s">
        <v>379</v>
      </c>
      <c r="CM327748" t="s">
        <v>379</v>
      </c>
      <c r="CN327748" t="s">
        <v>379</v>
      </c>
      <c r="CO327748" t="s">
        <v>383</v>
      </c>
      <c r="CP327748" t="s">
        <v>383</v>
      </c>
      <c r="CQ327748" t="s">
        <v>383</v>
      </c>
      <c r="CR327748" t="s">
        <v>383</v>
      </c>
      <c r="CS327748" t="s">
        <v>383</v>
      </c>
      <c r="CT327748" t="s">
        <v>389</v>
      </c>
      <c r="CU327748" t="s">
        <v>389</v>
      </c>
      <c r="CV327748" t="s">
        <v>389</v>
      </c>
      <c r="CW327748" t="s">
        <v>393</v>
      </c>
      <c r="CX327748" t="s">
        <v>393</v>
      </c>
      <c r="CY327748" t="s">
        <v>396</v>
      </c>
      <c r="CZ327748" t="s">
        <v>396</v>
      </c>
      <c r="DA327748" t="s">
        <v>396</v>
      </c>
      <c r="DB327748" t="s">
        <v>400</v>
      </c>
      <c r="DC327748" t="s">
        <v>400</v>
      </c>
      <c r="DD327748" t="s">
        <v>400</v>
      </c>
      <c r="DE327748" t="s">
        <v>400</v>
      </c>
      <c r="DF327748" t="s">
        <v>400</v>
      </c>
      <c r="DG327748" t="s">
        <v>400</v>
      </c>
      <c r="DH327748" t="s">
        <v>400</v>
      </c>
      <c r="DI327748" t="s">
        <v>121</v>
      </c>
      <c r="DJ327748" t="s">
        <v>121</v>
      </c>
      <c r="DK327748" t="s">
        <v>121</v>
      </c>
      <c r="DL327748" t="s">
        <v>121</v>
      </c>
      <c r="DM327748" t="s">
        <v>121</v>
      </c>
      <c r="DN327748" t="s">
        <v>121</v>
      </c>
      <c r="DO327748" t="s">
        <v>121</v>
      </c>
      <c r="DP327748" t="s">
        <v>121</v>
      </c>
      <c r="DQ327748" t="s">
        <v>121</v>
      </c>
      <c r="DR327748" t="s">
        <v>121</v>
      </c>
      <c r="DS327748" t="s">
        <v>121</v>
      </c>
      <c r="DT327748" t="s">
        <v>121</v>
      </c>
      <c r="DU327748" t="s">
        <v>121</v>
      </c>
      <c r="DV327748" t="s">
        <v>121</v>
      </c>
      <c r="DW327748" t="s">
        <v>121</v>
      </c>
      <c r="DX327748" t="s">
        <v>423</v>
      </c>
      <c r="DY327748" t="s">
        <v>423</v>
      </c>
      <c r="DZ327748" t="s">
        <v>426</v>
      </c>
      <c r="EA327748" t="s">
        <v>426</v>
      </c>
      <c r="EB327748" t="s">
        <v>426</v>
      </c>
      <c r="EC327748" t="s">
        <v>426</v>
      </c>
      <c r="ED327748" t="s">
        <v>426</v>
      </c>
      <c r="EE327748" t="s">
        <v>432</v>
      </c>
      <c r="EF327748" t="s">
        <v>432</v>
      </c>
      <c r="EG327748" t="s">
        <v>432</v>
      </c>
      <c r="EH327748" t="s">
        <v>432</v>
      </c>
      <c r="EI327748" t="s">
        <v>432</v>
      </c>
      <c r="EJ327748" t="s">
        <v>432</v>
      </c>
      <c r="EK327748" t="s">
        <v>432</v>
      </c>
      <c r="EL327748" t="s">
        <v>440</v>
      </c>
      <c r="EM327748" t="s">
        <v>440</v>
      </c>
      <c r="EN327748" t="s">
        <v>440</v>
      </c>
      <c r="EO327748" t="s">
        <v>440</v>
      </c>
      <c r="EP327748" t="s">
        <v>440</v>
      </c>
    </row>
    <row r="327749" spans="2:146">
      <c r="BQ327749" t="s">
        <v>351</v>
      </c>
      <c r="BR327749" t="s">
        <v>355</v>
      </c>
      <c r="BS327749" t="s">
        <v>356</v>
      </c>
      <c r="BT327749" t="s">
        <v>358</v>
      </c>
      <c r="BU327749" t="s">
        <v>359</v>
      </c>
      <c r="BV327749" t="s">
        <v>361</v>
      </c>
      <c r="BW327749" t="s">
        <v>362</v>
      </c>
      <c r="BX327749" t="s">
        <v>363</v>
      </c>
      <c r="BY327749" t="s">
        <v>365</v>
      </c>
      <c r="BZ327749" t="s">
        <v>366</v>
      </c>
      <c r="CA327749" t="s">
        <v>367</v>
      </c>
      <c r="CB327749" t="s">
        <v>369</v>
      </c>
      <c r="CC327749" t="s">
        <v>370</v>
      </c>
      <c r="CD327749" t="s">
        <v>371</v>
      </c>
      <c r="CE327749" t="s">
        <v>353</v>
      </c>
      <c r="CF327749" t="s">
        <v>354</v>
      </c>
      <c r="CG327749" t="s">
        <v>373</v>
      </c>
      <c r="CH327749" t="s">
        <v>374</v>
      </c>
      <c r="CI327749" t="s">
        <v>376</v>
      </c>
      <c r="CJ327749" t="s">
        <v>377</v>
      </c>
      <c r="CK327749" t="s">
        <v>378</v>
      </c>
      <c r="CL327749" t="s">
        <v>380</v>
      </c>
      <c r="CM327749" t="s">
        <v>381</v>
      </c>
      <c r="CN327749" t="s">
        <v>382</v>
      </c>
      <c r="CO327749" t="s">
        <v>384</v>
      </c>
      <c r="CP327749" t="s">
        <v>385</v>
      </c>
      <c r="CQ327749" t="s">
        <v>386</v>
      </c>
      <c r="CR327749" t="s">
        <v>387</v>
      </c>
      <c r="CS327749" t="s">
        <v>388</v>
      </c>
      <c r="CT327749" t="s">
        <v>390</v>
      </c>
      <c r="CU327749" t="s">
        <v>391</v>
      </c>
      <c r="CV327749" t="s">
        <v>392</v>
      </c>
      <c r="CW327749" t="s">
        <v>394</v>
      </c>
      <c r="CX327749" t="s">
        <v>395</v>
      </c>
      <c r="CY327749" t="s">
        <v>397</v>
      </c>
      <c r="CZ327749" t="s">
        <v>398</v>
      </c>
      <c r="DA327749" t="s">
        <v>399</v>
      </c>
      <c r="DB327749" t="s">
        <v>401</v>
      </c>
      <c r="DC327749" t="s">
        <v>402</v>
      </c>
      <c r="DD327749" t="s">
        <v>403</v>
      </c>
      <c r="DE327749" t="s">
        <v>404</v>
      </c>
      <c r="DF327749" t="s">
        <v>405</v>
      </c>
      <c r="DG327749" t="s">
        <v>406</v>
      </c>
      <c r="DH327749" t="s">
        <v>407</v>
      </c>
      <c r="DI327749" t="s">
        <v>408</v>
      </c>
      <c r="DJ327749" t="s">
        <v>409</v>
      </c>
      <c r="DK327749" t="s">
        <v>410</v>
      </c>
      <c r="DL327749" t="s">
        <v>411</v>
      </c>
      <c r="DM327749" t="s">
        <v>412</v>
      </c>
      <c r="DN327749" t="s">
        <v>413</v>
      </c>
      <c r="DO327749" t="s">
        <v>414</v>
      </c>
      <c r="DP327749" t="s">
        <v>415</v>
      </c>
      <c r="DQ327749" t="s">
        <v>416</v>
      </c>
      <c r="DR327749" t="s">
        <v>417</v>
      </c>
      <c r="DS327749" t="s">
        <v>418</v>
      </c>
      <c r="DT327749" t="s">
        <v>419</v>
      </c>
      <c r="DU327749" t="s">
        <v>420</v>
      </c>
      <c r="DV327749" t="s">
        <v>421</v>
      </c>
      <c r="DW327749" t="s">
        <v>422</v>
      </c>
      <c r="DX327749" t="s">
        <v>424</v>
      </c>
      <c r="DY327749" t="s">
        <v>425</v>
      </c>
      <c r="DZ327749" t="s">
        <v>427</v>
      </c>
      <c r="EA327749" t="s">
        <v>428</v>
      </c>
      <c r="EB327749" t="s">
        <v>429</v>
      </c>
      <c r="EC327749" t="s">
        <v>430</v>
      </c>
      <c r="ED327749" t="s">
        <v>431</v>
      </c>
      <c r="EE327749" t="s">
        <v>433</v>
      </c>
      <c r="EF327749" t="s">
        <v>434</v>
      </c>
      <c r="EG327749" t="s">
        <v>435</v>
      </c>
      <c r="EH327749" t="s">
        <v>436</v>
      </c>
      <c r="EI327749" t="s">
        <v>437</v>
      </c>
      <c r="EJ327749" t="s">
        <v>438</v>
      </c>
      <c r="EK327749" t="s">
        <v>439</v>
      </c>
      <c r="EL327749" t="s">
        <v>441</v>
      </c>
      <c r="EM327749" t="s">
        <v>442</v>
      </c>
      <c r="EN327749" t="s">
        <v>443</v>
      </c>
      <c r="EO327749" t="s">
        <v>444</v>
      </c>
      <c r="EP327749" t="s">
        <v>445</v>
      </c>
    </row>
    <row r="327750" spans="2:146">
      <c r="BQ327750">
        <v>67</v>
      </c>
      <c r="BR327750">
        <v>68</v>
      </c>
      <c r="BS327750">
        <v>69</v>
      </c>
      <c r="BT327750">
        <v>70</v>
      </c>
      <c r="BU327750">
        <v>71</v>
      </c>
      <c r="BV327750">
        <v>72</v>
      </c>
      <c r="BW327750">
        <v>73</v>
      </c>
      <c r="BX327750">
        <v>74</v>
      </c>
      <c r="BY327750">
        <v>75</v>
      </c>
      <c r="BZ327750">
        <v>76</v>
      </c>
      <c r="CA327750">
        <v>77</v>
      </c>
      <c r="CB327750">
        <v>78</v>
      </c>
      <c r="CC327750">
        <v>79</v>
      </c>
      <c r="CD327750">
        <v>80</v>
      </c>
      <c r="CE327750">
        <v>81</v>
      </c>
      <c r="CF327750">
        <v>82</v>
      </c>
      <c r="CG327750">
        <v>83</v>
      </c>
      <c r="CH327750">
        <v>84</v>
      </c>
      <c r="CI327750">
        <v>85</v>
      </c>
      <c r="CJ327750">
        <v>86</v>
      </c>
      <c r="CK327750">
        <v>87</v>
      </c>
      <c r="CL327750">
        <v>88</v>
      </c>
      <c r="CM327750">
        <v>89</v>
      </c>
      <c r="CN327750">
        <v>90</v>
      </c>
      <c r="CO327750">
        <v>91</v>
      </c>
      <c r="CP327750">
        <v>92</v>
      </c>
      <c r="CQ327750">
        <v>93</v>
      </c>
      <c r="CR327750">
        <v>94</v>
      </c>
      <c r="CS327750">
        <v>95</v>
      </c>
      <c r="CT327750">
        <v>96</v>
      </c>
      <c r="CU327750">
        <v>97</v>
      </c>
      <c r="CV327750">
        <v>98</v>
      </c>
      <c r="CW327750">
        <v>99</v>
      </c>
      <c r="CX327750">
        <v>100</v>
      </c>
      <c r="CY327750">
        <v>101</v>
      </c>
      <c r="CZ327750">
        <v>102</v>
      </c>
      <c r="DA327750">
        <v>103</v>
      </c>
      <c r="DB327750">
        <v>104</v>
      </c>
      <c r="DC327750">
        <v>105</v>
      </c>
      <c r="DD327750">
        <v>106</v>
      </c>
      <c r="DE327750">
        <v>107</v>
      </c>
      <c r="DF327750">
        <v>108</v>
      </c>
      <c r="DG327750">
        <v>109</v>
      </c>
      <c r="DH327750">
        <v>110</v>
      </c>
      <c r="DI327750">
        <v>111</v>
      </c>
      <c r="DJ327750">
        <v>112</v>
      </c>
      <c r="DK327750">
        <v>113</v>
      </c>
      <c r="DL327750">
        <v>114</v>
      </c>
      <c r="DM327750">
        <v>115</v>
      </c>
      <c r="DN327750">
        <v>116</v>
      </c>
      <c r="DO327750">
        <v>117</v>
      </c>
      <c r="DP327750">
        <v>118</v>
      </c>
      <c r="DQ327750">
        <v>119</v>
      </c>
      <c r="DR327750">
        <v>120</v>
      </c>
      <c r="DS327750">
        <v>121</v>
      </c>
      <c r="DT327750">
        <v>122</v>
      </c>
      <c r="DU327750">
        <v>123</v>
      </c>
      <c r="DV327750">
        <v>124</v>
      </c>
      <c r="DW327750">
        <v>125</v>
      </c>
      <c r="DX327750">
        <v>126</v>
      </c>
      <c r="DY327750">
        <v>127</v>
      </c>
      <c r="DZ327750">
        <v>128</v>
      </c>
      <c r="EA327750">
        <v>129</v>
      </c>
      <c r="EB327750">
        <v>130</v>
      </c>
      <c r="EC327750">
        <v>131</v>
      </c>
      <c r="ED327750">
        <v>132</v>
      </c>
      <c r="EE327750">
        <v>133</v>
      </c>
      <c r="EF327750">
        <v>134</v>
      </c>
      <c r="EG327750">
        <v>135</v>
      </c>
      <c r="EH327750">
        <v>136</v>
      </c>
      <c r="EI327750">
        <v>137</v>
      </c>
      <c r="EJ327750">
        <v>138</v>
      </c>
      <c r="EK327750">
        <v>139</v>
      </c>
      <c r="EL327750">
        <v>140</v>
      </c>
      <c r="EM327750">
        <v>141</v>
      </c>
      <c r="EN327750">
        <v>142</v>
      </c>
      <c r="EO327750">
        <v>143</v>
      </c>
      <c r="EP327750">
        <v>144</v>
      </c>
    </row>
    <row r="327751" spans="2:146">
      <c r="CE327751" t="s">
        <v>451</v>
      </c>
    </row>
    <row r="344066" spans="2:2">
      <c r="B344066">
        <v>200</v>
      </c>
    </row>
    <row r="344067" spans="2:2">
      <c r="B344067">
        <v>200</v>
      </c>
    </row>
    <row r="344068" spans="2:2">
      <c r="B344068">
        <v>800</v>
      </c>
    </row>
    <row r="344069" spans="2:2">
      <c r="B344069">
        <v>200</v>
      </c>
    </row>
    <row r="344070" spans="2:2">
      <c r="B344070">
        <v>1044</v>
      </c>
    </row>
    <row r="344071" spans="2:2">
      <c r="B344071">
        <v>998.40000000000009</v>
      </c>
    </row>
    <row r="344072" spans="2:2">
      <c r="B344072">
        <v>272</v>
      </c>
    </row>
    <row r="344073" spans="2:2">
      <c r="B344073">
        <v>200</v>
      </c>
    </row>
    <row r="344074" spans="2:2">
      <c r="B344074">
        <v>214</v>
      </c>
    </row>
    <row r="344075" spans="2:2">
      <c r="B344075">
        <v>200</v>
      </c>
    </row>
    <row r="344076" spans="2:2">
      <c r="B344076">
        <v>152</v>
      </c>
    </row>
    <row r="344077" spans="2:2">
      <c r="B344077">
        <v>200</v>
      </c>
    </row>
    <row r="344078" spans="2:2">
      <c r="B344078">
        <v>300</v>
      </c>
    </row>
    <row r="344079" spans="2:2">
      <c r="B344079">
        <v>104</v>
      </c>
    </row>
    <row r="344080" spans="2:2">
      <c r="B344080">
        <v>162</v>
      </c>
    </row>
    <row r="344081" spans="2:2">
      <c r="B344081">
        <v>200</v>
      </c>
    </row>
    <row r="344082" spans="2:2">
      <c r="B344082">
        <v>200</v>
      </c>
    </row>
    <row r="344083" spans="2:2">
      <c r="B344083">
        <v>200</v>
      </c>
    </row>
    <row r="344084" spans="2:2">
      <c r="B344084">
        <v>200</v>
      </c>
    </row>
    <row r="344085" spans="2:2">
      <c r="B344085">
        <v>200</v>
      </c>
    </row>
    <row r="344086" spans="2:2">
      <c r="B344086">
        <v>200</v>
      </c>
    </row>
    <row r="344087" spans="2:2">
      <c r="B344087">
        <v>200</v>
      </c>
    </row>
    <row r="344088" spans="2:2">
      <c r="B344088">
        <v>200</v>
      </c>
    </row>
    <row r="344089" spans="2:2">
      <c r="B344089">
        <v>800</v>
      </c>
    </row>
    <row r="344090" spans="2:2">
      <c r="B344090">
        <v>300</v>
      </c>
    </row>
    <row r="344091" spans="2:2">
      <c r="B344091">
        <v>778</v>
      </c>
    </row>
    <row r="344092" spans="2:2">
      <c r="B344092">
        <v>614</v>
      </c>
    </row>
    <row r="344093" spans="2:2">
      <c r="B344093">
        <v>444</v>
      </c>
    </row>
    <row r="344094" spans="2:2">
      <c r="B344094">
        <v>800</v>
      </c>
    </row>
    <row r="344095" spans="2:2">
      <c r="B344095">
        <v>200</v>
      </c>
    </row>
    <row r="344096" spans="2:2">
      <c r="B344096">
        <v>780</v>
      </c>
    </row>
    <row r="344097" spans="2:146">
      <c r="B344097">
        <v>174</v>
      </c>
    </row>
    <row r="344098" spans="2:146">
      <c r="B344098">
        <v>194</v>
      </c>
    </row>
    <row r="344099" spans="2:146">
      <c r="B344099">
        <v>782</v>
      </c>
    </row>
    <row r="344100" spans="2:146">
      <c r="B344100">
        <v>236</v>
      </c>
    </row>
    <row r="344101" spans="2:146">
      <c r="B344101">
        <v>144</v>
      </c>
    </row>
    <row r="344102" spans="2:146">
      <c r="B344102">
        <v>200</v>
      </c>
    </row>
    <row r="344103" spans="2:146">
      <c r="B344103">
        <v>240</v>
      </c>
    </row>
    <row r="344104" spans="2:146">
      <c r="B344104">
        <v>200</v>
      </c>
    </row>
    <row r="344105" spans="2:146">
      <c r="B344105">
        <v>612</v>
      </c>
    </row>
    <row r="344106" spans="2:146">
      <c r="B344106">
        <v>156</v>
      </c>
    </row>
    <row r="344107" spans="2:146">
      <c r="B344107">
        <v>116</v>
      </c>
    </row>
    <row r="344108" spans="2:146">
      <c r="B344108">
        <v>160</v>
      </c>
    </row>
    <row r="344109" spans="2:146">
      <c r="B344109">
        <v>80</v>
      </c>
      <c r="EL344109">
        <v>0.66</v>
      </c>
      <c r="EM344109">
        <v>0.66</v>
      </c>
      <c r="EN344109">
        <v>0.66</v>
      </c>
      <c r="EO344109">
        <v>0.66</v>
      </c>
      <c r="EP344109">
        <v>0.66</v>
      </c>
    </row>
    <row r="344110" spans="2:146">
      <c r="B344110">
        <v>1144</v>
      </c>
      <c r="BV344110">
        <v>5.0999999999999996</v>
      </c>
      <c r="BW344110">
        <v>5.0999999999999996</v>
      </c>
      <c r="DB344110">
        <v>10.210000000000001</v>
      </c>
      <c r="DC344110">
        <v>10.210000000000001</v>
      </c>
      <c r="DD344110">
        <v>10.210000000000001</v>
      </c>
      <c r="DE344110">
        <v>10.210000000000001</v>
      </c>
      <c r="DF344110">
        <v>10.210000000000001</v>
      </c>
      <c r="DG344110">
        <v>10.210000000000001</v>
      </c>
      <c r="DH344110">
        <v>10.210000000000001</v>
      </c>
    </row>
    <row r="344111" spans="2:146">
      <c r="B344111">
        <v>1240</v>
      </c>
      <c r="EE344111">
        <v>8.15</v>
      </c>
      <c r="EF344111">
        <v>8.15</v>
      </c>
      <c r="EG344111">
        <v>8.15</v>
      </c>
      <c r="EH344111">
        <v>8.15</v>
      </c>
      <c r="EI344111">
        <v>8.15</v>
      </c>
      <c r="EJ344111">
        <v>8.15</v>
      </c>
      <c r="EK344111">
        <v>8.15</v>
      </c>
    </row>
    <row r="344112" spans="2:146">
      <c r="B344112">
        <v>2083.2000000000003</v>
      </c>
      <c r="DI344112">
        <v>20.03</v>
      </c>
      <c r="DJ344112">
        <v>20.03</v>
      </c>
      <c r="DQ344112">
        <v>20.03</v>
      </c>
      <c r="DT344112">
        <v>20.03</v>
      </c>
      <c r="DW344112">
        <v>20.03</v>
      </c>
    </row>
    <row r="344113" spans="2:134">
      <c r="B344113">
        <v>357.20000000000005</v>
      </c>
      <c r="DI344113">
        <v>3.88</v>
      </c>
      <c r="DJ344113">
        <v>3.88</v>
      </c>
      <c r="DV344113">
        <v>3.88</v>
      </c>
      <c r="DW344113">
        <v>3.88</v>
      </c>
    </row>
    <row r="344114" spans="2:134">
      <c r="B344114">
        <v>391.20000000000005</v>
      </c>
      <c r="DI344114">
        <v>3.62</v>
      </c>
      <c r="DJ344114">
        <v>3.62</v>
      </c>
      <c r="DR344114">
        <v>3.62</v>
      </c>
      <c r="DU344114">
        <v>3.62</v>
      </c>
      <c r="DV344114">
        <v>3.62</v>
      </c>
    </row>
    <row r="344115" spans="2:134">
      <c r="B344115">
        <v>762.80000000000007</v>
      </c>
      <c r="DI344115">
        <v>6.15</v>
      </c>
      <c r="DJ344115">
        <v>6.15</v>
      </c>
      <c r="DQ344115">
        <v>6.15</v>
      </c>
      <c r="DR344115">
        <v>6.15</v>
      </c>
      <c r="DS344115">
        <v>6.15</v>
      </c>
      <c r="DT344115">
        <v>6.15</v>
      </c>
    </row>
    <row r="344116" spans="2:134">
      <c r="B344116">
        <v>1280</v>
      </c>
      <c r="DI344116">
        <v>10.66</v>
      </c>
      <c r="DJ344116">
        <v>10.66</v>
      </c>
      <c r="DK344116">
        <v>10.66</v>
      </c>
      <c r="DL344116">
        <v>10.66</v>
      </c>
      <c r="DM344116">
        <v>10.66</v>
      </c>
      <c r="DN344116">
        <v>10.66</v>
      </c>
    </row>
    <row r="344117" spans="2:134">
      <c r="B344117">
        <v>234</v>
      </c>
      <c r="CT344117">
        <v>2.5</v>
      </c>
      <c r="CU344117">
        <v>2.5</v>
      </c>
      <c r="CV344117">
        <v>2.5</v>
      </c>
    </row>
    <row r="344118" spans="2:134">
      <c r="B344118">
        <v>354</v>
      </c>
      <c r="CY344118">
        <v>3.98</v>
      </c>
      <c r="CZ344118">
        <v>3.98</v>
      </c>
      <c r="DA344118">
        <v>3.98</v>
      </c>
    </row>
    <row r="344119" spans="2:134">
      <c r="B344119">
        <v>392</v>
      </c>
      <c r="DI344119">
        <v>3.52</v>
      </c>
      <c r="DJ344119">
        <v>3.52</v>
      </c>
      <c r="DL344119">
        <v>3.52</v>
      </c>
      <c r="DO344119">
        <v>3.52</v>
      </c>
    </row>
    <row r="344120" spans="2:134">
      <c r="B344120">
        <v>304</v>
      </c>
      <c r="CE344120">
        <v>3.8</v>
      </c>
      <c r="CF344120">
        <v>3.8</v>
      </c>
    </row>
    <row r="344121" spans="2:134">
      <c r="B344121">
        <v>144</v>
      </c>
      <c r="DZ344121">
        <v>1.62</v>
      </c>
      <c r="EA344121">
        <v>1.62</v>
      </c>
      <c r="EB344121">
        <v>1.62</v>
      </c>
      <c r="EC344121">
        <v>0.81</v>
      </c>
      <c r="ED344121">
        <v>0.81</v>
      </c>
    </row>
    <row r="344122" spans="2:134">
      <c r="B344122">
        <v>602.40000000000009</v>
      </c>
      <c r="BY344122">
        <v>6.02</v>
      </c>
      <c r="BZ344122">
        <v>6.02</v>
      </c>
      <c r="CB344122">
        <v>3.01</v>
      </c>
      <c r="CC344122">
        <v>3.01</v>
      </c>
      <c r="CD344122">
        <v>3.01</v>
      </c>
      <c r="CI344122">
        <v>6.02</v>
      </c>
      <c r="CJ344122">
        <v>6.02</v>
      </c>
      <c r="CK344122">
        <v>6.02</v>
      </c>
    </row>
    <row r="344123" spans="2:134">
      <c r="B344123">
        <v>307.60000000000002</v>
      </c>
      <c r="BY344123">
        <v>3.34</v>
      </c>
      <c r="BZ344123">
        <v>3.34</v>
      </c>
      <c r="CG344123">
        <v>3.34</v>
      </c>
      <c r="CH344123">
        <v>3.34</v>
      </c>
    </row>
    <row r="344124" spans="2:134">
      <c r="B344124">
        <v>358</v>
      </c>
      <c r="BY344124">
        <v>2.37</v>
      </c>
      <c r="BZ344124">
        <v>2.37</v>
      </c>
      <c r="CA344124">
        <v>2.37</v>
      </c>
      <c r="DX344124">
        <v>4.74</v>
      </c>
      <c r="DY344124">
        <v>4.74</v>
      </c>
    </row>
    <row r="344125" spans="2:134">
      <c r="B344125">
        <v>286</v>
      </c>
      <c r="BT344125">
        <v>1.43</v>
      </c>
      <c r="BV344125">
        <v>1.43</v>
      </c>
      <c r="BW344125">
        <v>1.43</v>
      </c>
      <c r="BX344125">
        <v>1.43</v>
      </c>
      <c r="CO344125">
        <v>2.86</v>
      </c>
      <c r="CP344125">
        <v>2.86</v>
      </c>
      <c r="CQ344125">
        <v>2.86</v>
      </c>
      <c r="CR344125">
        <v>2.86</v>
      </c>
      <c r="CS344125">
        <v>2.86</v>
      </c>
    </row>
    <row r="344126" spans="2:134">
      <c r="B344126">
        <v>410</v>
      </c>
      <c r="BY344126">
        <v>2.88</v>
      </c>
      <c r="BZ344126">
        <v>2.88</v>
      </c>
      <c r="CA344126">
        <v>2.88</v>
      </c>
      <c r="CW344126">
        <v>5.76</v>
      </c>
      <c r="CX344126">
        <v>5.76</v>
      </c>
    </row>
    <row r="344127" spans="2:134">
      <c r="B344127">
        <v>346</v>
      </c>
      <c r="BR344127">
        <v>3.6</v>
      </c>
      <c r="BS344127">
        <v>3.6</v>
      </c>
      <c r="BT344127">
        <v>1.8</v>
      </c>
      <c r="CL344127">
        <v>3.6</v>
      </c>
      <c r="CM344127">
        <v>3.6</v>
      </c>
      <c r="CN344127">
        <v>3.6</v>
      </c>
    </row>
    <row r="344128" spans="2:134">
      <c r="B344128">
        <v>302</v>
      </c>
      <c r="BR344128">
        <v>3.28</v>
      </c>
      <c r="BS344128">
        <v>3.28</v>
      </c>
      <c r="BT344128">
        <v>1.64</v>
      </c>
      <c r="BU344128">
        <v>1.64</v>
      </c>
      <c r="CL344128">
        <v>3.28</v>
      </c>
      <c r="CM344128">
        <v>3.28</v>
      </c>
      <c r="CN344128">
        <v>3.28</v>
      </c>
    </row>
    <row r="344129" spans="2:146">
      <c r="B344129">
        <v>204</v>
      </c>
      <c r="BR344129">
        <v>2.12</v>
      </c>
      <c r="BS344129">
        <v>2.12</v>
      </c>
      <c r="BT344129">
        <v>1.06</v>
      </c>
      <c r="CL344129">
        <v>2.12</v>
      </c>
      <c r="CM344129">
        <v>2.12</v>
      </c>
      <c r="CN344129">
        <v>2.12</v>
      </c>
    </row>
    <row r="344131" spans="2:146">
      <c r="B344131">
        <v>26358.800000000003</v>
      </c>
      <c r="BQ344131">
        <v>0</v>
      </c>
      <c r="BR344131">
        <v>9</v>
      </c>
      <c r="BS344131">
        <v>9</v>
      </c>
      <c r="BT344131">
        <v>5.93</v>
      </c>
      <c r="BU344131">
        <v>1.64</v>
      </c>
      <c r="BV344131">
        <v>6.5299999999999994</v>
      </c>
      <c r="BW344131">
        <v>6.5299999999999994</v>
      </c>
      <c r="BX344131">
        <v>1.43</v>
      </c>
      <c r="BY344131">
        <v>14.61</v>
      </c>
      <c r="BZ344131">
        <v>14.61</v>
      </c>
      <c r="CA344131">
        <v>5.25</v>
      </c>
      <c r="CB344131">
        <v>3.01</v>
      </c>
      <c r="CC344131">
        <v>3.01</v>
      </c>
      <c r="CD344131">
        <v>3.01</v>
      </c>
      <c r="CE344131">
        <v>3.8</v>
      </c>
      <c r="CF344131">
        <v>3.8</v>
      </c>
      <c r="CG344131">
        <v>3.34</v>
      </c>
      <c r="CH344131">
        <v>3.34</v>
      </c>
      <c r="CI344131">
        <v>6.02</v>
      </c>
      <c r="CJ344131">
        <v>6.02</v>
      </c>
      <c r="CK344131">
        <v>6.02</v>
      </c>
      <c r="CL344131">
        <v>9</v>
      </c>
      <c r="CM344131">
        <v>9</v>
      </c>
      <c r="CN344131">
        <v>9</v>
      </c>
      <c r="CO344131">
        <v>2.86</v>
      </c>
      <c r="CP344131">
        <v>2.86</v>
      </c>
      <c r="CQ344131">
        <v>2.86</v>
      </c>
      <c r="CR344131">
        <v>2.86</v>
      </c>
      <c r="CS344131">
        <v>2.86</v>
      </c>
      <c r="CT344131">
        <v>2.5</v>
      </c>
      <c r="CU344131">
        <v>2.5</v>
      </c>
      <c r="CV344131">
        <v>2.5</v>
      </c>
      <c r="CW344131">
        <v>5.76</v>
      </c>
      <c r="CX344131">
        <v>5.76</v>
      </c>
      <c r="CY344131">
        <v>3.98</v>
      </c>
      <c r="CZ344131">
        <v>3.98</v>
      </c>
      <c r="DA344131">
        <v>3.98</v>
      </c>
      <c r="DB344131">
        <v>10.210000000000001</v>
      </c>
      <c r="DC344131">
        <v>10.210000000000001</v>
      </c>
      <c r="DD344131">
        <v>10.210000000000001</v>
      </c>
      <c r="DE344131">
        <v>10.210000000000001</v>
      </c>
      <c r="DF344131">
        <v>10.210000000000001</v>
      </c>
      <c r="DG344131">
        <v>10.210000000000001</v>
      </c>
      <c r="DH344131">
        <v>10.210000000000001</v>
      </c>
      <c r="DI344131">
        <v>47.860000000000007</v>
      </c>
      <c r="DJ344131">
        <v>47.860000000000007</v>
      </c>
      <c r="DK344131">
        <v>10.66</v>
      </c>
      <c r="DL344131">
        <v>14.18</v>
      </c>
      <c r="DM344131">
        <v>10.66</v>
      </c>
      <c r="DN344131">
        <v>10.66</v>
      </c>
      <c r="DO344131">
        <v>3.52</v>
      </c>
      <c r="DP344131">
        <v>0</v>
      </c>
      <c r="DQ344131">
        <v>26.18</v>
      </c>
      <c r="DR344131">
        <v>9.77</v>
      </c>
      <c r="DS344131">
        <v>6.15</v>
      </c>
      <c r="DT344131">
        <v>26.18</v>
      </c>
      <c r="DU344131">
        <v>3.62</v>
      </c>
      <c r="DV344131">
        <v>7.5</v>
      </c>
      <c r="DW344131">
        <v>23.91</v>
      </c>
      <c r="DX344131">
        <v>4.74</v>
      </c>
      <c r="DY344131">
        <v>4.74</v>
      </c>
      <c r="DZ344131">
        <v>1.62</v>
      </c>
      <c r="EA344131">
        <v>1.62</v>
      </c>
      <c r="EB344131">
        <v>1.62</v>
      </c>
      <c r="EC344131">
        <v>0.81</v>
      </c>
      <c r="ED344131">
        <v>0.81</v>
      </c>
      <c r="EE344131">
        <v>8.15</v>
      </c>
      <c r="EF344131">
        <v>8.15</v>
      </c>
      <c r="EG344131">
        <v>8.15</v>
      </c>
      <c r="EH344131">
        <v>8.15</v>
      </c>
      <c r="EI344131">
        <v>8.15</v>
      </c>
      <c r="EJ344131">
        <v>8.15</v>
      </c>
      <c r="EK344131">
        <v>8.15</v>
      </c>
      <c r="EL344131">
        <v>0.66</v>
      </c>
      <c r="EM344131">
        <v>0.66</v>
      </c>
      <c r="EN344131">
        <v>0.66</v>
      </c>
      <c r="EO344131">
        <v>0.66</v>
      </c>
      <c r="EP344131">
        <v>0.66</v>
      </c>
    </row>
    <row r="344132" spans="2:146">
      <c r="B344132" t="s">
        <v>265</v>
      </c>
      <c r="BQ344132" t="s">
        <v>345</v>
      </c>
      <c r="BR344132" t="s">
        <v>131</v>
      </c>
      <c r="BS344132" t="s">
        <v>131</v>
      </c>
      <c r="BT344132" t="s">
        <v>357</v>
      </c>
      <c r="BU344132" t="s">
        <v>131</v>
      </c>
      <c r="BV344132" t="s">
        <v>360</v>
      </c>
      <c r="BW344132" t="s">
        <v>360</v>
      </c>
      <c r="BX344132" t="s">
        <v>360</v>
      </c>
      <c r="BY344132" t="s">
        <v>364</v>
      </c>
      <c r="BZ344132" t="s">
        <v>364</v>
      </c>
      <c r="CA344132" t="s">
        <v>364</v>
      </c>
      <c r="CB344132" t="s">
        <v>368</v>
      </c>
      <c r="CC344132" t="s">
        <v>368</v>
      </c>
      <c r="CD344132" t="s">
        <v>368</v>
      </c>
      <c r="CE344132" t="s">
        <v>352</v>
      </c>
      <c r="CF344132" t="s">
        <v>352</v>
      </c>
      <c r="CG344132" t="s">
        <v>372</v>
      </c>
      <c r="CH344132" t="s">
        <v>372</v>
      </c>
      <c r="CI344132" t="s">
        <v>375</v>
      </c>
      <c r="CJ344132" t="s">
        <v>375</v>
      </c>
      <c r="CK344132" t="s">
        <v>375</v>
      </c>
      <c r="CL344132" t="s">
        <v>379</v>
      </c>
      <c r="CM344132" t="s">
        <v>379</v>
      </c>
      <c r="CN344132" t="s">
        <v>379</v>
      </c>
      <c r="CO344132" t="s">
        <v>383</v>
      </c>
      <c r="CP344132" t="s">
        <v>383</v>
      </c>
      <c r="CQ344132" t="s">
        <v>383</v>
      </c>
      <c r="CR344132" t="s">
        <v>383</v>
      </c>
      <c r="CS344132" t="s">
        <v>383</v>
      </c>
      <c r="CT344132" t="s">
        <v>389</v>
      </c>
      <c r="CU344132" t="s">
        <v>389</v>
      </c>
      <c r="CV344132" t="s">
        <v>389</v>
      </c>
      <c r="CW344132" t="s">
        <v>393</v>
      </c>
      <c r="CX344132" t="s">
        <v>393</v>
      </c>
      <c r="CY344132" t="s">
        <v>396</v>
      </c>
      <c r="CZ344132" t="s">
        <v>396</v>
      </c>
      <c r="DA344132" t="s">
        <v>396</v>
      </c>
      <c r="DB344132" t="s">
        <v>400</v>
      </c>
      <c r="DC344132" t="s">
        <v>400</v>
      </c>
      <c r="DD344132" t="s">
        <v>400</v>
      </c>
      <c r="DE344132" t="s">
        <v>400</v>
      </c>
      <c r="DF344132" t="s">
        <v>400</v>
      </c>
      <c r="DG344132" t="s">
        <v>400</v>
      </c>
      <c r="DH344132" t="s">
        <v>400</v>
      </c>
      <c r="DI344132" t="s">
        <v>121</v>
      </c>
      <c r="DJ344132" t="s">
        <v>121</v>
      </c>
      <c r="DK344132" t="s">
        <v>121</v>
      </c>
      <c r="DL344132" t="s">
        <v>121</v>
      </c>
      <c r="DM344132" t="s">
        <v>121</v>
      </c>
      <c r="DN344132" t="s">
        <v>121</v>
      </c>
      <c r="DO344132" t="s">
        <v>121</v>
      </c>
      <c r="DP344132" t="s">
        <v>121</v>
      </c>
      <c r="DQ344132" t="s">
        <v>121</v>
      </c>
      <c r="DR344132" t="s">
        <v>121</v>
      </c>
      <c r="DS344132" t="s">
        <v>121</v>
      </c>
      <c r="DT344132" t="s">
        <v>121</v>
      </c>
      <c r="DU344132" t="s">
        <v>121</v>
      </c>
      <c r="DV344132" t="s">
        <v>121</v>
      </c>
      <c r="DW344132" t="s">
        <v>121</v>
      </c>
      <c r="DX344132" t="s">
        <v>423</v>
      </c>
      <c r="DY344132" t="s">
        <v>423</v>
      </c>
      <c r="DZ344132" t="s">
        <v>426</v>
      </c>
      <c r="EA344132" t="s">
        <v>426</v>
      </c>
      <c r="EB344132" t="s">
        <v>426</v>
      </c>
      <c r="EC344132" t="s">
        <v>426</v>
      </c>
      <c r="ED344132" t="s">
        <v>426</v>
      </c>
      <c r="EE344132" t="s">
        <v>432</v>
      </c>
      <c r="EF344132" t="s">
        <v>432</v>
      </c>
      <c r="EG344132" t="s">
        <v>432</v>
      </c>
      <c r="EH344132" t="s">
        <v>432</v>
      </c>
      <c r="EI344132" t="s">
        <v>432</v>
      </c>
      <c r="EJ344132" t="s">
        <v>432</v>
      </c>
      <c r="EK344132" t="s">
        <v>432</v>
      </c>
      <c r="EL344132" t="s">
        <v>440</v>
      </c>
      <c r="EM344132" t="s">
        <v>440</v>
      </c>
      <c r="EN344132" t="s">
        <v>440</v>
      </c>
      <c r="EO344132" t="s">
        <v>440</v>
      </c>
      <c r="EP344132" t="s">
        <v>440</v>
      </c>
    </row>
    <row r="344133" spans="2:146">
      <c r="BQ344133" t="s">
        <v>351</v>
      </c>
      <c r="BR344133" t="s">
        <v>355</v>
      </c>
      <c r="BS344133" t="s">
        <v>356</v>
      </c>
      <c r="BT344133" t="s">
        <v>358</v>
      </c>
      <c r="BU344133" t="s">
        <v>359</v>
      </c>
      <c r="BV344133" t="s">
        <v>361</v>
      </c>
      <c r="BW344133" t="s">
        <v>362</v>
      </c>
      <c r="BX344133" t="s">
        <v>363</v>
      </c>
      <c r="BY344133" t="s">
        <v>365</v>
      </c>
      <c r="BZ344133" t="s">
        <v>366</v>
      </c>
      <c r="CA344133" t="s">
        <v>367</v>
      </c>
      <c r="CB344133" t="s">
        <v>369</v>
      </c>
      <c r="CC344133" t="s">
        <v>370</v>
      </c>
      <c r="CD344133" t="s">
        <v>371</v>
      </c>
      <c r="CE344133" t="s">
        <v>353</v>
      </c>
      <c r="CF344133" t="s">
        <v>354</v>
      </c>
      <c r="CG344133" t="s">
        <v>373</v>
      </c>
      <c r="CH344133" t="s">
        <v>374</v>
      </c>
      <c r="CI344133" t="s">
        <v>376</v>
      </c>
      <c r="CJ344133" t="s">
        <v>377</v>
      </c>
      <c r="CK344133" t="s">
        <v>378</v>
      </c>
      <c r="CL344133" t="s">
        <v>380</v>
      </c>
      <c r="CM344133" t="s">
        <v>381</v>
      </c>
      <c r="CN344133" t="s">
        <v>382</v>
      </c>
      <c r="CO344133" t="s">
        <v>384</v>
      </c>
      <c r="CP344133" t="s">
        <v>385</v>
      </c>
      <c r="CQ344133" t="s">
        <v>386</v>
      </c>
      <c r="CR344133" t="s">
        <v>387</v>
      </c>
      <c r="CS344133" t="s">
        <v>388</v>
      </c>
      <c r="CT344133" t="s">
        <v>390</v>
      </c>
      <c r="CU344133" t="s">
        <v>391</v>
      </c>
      <c r="CV344133" t="s">
        <v>392</v>
      </c>
      <c r="CW344133" t="s">
        <v>394</v>
      </c>
      <c r="CX344133" t="s">
        <v>395</v>
      </c>
      <c r="CY344133" t="s">
        <v>397</v>
      </c>
      <c r="CZ344133" t="s">
        <v>398</v>
      </c>
      <c r="DA344133" t="s">
        <v>399</v>
      </c>
      <c r="DB344133" t="s">
        <v>401</v>
      </c>
      <c r="DC344133" t="s">
        <v>402</v>
      </c>
      <c r="DD344133" t="s">
        <v>403</v>
      </c>
      <c r="DE344133" t="s">
        <v>404</v>
      </c>
      <c r="DF344133" t="s">
        <v>405</v>
      </c>
      <c r="DG344133" t="s">
        <v>406</v>
      </c>
      <c r="DH344133" t="s">
        <v>407</v>
      </c>
      <c r="DI344133" t="s">
        <v>408</v>
      </c>
      <c r="DJ344133" t="s">
        <v>409</v>
      </c>
      <c r="DK344133" t="s">
        <v>410</v>
      </c>
      <c r="DL344133" t="s">
        <v>411</v>
      </c>
      <c r="DM344133" t="s">
        <v>412</v>
      </c>
      <c r="DN344133" t="s">
        <v>413</v>
      </c>
      <c r="DO344133" t="s">
        <v>414</v>
      </c>
      <c r="DP344133" t="s">
        <v>415</v>
      </c>
      <c r="DQ344133" t="s">
        <v>416</v>
      </c>
      <c r="DR344133" t="s">
        <v>417</v>
      </c>
      <c r="DS344133" t="s">
        <v>418</v>
      </c>
      <c r="DT344133" t="s">
        <v>419</v>
      </c>
      <c r="DU344133" t="s">
        <v>420</v>
      </c>
      <c r="DV344133" t="s">
        <v>421</v>
      </c>
      <c r="DW344133" t="s">
        <v>422</v>
      </c>
      <c r="DX344133" t="s">
        <v>424</v>
      </c>
      <c r="DY344133" t="s">
        <v>425</v>
      </c>
      <c r="DZ344133" t="s">
        <v>427</v>
      </c>
      <c r="EA344133" t="s">
        <v>428</v>
      </c>
      <c r="EB344133" t="s">
        <v>429</v>
      </c>
      <c r="EC344133" t="s">
        <v>430</v>
      </c>
      <c r="ED344133" t="s">
        <v>431</v>
      </c>
      <c r="EE344133" t="s">
        <v>433</v>
      </c>
      <c r="EF344133" t="s">
        <v>434</v>
      </c>
      <c r="EG344133" t="s">
        <v>435</v>
      </c>
      <c r="EH344133" t="s">
        <v>436</v>
      </c>
      <c r="EI344133" t="s">
        <v>437</v>
      </c>
      <c r="EJ344133" t="s">
        <v>438</v>
      </c>
      <c r="EK344133" t="s">
        <v>439</v>
      </c>
      <c r="EL344133" t="s">
        <v>441</v>
      </c>
      <c r="EM344133" t="s">
        <v>442</v>
      </c>
      <c r="EN344133" t="s">
        <v>443</v>
      </c>
      <c r="EO344133" t="s">
        <v>444</v>
      </c>
      <c r="EP344133" t="s">
        <v>445</v>
      </c>
    </row>
    <row r="344134" spans="2:146">
      <c r="BQ344134">
        <v>67</v>
      </c>
      <c r="BR344134">
        <v>68</v>
      </c>
      <c r="BS344134">
        <v>69</v>
      </c>
      <c r="BT344134">
        <v>70</v>
      </c>
      <c r="BU344134">
        <v>71</v>
      </c>
      <c r="BV344134">
        <v>72</v>
      </c>
      <c r="BW344134">
        <v>73</v>
      </c>
      <c r="BX344134">
        <v>74</v>
      </c>
      <c r="BY344134">
        <v>75</v>
      </c>
      <c r="BZ344134">
        <v>76</v>
      </c>
      <c r="CA344134">
        <v>77</v>
      </c>
      <c r="CB344134">
        <v>78</v>
      </c>
      <c r="CC344134">
        <v>79</v>
      </c>
      <c r="CD344134">
        <v>80</v>
      </c>
      <c r="CE344134">
        <v>81</v>
      </c>
      <c r="CF344134">
        <v>82</v>
      </c>
      <c r="CG344134">
        <v>83</v>
      </c>
      <c r="CH344134">
        <v>84</v>
      </c>
      <c r="CI344134">
        <v>85</v>
      </c>
      <c r="CJ344134">
        <v>86</v>
      </c>
      <c r="CK344134">
        <v>87</v>
      </c>
      <c r="CL344134">
        <v>88</v>
      </c>
      <c r="CM344134">
        <v>89</v>
      </c>
      <c r="CN344134">
        <v>90</v>
      </c>
      <c r="CO344134">
        <v>91</v>
      </c>
      <c r="CP344134">
        <v>92</v>
      </c>
      <c r="CQ344134">
        <v>93</v>
      </c>
      <c r="CR344134">
        <v>94</v>
      </c>
      <c r="CS344134">
        <v>95</v>
      </c>
      <c r="CT344134">
        <v>96</v>
      </c>
      <c r="CU344134">
        <v>97</v>
      </c>
      <c r="CV344134">
        <v>98</v>
      </c>
      <c r="CW344134">
        <v>99</v>
      </c>
      <c r="CX344134">
        <v>100</v>
      </c>
      <c r="CY344134">
        <v>101</v>
      </c>
      <c r="CZ344134">
        <v>102</v>
      </c>
      <c r="DA344134">
        <v>103</v>
      </c>
      <c r="DB344134">
        <v>104</v>
      </c>
      <c r="DC344134">
        <v>105</v>
      </c>
      <c r="DD344134">
        <v>106</v>
      </c>
      <c r="DE344134">
        <v>107</v>
      </c>
      <c r="DF344134">
        <v>108</v>
      </c>
      <c r="DG344134">
        <v>109</v>
      </c>
      <c r="DH344134">
        <v>110</v>
      </c>
      <c r="DI344134">
        <v>111</v>
      </c>
      <c r="DJ344134">
        <v>112</v>
      </c>
      <c r="DK344134">
        <v>113</v>
      </c>
      <c r="DL344134">
        <v>114</v>
      </c>
      <c r="DM344134">
        <v>115</v>
      </c>
      <c r="DN344134">
        <v>116</v>
      </c>
      <c r="DO344134">
        <v>117</v>
      </c>
      <c r="DP344134">
        <v>118</v>
      </c>
      <c r="DQ344134">
        <v>119</v>
      </c>
      <c r="DR344134">
        <v>120</v>
      </c>
      <c r="DS344134">
        <v>121</v>
      </c>
      <c r="DT344134">
        <v>122</v>
      </c>
      <c r="DU344134">
        <v>123</v>
      </c>
      <c r="DV344134">
        <v>124</v>
      </c>
      <c r="DW344134">
        <v>125</v>
      </c>
      <c r="DX344134">
        <v>126</v>
      </c>
      <c r="DY344134">
        <v>127</v>
      </c>
      <c r="DZ344134">
        <v>128</v>
      </c>
      <c r="EA344134">
        <v>129</v>
      </c>
      <c r="EB344134">
        <v>130</v>
      </c>
      <c r="EC344134">
        <v>131</v>
      </c>
      <c r="ED344134">
        <v>132</v>
      </c>
      <c r="EE344134">
        <v>133</v>
      </c>
      <c r="EF344134">
        <v>134</v>
      </c>
      <c r="EG344134">
        <v>135</v>
      </c>
      <c r="EH344134">
        <v>136</v>
      </c>
      <c r="EI344134">
        <v>137</v>
      </c>
      <c r="EJ344134">
        <v>138</v>
      </c>
      <c r="EK344134">
        <v>139</v>
      </c>
      <c r="EL344134">
        <v>140</v>
      </c>
      <c r="EM344134">
        <v>141</v>
      </c>
      <c r="EN344134">
        <v>142</v>
      </c>
      <c r="EO344134">
        <v>143</v>
      </c>
      <c r="EP344134">
        <v>144</v>
      </c>
    </row>
    <row r="344135" spans="2:146">
      <c r="CE344135" t="s">
        <v>451</v>
      </c>
    </row>
    <row r="360450" spans="2:2">
      <c r="B360450">
        <v>200</v>
      </c>
    </row>
    <row r="360451" spans="2:2">
      <c r="B360451">
        <v>200</v>
      </c>
    </row>
    <row r="360452" spans="2:2">
      <c r="B360452">
        <v>800</v>
      </c>
    </row>
    <row r="360453" spans="2:2">
      <c r="B360453">
        <v>200</v>
      </c>
    </row>
    <row r="360454" spans="2:2">
      <c r="B360454">
        <v>1044</v>
      </c>
    </row>
    <row r="360455" spans="2:2">
      <c r="B360455">
        <v>998.40000000000009</v>
      </c>
    </row>
    <row r="360456" spans="2:2">
      <c r="B360456">
        <v>272</v>
      </c>
    </row>
    <row r="360457" spans="2:2">
      <c r="B360457">
        <v>200</v>
      </c>
    </row>
    <row r="360458" spans="2:2">
      <c r="B360458">
        <v>214</v>
      </c>
    </row>
    <row r="360459" spans="2:2">
      <c r="B360459">
        <v>200</v>
      </c>
    </row>
    <row r="360460" spans="2:2">
      <c r="B360460">
        <v>152</v>
      </c>
    </row>
    <row r="360461" spans="2:2">
      <c r="B360461">
        <v>200</v>
      </c>
    </row>
    <row r="360462" spans="2:2">
      <c r="B360462">
        <v>300</v>
      </c>
    </row>
    <row r="360463" spans="2:2">
      <c r="B360463">
        <v>104</v>
      </c>
    </row>
    <row r="360464" spans="2:2">
      <c r="B360464">
        <v>162</v>
      </c>
    </row>
    <row r="360465" spans="2:2">
      <c r="B360465">
        <v>200</v>
      </c>
    </row>
    <row r="360466" spans="2:2">
      <c r="B360466">
        <v>200</v>
      </c>
    </row>
    <row r="360467" spans="2:2">
      <c r="B360467">
        <v>200</v>
      </c>
    </row>
    <row r="360468" spans="2:2">
      <c r="B360468">
        <v>200</v>
      </c>
    </row>
    <row r="360469" spans="2:2">
      <c r="B360469">
        <v>200</v>
      </c>
    </row>
    <row r="360470" spans="2:2">
      <c r="B360470">
        <v>200</v>
      </c>
    </row>
    <row r="360471" spans="2:2">
      <c r="B360471">
        <v>200</v>
      </c>
    </row>
    <row r="360472" spans="2:2">
      <c r="B360472">
        <v>200</v>
      </c>
    </row>
    <row r="360473" spans="2:2">
      <c r="B360473">
        <v>800</v>
      </c>
    </row>
    <row r="360474" spans="2:2">
      <c r="B360474">
        <v>300</v>
      </c>
    </row>
    <row r="360475" spans="2:2">
      <c r="B360475">
        <v>778</v>
      </c>
    </row>
    <row r="360476" spans="2:2">
      <c r="B360476">
        <v>614</v>
      </c>
    </row>
    <row r="360477" spans="2:2">
      <c r="B360477">
        <v>444</v>
      </c>
    </row>
    <row r="360478" spans="2:2">
      <c r="B360478">
        <v>800</v>
      </c>
    </row>
    <row r="360479" spans="2:2">
      <c r="B360479">
        <v>200</v>
      </c>
    </row>
    <row r="360480" spans="2:2">
      <c r="B360480">
        <v>780</v>
      </c>
    </row>
    <row r="360481" spans="2:146">
      <c r="B360481">
        <v>174</v>
      </c>
    </row>
    <row r="360482" spans="2:146">
      <c r="B360482">
        <v>194</v>
      </c>
    </row>
    <row r="360483" spans="2:146">
      <c r="B360483">
        <v>782</v>
      </c>
    </row>
    <row r="360484" spans="2:146">
      <c r="B360484">
        <v>236</v>
      </c>
    </row>
    <row r="360485" spans="2:146">
      <c r="B360485">
        <v>144</v>
      </c>
    </row>
    <row r="360486" spans="2:146">
      <c r="B360486">
        <v>200</v>
      </c>
    </row>
    <row r="360487" spans="2:146">
      <c r="B360487">
        <v>240</v>
      </c>
    </row>
    <row r="360488" spans="2:146">
      <c r="B360488">
        <v>200</v>
      </c>
    </row>
    <row r="360489" spans="2:146">
      <c r="B360489">
        <v>612</v>
      </c>
    </row>
    <row r="360490" spans="2:146">
      <c r="B360490">
        <v>156</v>
      </c>
    </row>
    <row r="360491" spans="2:146">
      <c r="B360491">
        <v>116</v>
      </c>
    </row>
    <row r="360492" spans="2:146">
      <c r="B360492">
        <v>160</v>
      </c>
    </row>
    <row r="360493" spans="2:146">
      <c r="B360493">
        <v>80</v>
      </c>
      <c r="EL360493">
        <v>0.66</v>
      </c>
      <c r="EM360493">
        <v>0.66</v>
      </c>
      <c r="EN360493">
        <v>0.66</v>
      </c>
      <c r="EO360493">
        <v>0.66</v>
      </c>
      <c r="EP360493">
        <v>0.66</v>
      </c>
    </row>
    <row r="360494" spans="2:146">
      <c r="B360494">
        <v>1144</v>
      </c>
      <c r="BV360494">
        <v>5.0999999999999996</v>
      </c>
      <c r="BW360494">
        <v>5.0999999999999996</v>
      </c>
      <c r="DB360494">
        <v>10.210000000000001</v>
      </c>
      <c r="DC360494">
        <v>10.210000000000001</v>
      </c>
      <c r="DD360494">
        <v>10.210000000000001</v>
      </c>
      <c r="DE360494">
        <v>10.210000000000001</v>
      </c>
      <c r="DF360494">
        <v>10.210000000000001</v>
      </c>
      <c r="DG360494">
        <v>10.210000000000001</v>
      </c>
      <c r="DH360494">
        <v>10.210000000000001</v>
      </c>
    </row>
    <row r="360495" spans="2:146">
      <c r="B360495">
        <v>1240</v>
      </c>
      <c r="EE360495">
        <v>8.15</v>
      </c>
      <c r="EF360495">
        <v>8.15</v>
      </c>
      <c r="EG360495">
        <v>8.15</v>
      </c>
      <c r="EH360495">
        <v>8.15</v>
      </c>
      <c r="EI360495">
        <v>8.15</v>
      </c>
      <c r="EJ360495">
        <v>8.15</v>
      </c>
      <c r="EK360495">
        <v>8.15</v>
      </c>
    </row>
    <row r="360496" spans="2:146">
      <c r="B360496">
        <v>2083.2000000000003</v>
      </c>
      <c r="DI360496">
        <v>20.03</v>
      </c>
      <c r="DJ360496">
        <v>20.03</v>
      </c>
      <c r="DQ360496">
        <v>20.03</v>
      </c>
      <c r="DT360496">
        <v>20.03</v>
      </c>
      <c r="DW360496">
        <v>20.03</v>
      </c>
    </row>
    <row r="360497" spans="2:134">
      <c r="B360497">
        <v>357.20000000000005</v>
      </c>
      <c r="DI360497">
        <v>3.88</v>
      </c>
      <c r="DJ360497">
        <v>3.88</v>
      </c>
      <c r="DV360497">
        <v>3.88</v>
      </c>
      <c r="DW360497">
        <v>3.88</v>
      </c>
    </row>
    <row r="360498" spans="2:134">
      <c r="B360498">
        <v>391.20000000000005</v>
      </c>
      <c r="DI360498">
        <v>3.62</v>
      </c>
      <c r="DJ360498">
        <v>3.62</v>
      </c>
      <c r="DR360498">
        <v>3.62</v>
      </c>
      <c r="DU360498">
        <v>3.62</v>
      </c>
      <c r="DV360498">
        <v>3.62</v>
      </c>
    </row>
    <row r="360499" spans="2:134">
      <c r="B360499">
        <v>762.80000000000007</v>
      </c>
      <c r="DI360499">
        <v>6.15</v>
      </c>
      <c r="DJ360499">
        <v>6.15</v>
      </c>
      <c r="DQ360499">
        <v>6.15</v>
      </c>
      <c r="DR360499">
        <v>6.15</v>
      </c>
      <c r="DS360499">
        <v>6.15</v>
      </c>
      <c r="DT360499">
        <v>6.15</v>
      </c>
    </row>
    <row r="360500" spans="2:134">
      <c r="B360500">
        <v>1280</v>
      </c>
      <c r="DI360500">
        <v>10.66</v>
      </c>
      <c r="DJ360500">
        <v>10.66</v>
      </c>
      <c r="DK360500">
        <v>10.66</v>
      </c>
      <c r="DL360500">
        <v>10.66</v>
      </c>
      <c r="DM360500">
        <v>10.66</v>
      </c>
      <c r="DN360500">
        <v>10.66</v>
      </c>
    </row>
    <row r="360501" spans="2:134">
      <c r="B360501">
        <v>234</v>
      </c>
      <c r="CT360501">
        <v>2.5</v>
      </c>
      <c r="CU360501">
        <v>2.5</v>
      </c>
      <c r="CV360501">
        <v>2.5</v>
      </c>
    </row>
    <row r="360502" spans="2:134">
      <c r="B360502">
        <v>354</v>
      </c>
      <c r="CY360502">
        <v>3.98</v>
      </c>
      <c r="CZ360502">
        <v>3.98</v>
      </c>
      <c r="DA360502">
        <v>3.98</v>
      </c>
    </row>
    <row r="360503" spans="2:134">
      <c r="B360503">
        <v>392</v>
      </c>
      <c r="DI360503">
        <v>3.52</v>
      </c>
      <c r="DJ360503">
        <v>3.52</v>
      </c>
      <c r="DL360503">
        <v>3.52</v>
      </c>
      <c r="DO360503">
        <v>3.52</v>
      </c>
    </row>
    <row r="360504" spans="2:134">
      <c r="B360504">
        <v>304</v>
      </c>
      <c r="CE360504">
        <v>3.8</v>
      </c>
      <c r="CF360504">
        <v>3.8</v>
      </c>
    </row>
    <row r="360505" spans="2:134">
      <c r="B360505">
        <v>144</v>
      </c>
      <c r="DZ360505">
        <v>1.62</v>
      </c>
      <c r="EA360505">
        <v>1.62</v>
      </c>
      <c r="EB360505">
        <v>1.62</v>
      </c>
      <c r="EC360505">
        <v>0.81</v>
      </c>
      <c r="ED360505">
        <v>0.81</v>
      </c>
    </row>
    <row r="360506" spans="2:134">
      <c r="B360506">
        <v>602.40000000000009</v>
      </c>
      <c r="BY360506">
        <v>6.02</v>
      </c>
      <c r="BZ360506">
        <v>6.02</v>
      </c>
      <c r="CB360506">
        <v>3.01</v>
      </c>
      <c r="CC360506">
        <v>3.01</v>
      </c>
      <c r="CD360506">
        <v>3.01</v>
      </c>
      <c r="CI360506">
        <v>6.02</v>
      </c>
      <c r="CJ360506">
        <v>6.02</v>
      </c>
      <c r="CK360506">
        <v>6.02</v>
      </c>
    </row>
    <row r="360507" spans="2:134">
      <c r="B360507">
        <v>307.60000000000002</v>
      </c>
      <c r="BY360507">
        <v>3.34</v>
      </c>
      <c r="BZ360507">
        <v>3.34</v>
      </c>
      <c r="CG360507">
        <v>3.34</v>
      </c>
      <c r="CH360507">
        <v>3.34</v>
      </c>
    </row>
    <row r="360508" spans="2:134">
      <c r="B360508">
        <v>358</v>
      </c>
      <c r="BY360508">
        <v>2.37</v>
      </c>
      <c r="BZ360508">
        <v>2.37</v>
      </c>
      <c r="CA360508">
        <v>2.37</v>
      </c>
      <c r="DX360508">
        <v>4.74</v>
      </c>
      <c r="DY360508">
        <v>4.74</v>
      </c>
    </row>
    <row r="360509" spans="2:134">
      <c r="B360509">
        <v>286</v>
      </c>
      <c r="BT360509">
        <v>1.43</v>
      </c>
      <c r="BV360509">
        <v>1.43</v>
      </c>
      <c r="BW360509">
        <v>1.43</v>
      </c>
      <c r="BX360509">
        <v>1.43</v>
      </c>
      <c r="CO360509">
        <v>2.86</v>
      </c>
      <c r="CP360509">
        <v>2.86</v>
      </c>
      <c r="CQ360509">
        <v>2.86</v>
      </c>
      <c r="CR360509">
        <v>2.86</v>
      </c>
      <c r="CS360509">
        <v>2.86</v>
      </c>
    </row>
    <row r="360510" spans="2:134">
      <c r="B360510">
        <v>410</v>
      </c>
      <c r="BY360510">
        <v>2.88</v>
      </c>
      <c r="BZ360510">
        <v>2.88</v>
      </c>
      <c r="CA360510">
        <v>2.88</v>
      </c>
      <c r="CW360510">
        <v>5.76</v>
      </c>
      <c r="CX360510">
        <v>5.76</v>
      </c>
    </row>
    <row r="360511" spans="2:134">
      <c r="B360511">
        <v>346</v>
      </c>
      <c r="BR360511">
        <v>3.6</v>
      </c>
      <c r="BS360511">
        <v>3.6</v>
      </c>
      <c r="BT360511">
        <v>1.8</v>
      </c>
      <c r="CL360511">
        <v>3.6</v>
      </c>
      <c r="CM360511">
        <v>3.6</v>
      </c>
      <c r="CN360511">
        <v>3.6</v>
      </c>
    </row>
    <row r="360512" spans="2:134">
      <c r="B360512">
        <v>302</v>
      </c>
      <c r="BR360512">
        <v>3.28</v>
      </c>
      <c r="BS360512">
        <v>3.28</v>
      </c>
      <c r="BT360512">
        <v>1.64</v>
      </c>
      <c r="BU360512">
        <v>1.64</v>
      </c>
      <c r="CL360512">
        <v>3.28</v>
      </c>
      <c r="CM360512">
        <v>3.28</v>
      </c>
      <c r="CN360512">
        <v>3.28</v>
      </c>
    </row>
    <row r="360513" spans="2:146">
      <c r="B360513">
        <v>204</v>
      </c>
      <c r="BR360513">
        <v>2.12</v>
      </c>
      <c r="BS360513">
        <v>2.12</v>
      </c>
      <c r="BT360513">
        <v>1.06</v>
      </c>
      <c r="CL360513">
        <v>2.12</v>
      </c>
      <c r="CM360513">
        <v>2.12</v>
      </c>
      <c r="CN360513">
        <v>2.12</v>
      </c>
    </row>
    <row r="360515" spans="2:146">
      <c r="B360515">
        <v>26358.800000000003</v>
      </c>
      <c r="BQ360515">
        <v>0</v>
      </c>
      <c r="BR360515">
        <v>9</v>
      </c>
      <c r="BS360515">
        <v>9</v>
      </c>
      <c r="BT360515">
        <v>5.93</v>
      </c>
      <c r="BU360515">
        <v>1.64</v>
      </c>
      <c r="BV360515">
        <v>6.5299999999999994</v>
      </c>
      <c r="BW360515">
        <v>6.5299999999999994</v>
      </c>
      <c r="BX360515">
        <v>1.43</v>
      </c>
      <c r="BY360515">
        <v>14.61</v>
      </c>
      <c r="BZ360515">
        <v>14.61</v>
      </c>
      <c r="CA360515">
        <v>5.25</v>
      </c>
      <c r="CB360515">
        <v>3.01</v>
      </c>
      <c r="CC360515">
        <v>3.01</v>
      </c>
      <c r="CD360515">
        <v>3.01</v>
      </c>
      <c r="CE360515">
        <v>3.8</v>
      </c>
      <c r="CF360515">
        <v>3.8</v>
      </c>
      <c r="CG360515">
        <v>3.34</v>
      </c>
      <c r="CH360515">
        <v>3.34</v>
      </c>
      <c r="CI360515">
        <v>6.02</v>
      </c>
      <c r="CJ360515">
        <v>6.02</v>
      </c>
      <c r="CK360515">
        <v>6.02</v>
      </c>
      <c r="CL360515">
        <v>9</v>
      </c>
      <c r="CM360515">
        <v>9</v>
      </c>
      <c r="CN360515">
        <v>9</v>
      </c>
      <c r="CO360515">
        <v>2.86</v>
      </c>
      <c r="CP360515">
        <v>2.86</v>
      </c>
      <c r="CQ360515">
        <v>2.86</v>
      </c>
      <c r="CR360515">
        <v>2.86</v>
      </c>
      <c r="CS360515">
        <v>2.86</v>
      </c>
      <c r="CT360515">
        <v>2.5</v>
      </c>
      <c r="CU360515">
        <v>2.5</v>
      </c>
      <c r="CV360515">
        <v>2.5</v>
      </c>
      <c r="CW360515">
        <v>5.76</v>
      </c>
      <c r="CX360515">
        <v>5.76</v>
      </c>
      <c r="CY360515">
        <v>3.98</v>
      </c>
      <c r="CZ360515">
        <v>3.98</v>
      </c>
      <c r="DA360515">
        <v>3.98</v>
      </c>
      <c r="DB360515">
        <v>10.210000000000001</v>
      </c>
      <c r="DC360515">
        <v>10.210000000000001</v>
      </c>
      <c r="DD360515">
        <v>10.210000000000001</v>
      </c>
      <c r="DE360515">
        <v>10.210000000000001</v>
      </c>
      <c r="DF360515">
        <v>10.210000000000001</v>
      </c>
      <c r="DG360515">
        <v>10.210000000000001</v>
      </c>
      <c r="DH360515">
        <v>10.210000000000001</v>
      </c>
      <c r="DI360515">
        <v>47.860000000000007</v>
      </c>
      <c r="DJ360515">
        <v>47.860000000000007</v>
      </c>
      <c r="DK360515">
        <v>10.66</v>
      </c>
      <c r="DL360515">
        <v>14.18</v>
      </c>
      <c r="DM360515">
        <v>10.66</v>
      </c>
      <c r="DN360515">
        <v>10.66</v>
      </c>
      <c r="DO360515">
        <v>3.52</v>
      </c>
      <c r="DP360515">
        <v>0</v>
      </c>
      <c r="DQ360515">
        <v>26.18</v>
      </c>
      <c r="DR360515">
        <v>9.77</v>
      </c>
      <c r="DS360515">
        <v>6.15</v>
      </c>
      <c r="DT360515">
        <v>26.18</v>
      </c>
      <c r="DU360515">
        <v>3.62</v>
      </c>
      <c r="DV360515">
        <v>7.5</v>
      </c>
      <c r="DW360515">
        <v>23.91</v>
      </c>
      <c r="DX360515">
        <v>4.74</v>
      </c>
      <c r="DY360515">
        <v>4.74</v>
      </c>
      <c r="DZ360515">
        <v>1.62</v>
      </c>
      <c r="EA360515">
        <v>1.62</v>
      </c>
      <c r="EB360515">
        <v>1.62</v>
      </c>
      <c r="EC360515">
        <v>0.81</v>
      </c>
      <c r="ED360515">
        <v>0.81</v>
      </c>
      <c r="EE360515">
        <v>8.15</v>
      </c>
      <c r="EF360515">
        <v>8.15</v>
      </c>
      <c r="EG360515">
        <v>8.15</v>
      </c>
      <c r="EH360515">
        <v>8.15</v>
      </c>
      <c r="EI360515">
        <v>8.15</v>
      </c>
      <c r="EJ360515">
        <v>8.15</v>
      </c>
      <c r="EK360515">
        <v>8.15</v>
      </c>
      <c r="EL360515">
        <v>0.66</v>
      </c>
      <c r="EM360515">
        <v>0.66</v>
      </c>
      <c r="EN360515">
        <v>0.66</v>
      </c>
      <c r="EO360515">
        <v>0.66</v>
      </c>
      <c r="EP360515">
        <v>0.66</v>
      </c>
    </row>
    <row r="360516" spans="2:146">
      <c r="B360516" t="s">
        <v>265</v>
      </c>
      <c r="BQ360516" t="s">
        <v>345</v>
      </c>
      <c r="BR360516" t="s">
        <v>131</v>
      </c>
      <c r="BS360516" t="s">
        <v>131</v>
      </c>
      <c r="BT360516" t="s">
        <v>357</v>
      </c>
      <c r="BU360516" t="s">
        <v>131</v>
      </c>
      <c r="BV360516" t="s">
        <v>360</v>
      </c>
      <c r="BW360516" t="s">
        <v>360</v>
      </c>
      <c r="BX360516" t="s">
        <v>360</v>
      </c>
      <c r="BY360516" t="s">
        <v>364</v>
      </c>
      <c r="BZ360516" t="s">
        <v>364</v>
      </c>
      <c r="CA360516" t="s">
        <v>364</v>
      </c>
      <c r="CB360516" t="s">
        <v>368</v>
      </c>
      <c r="CC360516" t="s">
        <v>368</v>
      </c>
      <c r="CD360516" t="s">
        <v>368</v>
      </c>
      <c r="CE360516" t="s">
        <v>352</v>
      </c>
      <c r="CF360516" t="s">
        <v>352</v>
      </c>
      <c r="CG360516" t="s">
        <v>372</v>
      </c>
      <c r="CH360516" t="s">
        <v>372</v>
      </c>
      <c r="CI360516" t="s">
        <v>375</v>
      </c>
      <c r="CJ360516" t="s">
        <v>375</v>
      </c>
      <c r="CK360516" t="s">
        <v>375</v>
      </c>
      <c r="CL360516" t="s">
        <v>379</v>
      </c>
      <c r="CM360516" t="s">
        <v>379</v>
      </c>
      <c r="CN360516" t="s">
        <v>379</v>
      </c>
      <c r="CO360516" t="s">
        <v>383</v>
      </c>
      <c r="CP360516" t="s">
        <v>383</v>
      </c>
      <c r="CQ360516" t="s">
        <v>383</v>
      </c>
      <c r="CR360516" t="s">
        <v>383</v>
      </c>
      <c r="CS360516" t="s">
        <v>383</v>
      </c>
      <c r="CT360516" t="s">
        <v>389</v>
      </c>
      <c r="CU360516" t="s">
        <v>389</v>
      </c>
      <c r="CV360516" t="s">
        <v>389</v>
      </c>
      <c r="CW360516" t="s">
        <v>393</v>
      </c>
      <c r="CX360516" t="s">
        <v>393</v>
      </c>
      <c r="CY360516" t="s">
        <v>396</v>
      </c>
      <c r="CZ360516" t="s">
        <v>396</v>
      </c>
      <c r="DA360516" t="s">
        <v>396</v>
      </c>
      <c r="DB360516" t="s">
        <v>400</v>
      </c>
      <c r="DC360516" t="s">
        <v>400</v>
      </c>
      <c r="DD360516" t="s">
        <v>400</v>
      </c>
      <c r="DE360516" t="s">
        <v>400</v>
      </c>
      <c r="DF360516" t="s">
        <v>400</v>
      </c>
      <c r="DG360516" t="s">
        <v>400</v>
      </c>
      <c r="DH360516" t="s">
        <v>400</v>
      </c>
      <c r="DI360516" t="s">
        <v>121</v>
      </c>
      <c r="DJ360516" t="s">
        <v>121</v>
      </c>
      <c r="DK360516" t="s">
        <v>121</v>
      </c>
      <c r="DL360516" t="s">
        <v>121</v>
      </c>
      <c r="DM360516" t="s">
        <v>121</v>
      </c>
      <c r="DN360516" t="s">
        <v>121</v>
      </c>
      <c r="DO360516" t="s">
        <v>121</v>
      </c>
      <c r="DP360516" t="s">
        <v>121</v>
      </c>
      <c r="DQ360516" t="s">
        <v>121</v>
      </c>
      <c r="DR360516" t="s">
        <v>121</v>
      </c>
      <c r="DS360516" t="s">
        <v>121</v>
      </c>
      <c r="DT360516" t="s">
        <v>121</v>
      </c>
      <c r="DU360516" t="s">
        <v>121</v>
      </c>
      <c r="DV360516" t="s">
        <v>121</v>
      </c>
      <c r="DW360516" t="s">
        <v>121</v>
      </c>
      <c r="DX360516" t="s">
        <v>423</v>
      </c>
      <c r="DY360516" t="s">
        <v>423</v>
      </c>
      <c r="DZ360516" t="s">
        <v>426</v>
      </c>
      <c r="EA360516" t="s">
        <v>426</v>
      </c>
      <c r="EB360516" t="s">
        <v>426</v>
      </c>
      <c r="EC360516" t="s">
        <v>426</v>
      </c>
      <c r="ED360516" t="s">
        <v>426</v>
      </c>
      <c r="EE360516" t="s">
        <v>432</v>
      </c>
      <c r="EF360516" t="s">
        <v>432</v>
      </c>
      <c r="EG360516" t="s">
        <v>432</v>
      </c>
      <c r="EH360516" t="s">
        <v>432</v>
      </c>
      <c r="EI360516" t="s">
        <v>432</v>
      </c>
      <c r="EJ360516" t="s">
        <v>432</v>
      </c>
      <c r="EK360516" t="s">
        <v>432</v>
      </c>
      <c r="EL360516" t="s">
        <v>440</v>
      </c>
      <c r="EM360516" t="s">
        <v>440</v>
      </c>
      <c r="EN360516" t="s">
        <v>440</v>
      </c>
      <c r="EO360516" t="s">
        <v>440</v>
      </c>
      <c r="EP360516" t="s">
        <v>440</v>
      </c>
    </row>
    <row r="360517" spans="2:146">
      <c r="BQ360517" t="s">
        <v>351</v>
      </c>
      <c r="BR360517" t="s">
        <v>355</v>
      </c>
      <c r="BS360517" t="s">
        <v>356</v>
      </c>
      <c r="BT360517" t="s">
        <v>358</v>
      </c>
      <c r="BU360517" t="s">
        <v>359</v>
      </c>
      <c r="BV360517" t="s">
        <v>361</v>
      </c>
      <c r="BW360517" t="s">
        <v>362</v>
      </c>
      <c r="BX360517" t="s">
        <v>363</v>
      </c>
      <c r="BY360517" t="s">
        <v>365</v>
      </c>
      <c r="BZ360517" t="s">
        <v>366</v>
      </c>
      <c r="CA360517" t="s">
        <v>367</v>
      </c>
      <c r="CB360517" t="s">
        <v>369</v>
      </c>
      <c r="CC360517" t="s">
        <v>370</v>
      </c>
      <c r="CD360517" t="s">
        <v>371</v>
      </c>
      <c r="CE360517" t="s">
        <v>353</v>
      </c>
      <c r="CF360517" t="s">
        <v>354</v>
      </c>
      <c r="CG360517" t="s">
        <v>373</v>
      </c>
      <c r="CH360517" t="s">
        <v>374</v>
      </c>
      <c r="CI360517" t="s">
        <v>376</v>
      </c>
      <c r="CJ360517" t="s">
        <v>377</v>
      </c>
      <c r="CK360517" t="s">
        <v>378</v>
      </c>
      <c r="CL360517" t="s">
        <v>380</v>
      </c>
      <c r="CM360517" t="s">
        <v>381</v>
      </c>
      <c r="CN360517" t="s">
        <v>382</v>
      </c>
      <c r="CO360517" t="s">
        <v>384</v>
      </c>
      <c r="CP360517" t="s">
        <v>385</v>
      </c>
      <c r="CQ360517" t="s">
        <v>386</v>
      </c>
      <c r="CR360517" t="s">
        <v>387</v>
      </c>
      <c r="CS360517" t="s">
        <v>388</v>
      </c>
      <c r="CT360517" t="s">
        <v>390</v>
      </c>
      <c r="CU360517" t="s">
        <v>391</v>
      </c>
      <c r="CV360517" t="s">
        <v>392</v>
      </c>
      <c r="CW360517" t="s">
        <v>394</v>
      </c>
      <c r="CX360517" t="s">
        <v>395</v>
      </c>
      <c r="CY360517" t="s">
        <v>397</v>
      </c>
      <c r="CZ360517" t="s">
        <v>398</v>
      </c>
      <c r="DA360517" t="s">
        <v>399</v>
      </c>
      <c r="DB360517" t="s">
        <v>401</v>
      </c>
      <c r="DC360517" t="s">
        <v>402</v>
      </c>
      <c r="DD360517" t="s">
        <v>403</v>
      </c>
      <c r="DE360517" t="s">
        <v>404</v>
      </c>
      <c r="DF360517" t="s">
        <v>405</v>
      </c>
      <c r="DG360517" t="s">
        <v>406</v>
      </c>
      <c r="DH360517" t="s">
        <v>407</v>
      </c>
      <c r="DI360517" t="s">
        <v>408</v>
      </c>
      <c r="DJ360517" t="s">
        <v>409</v>
      </c>
      <c r="DK360517" t="s">
        <v>410</v>
      </c>
      <c r="DL360517" t="s">
        <v>411</v>
      </c>
      <c r="DM360517" t="s">
        <v>412</v>
      </c>
      <c r="DN360517" t="s">
        <v>413</v>
      </c>
      <c r="DO360517" t="s">
        <v>414</v>
      </c>
      <c r="DP360517" t="s">
        <v>415</v>
      </c>
      <c r="DQ360517" t="s">
        <v>416</v>
      </c>
      <c r="DR360517" t="s">
        <v>417</v>
      </c>
      <c r="DS360517" t="s">
        <v>418</v>
      </c>
      <c r="DT360517" t="s">
        <v>419</v>
      </c>
      <c r="DU360517" t="s">
        <v>420</v>
      </c>
      <c r="DV360517" t="s">
        <v>421</v>
      </c>
      <c r="DW360517" t="s">
        <v>422</v>
      </c>
      <c r="DX360517" t="s">
        <v>424</v>
      </c>
      <c r="DY360517" t="s">
        <v>425</v>
      </c>
      <c r="DZ360517" t="s">
        <v>427</v>
      </c>
      <c r="EA360517" t="s">
        <v>428</v>
      </c>
      <c r="EB360517" t="s">
        <v>429</v>
      </c>
      <c r="EC360517" t="s">
        <v>430</v>
      </c>
      <c r="ED360517" t="s">
        <v>431</v>
      </c>
      <c r="EE360517" t="s">
        <v>433</v>
      </c>
      <c r="EF360517" t="s">
        <v>434</v>
      </c>
      <c r="EG360517" t="s">
        <v>435</v>
      </c>
      <c r="EH360517" t="s">
        <v>436</v>
      </c>
      <c r="EI360517" t="s">
        <v>437</v>
      </c>
      <c r="EJ360517" t="s">
        <v>438</v>
      </c>
      <c r="EK360517" t="s">
        <v>439</v>
      </c>
      <c r="EL360517" t="s">
        <v>441</v>
      </c>
      <c r="EM360517" t="s">
        <v>442</v>
      </c>
      <c r="EN360517" t="s">
        <v>443</v>
      </c>
      <c r="EO360517" t="s">
        <v>444</v>
      </c>
      <c r="EP360517" t="s">
        <v>445</v>
      </c>
    </row>
    <row r="360518" spans="2:146">
      <c r="BQ360518">
        <v>67</v>
      </c>
      <c r="BR360518">
        <v>68</v>
      </c>
      <c r="BS360518">
        <v>69</v>
      </c>
      <c r="BT360518">
        <v>70</v>
      </c>
      <c r="BU360518">
        <v>71</v>
      </c>
      <c r="BV360518">
        <v>72</v>
      </c>
      <c r="BW360518">
        <v>73</v>
      </c>
      <c r="BX360518">
        <v>74</v>
      </c>
      <c r="BY360518">
        <v>75</v>
      </c>
      <c r="BZ360518">
        <v>76</v>
      </c>
      <c r="CA360518">
        <v>77</v>
      </c>
      <c r="CB360518">
        <v>78</v>
      </c>
      <c r="CC360518">
        <v>79</v>
      </c>
      <c r="CD360518">
        <v>80</v>
      </c>
      <c r="CE360518">
        <v>81</v>
      </c>
      <c r="CF360518">
        <v>82</v>
      </c>
      <c r="CG360518">
        <v>83</v>
      </c>
      <c r="CH360518">
        <v>84</v>
      </c>
      <c r="CI360518">
        <v>85</v>
      </c>
      <c r="CJ360518">
        <v>86</v>
      </c>
      <c r="CK360518">
        <v>87</v>
      </c>
      <c r="CL360518">
        <v>88</v>
      </c>
      <c r="CM360518">
        <v>89</v>
      </c>
      <c r="CN360518">
        <v>90</v>
      </c>
      <c r="CO360518">
        <v>91</v>
      </c>
      <c r="CP360518">
        <v>92</v>
      </c>
      <c r="CQ360518">
        <v>93</v>
      </c>
      <c r="CR360518">
        <v>94</v>
      </c>
      <c r="CS360518">
        <v>95</v>
      </c>
      <c r="CT360518">
        <v>96</v>
      </c>
      <c r="CU360518">
        <v>97</v>
      </c>
      <c r="CV360518">
        <v>98</v>
      </c>
      <c r="CW360518">
        <v>99</v>
      </c>
      <c r="CX360518">
        <v>100</v>
      </c>
      <c r="CY360518">
        <v>101</v>
      </c>
      <c r="CZ360518">
        <v>102</v>
      </c>
      <c r="DA360518">
        <v>103</v>
      </c>
      <c r="DB360518">
        <v>104</v>
      </c>
      <c r="DC360518">
        <v>105</v>
      </c>
      <c r="DD360518">
        <v>106</v>
      </c>
      <c r="DE360518">
        <v>107</v>
      </c>
      <c r="DF360518">
        <v>108</v>
      </c>
      <c r="DG360518">
        <v>109</v>
      </c>
      <c r="DH360518">
        <v>110</v>
      </c>
      <c r="DI360518">
        <v>111</v>
      </c>
      <c r="DJ360518">
        <v>112</v>
      </c>
      <c r="DK360518">
        <v>113</v>
      </c>
      <c r="DL360518">
        <v>114</v>
      </c>
      <c r="DM360518">
        <v>115</v>
      </c>
      <c r="DN360518">
        <v>116</v>
      </c>
      <c r="DO360518">
        <v>117</v>
      </c>
      <c r="DP360518">
        <v>118</v>
      </c>
      <c r="DQ360518">
        <v>119</v>
      </c>
      <c r="DR360518">
        <v>120</v>
      </c>
      <c r="DS360518">
        <v>121</v>
      </c>
      <c r="DT360518">
        <v>122</v>
      </c>
      <c r="DU360518">
        <v>123</v>
      </c>
      <c r="DV360518">
        <v>124</v>
      </c>
      <c r="DW360518">
        <v>125</v>
      </c>
      <c r="DX360518">
        <v>126</v>
      </c>
      <c r="DY360518">
        <v>127</v>
      </c>
      <c r="DZ360518">
        <v>128</v>
      </c>
      <c r="EA360518">
        <v>129</v>
      </c>
      <c r="EB360518">
        <v>130</v>
      </c>
      <c r="EC360518">
        <v>131</v>
      </c>
      <c r="ED360518">
        <v>132</v>
      </c>
      <c r="EE360518">
        <v>133</v>
      </c>
      <c r="EF360518">
        <v>134</v>
      </c>
      <c r="EG360518">
        <v>135</v>
      </c>
      <c r="EH360518">
        <v>136</v>
      </c>
      <c r="EI360518">
        <v>137</v>
      </c>
      <c r="EJ360518">
        <v>138</v>
      </c>
      <c r="EK360518">
        <v>139</v>
      </c>
      <c r="EL360518">
        <v>140</v>
      </c>
      <c r="EM360518">
        <v>141</v>
      </c>
      <c r="EN360518">
        <v>142</v>
      </c>
      <c r="EO360518">
        <v>143</v>
      </c>
      <c r="EP360518">
        <v>144</v>
      </c>
    </row>
    <row r="360519" spans="2:146">
      <c r="CE360519" t="s">
        <v>451</v>
      </c>
    </row>
    <row r="376834" spans="2:2">
      <c r="B376834">
        <v>200</v>
      </c>
    </row>
    <row r="376835" spans="2:2">
      <c r="B376835">
        <v>200</v>
      </c>
    </row>
    <row r="376836" spans="2:2">
      <c r="B376836">
        <v>800</v>
      </c>
    </row>
    <row r="376837" spans="2:2">
      <c r="B376837">
        <v>200</v>
      </c>
    </row>
    <row r="376838" spans="2:2">
      <c r="B376838">
        <v>1044</v>
      </c>
    </row>
    <row r="376839" spans="2:2">
      <c r="B376839">
        <v>998.40000000000009</v>
      </c>
    </row>
    <row r="376840" spans="2:2">
      <c r="B376840">
        <v>272</v>
      </c>
    </row>
    <row r="376841" spans="2:2">
      <c r="B376841">
        <v>200</v>
      </c>
    </row>
    <row r="376842" spans="2:2">
      <c r="B376842">
        <v>214</v>
      </c>
    </row>
    <row r="376843" spans="2:2">
      <c r="B376843">
        <v>200</v>
      </c>
    </row>
    <row r="376844" spans="2:2">
      <c r="B376844">
        <v>152</v>
      </c>
    </row>
    <row r="376845" spans="2:2">
      <c r="B376845">
        <v>200</v>
      </c>
    </row>
    <row r="376846" spans="2:2">
      <c r="B376846">
        <v>300</v>
      </c>
    </row>
    <row r="376847" spans="2:2">
      <c r="B376847">
        <v>104</v>
      </c>
    </row>
    <row r="376848" spans="2:2">
      <c r="B376848">
        <v>162</v>
      </c>
    </row>
    <row r="376849" spans="2:2">
      <c r="B376849">
        <v>200</v>
      </c>
    </row>
    <row r="376850" spans="2:2">
      <c r="B376850">
        <v>200</v>
      </c>
    </row>
    <row r="376851" spans="2:2">
      <c r="B376851">
        <v>200</v>
      </c>
    </row>
    <row r="376852" spans="2:2">
      <c r="B376852">
        <v>200</v>
      </c>
    </row>
    <row r="376853" spans="2:2">
      <c r="B376853">
        <v>200</v>
      </c>
    </row>
    <row r="376854" spans="2:2">
      <c r="B376854">
        <v>200</v>
      </c>
    </row>
    <row r="376855" spans="2:2">
      <c r="B376855">
        <v>200</v>
      </c>
    </row>
    <row r="376856" spans="2:2">
      <c r="B376856">
        <v>200</v>
      </c>
    </row>
    <row r="376857" spans="2:2">
      <c r="B376857">
        <v>800</v>
      </c>
    </row>
    <row r="376858" spans="2:2">
      <c r="B376858">
        <v>300</v>
      </c>
    </row>
    <row r="376859" spans="2:2">
      <c r="B376859">
        <v>778</v>
      </c>
    </row>
    <row r="376860" spans="2:2">
      <c r="B376860">
        <v>614</v>
      </c>
    </row>
    <row r="376861" spans="2:2">
      <c r="B376861">
        <v>444</v>
      </c>
    </row>
    <row r="376862" spans="2:2">
      <c r="B376862">
        <v>800</v>
      </c>
    </row>
    <row r="376863" spans="2:2">
      <c r="B376863">
        <v>200</v>
      </c>
    </row>
    <row r="376864" spans="2:2">
      <c r="B376864">
        <v>780</v>
      </c>
    </row>
    <row r="376865" spans="2:146">
      <c r="B376865">
        <v>174</v>
      </c>
    </row>
    <row r="376866" spans="2:146">
      <c r="B376866">
        <v>194</v>
      </c>
    </row>
    <row r="376867" spans="2:146">
      <c r="B376867">
        <v>782</v>
      </c>
    </row>
    <row r="376868" spans="2:146">
      <c r="B376868">
        <v>236</v>
      </c>
    </row>
    <row r="376869" spans="2:146">
      <c r="B376869">
        <v>144</v>
      </c>
    </row>
    <row r="376870" spans="2:146">
      <c r="B376870">
        <v>200</v>
      </c>
    </row>
    <row r="376871" spans="2:146">
      <c r="B376871">
        <v>240</v>
      </c>
    </row>
    <row r="376872" spans="2:146">
      <c r="B376872">
        <v>200</v>
      </c>
    </row>
    <row r="376873" spans="2:146">
      <c r="B376873">
        <v>612</v>
      </c>
    </row>
    <row r="376874" spans="2:146">
      <c r="B376874">
        <v>156</v>
      </c>
    </row>
    <row r="376875" spans="2:146">
      <c r="B376875">
        <v>116</v>
      </c>
    </row>
    <row r="376876" spans="2:146">
      <c r="B376876">
        <v>160</v>
      </c>
    </row>
    <row r="376877" spans="2:146">
      <c r="B376877">
        <v>80</v>
      </c>
      <c r="EL376877">
        <v>0.66</v>
      </c>
      <c r="EM376877">
        <v>0.66</v>
      </c>
      <c r="EN376877">
        <v>0.66</v>
      </c>
      <c r="EO376877">
        <v>0.66</v>
      </c>
      <c r="EP376877">
        <v>0.66</v>
      </c>
    </row>
    <row r="376878" spans="2:146">
      <c r="B376878">
        <v>1144</v>
      </c>
      <c r="BV376878">
        <v>5.0999999999999996</v>
      </c>
      <c r="BW376878">
        <v>5.0999999999999996</v>
      </c>
      <c r="DB376878">
        <v>10.210000000000001</v>
      </c>
      <c r="DC376878">
        <v>10.210000000000001</v>
      </c>
      <c r="DD376878">
        <v>10.210000000000001</v>
      </c>
      <c r="DE376878">
        <v>10.210000000000001</v>
      </c>
      <c r="DF376878">
        <v>10.210000000000001</v>
      </c>
      <c r="DG376878">
        <v>10.210000000000001</v>
      </c>
      <c r="DH376878">
        <v>10.210000000000001</v>
      </c>
    </row>
    <row r="376879" spans="2:146">
      <c r="B376879">
        <v>1240</v>
      </c>
      <c r="EE376879">
        <v>8.15</v>
      </c>
      <c r="EF376879">
        <v>8.15</v>
      </c>
      <c r="EG376879">
        <v>8.15</v>
      </c>
      <c r="EH376879">
        <v>8.15</v>
      </c>
      <c r="EI376879">
        <v>8.15</v>
      </c>
      <c r="EJ376879">
        <v>8.15</v>
      </c>
      <c r="EK376879">
        <v>8.15</v>
      </c>
    </row>
    <row r="376880" spans="2:146">
      <c r="B376880">
        <v>2083.2000000000003</v>
      </c>
      <c r="DI376880">
        <v>20.03</v>
      </c>
      <c r="DJ376880">
        <v>20.03</v>
      </c>
      <c r="DQ376880">
        <v>20.03</v>
      </c>
      <c r="DT376880">
        <v>20.03</v>
      </c>
      <c r="DW376880">
        <v>20.03</v>
      </c>
    </row>
    <row r="376881" spans="2:134">
      <c r="B376881">
        <v>357.20000000000005</v>
      </c>
      <c r="DI376881">
        <v>3.88</v>
      </c>
      <c r="DJ376881">
        <v>3.88</v>
      </c>
      <c r="DV376881">
        <v>3.88</v>
      </c>
      <c r="DW376881">
        <v>3.88</v>
      </c>
    </row>
    <row r="376882" spans="2:134">
      <c r="B376882">
        <v>391.20000000000005</v>
      </c>
      <c r="DI376882">
        <v>3.62</v>
      </c>
      <c r="DJ376882">
        <v>3.62</v>
      </c>
      <c r="DR376882">
        <v>3.62</v>
      </c>
      <c r="DU376882">
        <v>3.62</v>
      </c>
      <c r="DV376882">
        <v>3.62</v>
      </c>
    </row>
    <row r="376883" spans="2:134">
      <c r="B376883">
        <v>762.80000000000007</v>
      </c>
      <c r="DI376883">
        <v>6.15</v>
      </c>
      <c r="DJ376883">
        <v>6.15</v>
      </c>
      <c r="DQ376883">
        <v>6.15</v>
      </c>
      <c r="DR376883">
        <v>6.15</v>
      </c>
      <c r="DS376883">
        <v>6.15</v>
      </c>
      <c r="DT376883">
        <v>6.15</v>
      </c>
    </row>
    <row r="376884" spans="2:134">
      <c r="B376884">
        <v>1280</v>
      </c>
      <c r="DI376884">
        <v>10.66</v>
      </c>
      <c r="DJ376884">
        <v>10.66</v>
      </c>
      <c r="DK376884">
        <v>10.66</v>
      </c>
      <c r="DL376884">
        <v>10.66</v>
      </c>
      <c r="DM376884">
        <v>10.66</v>
      </c>
      <c r="DN376884">
        <v>10.66</v>
      </c>
    </row>
    <row r="376885" spans="2:134">
      <c r="B376885">
        <v>234</v>
      </c>
      <c r="CT376885">
        <v>2.5</v>
      </c>
      <c r="CU376885">
        <v>2.5</v>
      </c>
      <c r="CV376885">
        <v>2.5</v>
      </c>
    </row>
    <row r="376886" spans="2:134">
      <c r="B376886">
        <v>354</v>
      </c>
      <c r="CY376886">
        <v>3.98</v>
      </c>
      <c r="CZ376886">
        <v>3.98</v>
      </c>
      <c r="DA376886">
        <v>3.98</v>
      </c>
    </row>
    <row r="376887" spans="2:134">
      <c r="B376887">
        <v>392</v>
      </c>
      <c r="DI376887">
        <v>3.52</v>
      </c>
      <c r="DJ376887">
        <v>3.52</v>
      </c>
      <c r="DL376887">
        <v>3.52</v>
      </c>
      <c r="DO376887">
        <v>3.52</v>
      </c>
    </row>
    <row r="376888" spans="2:134">
      <c r="B376888">
        <v>304</v>
      </c>
      <c r="CE376888">
        <v>3.8</v>
      </c>
      <c r="CF376888">
        <v>3.8</v>
      </c>
    </row>
    <row r="376889" spans="2:134">
      <c r="B376889">
        <v>144</v>
      </c>
      <c r="DZ376889">
        <v>1.62</v>
      </c>
      <c r="EA376889">
        <v>1.62</v>
      </c>
      <c r="EB376889">
        <v>1.62</v>
      </c>
      <c r="EC376889">
        <v>0.81</v>
      </c>
      <c r="ED376889">
        <v>0.81</v>
      </c>
    </row>
    <row r="376890" spans="2:134">
      <c r="B376890">
        <v>602.40000000000009</v>
      </c>
      <c r="BY376890">
        <v>6.02</v>
      </c>
      <c r="BZ376890">
        <v>6.02</v>
      </c>
      <c r="CB376890">
        <v>3.01</v>
      </c>
      <c r="CC376890">
        <v>3.01</v>
      </c>
      <c r="CD376890">
        <v>3.01</v>
      </c>
      <c r="CI376890">
        <v>6.02</v>
      </c>
      <c r="CJ376890">
        <v>6.02</v>
      </c>
      <c r="CK376890">
        <v>6.02</v>
      </c>
    </row>
    <row r="376891" spans="2:134">
      <c r="B376891">
        <v>307.60000000000002</v>
      </c>
      <c r="BY376891">
        <v>3.34</v>
      </c>
      <c r="BZ376891">
        <v>3.34</v>
      </c>
      <c r="CG376891">
        <v>3.34</v>
      </c>
      <c r="CH376891">
        <v>3.34</v>
      </c>
    </row>
    <row r="376892" spans="2:134">
      <c r="B376892">
        <v>358</v>
      </c>
      <c r="BY376892">
        <v>2.37</v>
      </c>
      <c r="BZ376892">
        <v>2.37</v>
      </c>
      <c r="CA376892">
        <v>2.37</v>
      </c>
      <c r="DX376892">
        <v>4.74</v>
      </c>
      <c r="DY376892">
        <v>4.74</v>
      </c>
    </row>
    <row r="376893" spans="2:134">
      <c r="B376893">
        <v>286</v>
      </c>
      <c r="BT376893">
        <v>1.43</v>
      </c>
      <c r="BV376893">
        <v>1.43</v>
      </c>
      <c r="BW376893">
        <v>1.43</v>
      </c>
      <c r="BX376893">
        <v>1.43</v>
      </c>
      <c r="CO376893">
        <v>2.86</v>
      </c>
      <c r="CP376893">
        <v>2.86</v>
      </c>
      <c r="CQ376893">
        <v>2.86</v>
      </c>
      <c r="CR376893">
        <v>2.86</v>
      </c>
      <c r="CS376893">
        <v>2.86</v>
      </c>
    </row>
    <row r="376894" spans="2:134">
      <c r="B376894">
        <v>410</v>
      </c>
      <c r="BY376894">
        <v>2.88</v>
      </c>
      <c r="BZ376894">
        <v>2.88</v>
      </c>
      <c r="CA376894">
        <v>2.88</v>
      </c>
      <c r="CW376894">
        <v>5.76</v>
      </c>
      <c r="CX376894">
        <v>5.76</v>
      </c>
    </row>
    <row r="376895" spans="2:134">
      <c r="B376895">
        <v>346</v>
      </c>
      <c r="BR376895">
        <v>3.6</v>
      </c>
      <c r="BS376895">
        <v>3.6</v>
      </c>
      <c r="BT376895">
        <v>1.8</v>
      </c>
      <c r="CL376895">
        <v>3.6</v>
      </c>
      <c r="CM376895">
        <v>3.6</v>
      </c>
      <c r="CN376895">
        <v>3.6</v>
      </c>
    </row>
    <row r="376896" spans="2:134">
      <c r="B376896">
        <v>302</v>
      </c>
      <c r="BR376896">
        <v>3.28</v>
      </c>
      <c r="BS376896">
        <v>3.28</v>
      </c>
      <c r="BT376896">
        <v>1.64</v>
      </c>
      <c r="BU376896">
        <v>1.64</v>
      </c>
      <c r="CL376896">
        <v>3.28</v>
      </c>
      <c r="CM376896">
        <v>3.28</v>
      </c>
      <c r="CN376896">
        <v>3.28</v>
      </c>
    </row>
    <row r="376897" spans="2:146">
      <c r="B376897">
        <v>204</v>
      </c>
      <c r="BR376897">
        <v>2.12</v>
      </c>
      <c r="BS376897">
        <v>2.12</v>
      </c>
      <c r="BT376897">
        <v>1.06</v>
      </c>
      <c r="CL376897">
        <v>2.12</v>
      </c>
      <c r="CM376897">
        <v>2.12</v>
      </c>
      <c r="CN376897">
        <v>2.12</v>
      </c>
    </row>
    <row r="376899" spans="2:146">
      <c r="B376899">
        <v>26358.800000000003</v>
      </c>
      <c r="BQ376899">
        <v>0</v>
      </c>
      <c r="BR376899">
        <v>9</v>
      </c>
      <c r="BS376899">
        <v>9</v>
      </c>
      <c r="BT376899">
        <v>5.93</v>
      </c>
      <c r="BU376899">
        <v>1.64</v>
      </c>
      <c r="BV376899">
        <v>6.5299999999999994</v>
      </c>
      <c r="BW376899">
        <v>6.5299999999999994</v>
      </c>
      <c r="BX376899">
        <v>1.43</v>
      </c>
      <c r="BY376899">
        <v>14.61</v>
      </c>
      <c r="BZ376899">
        <v>14.61</v>
      </c>
      <c r="CA376899">
        <v>5.25</v>
      </c>
      <c r="CB376899">
        <v>3.01</v>
      </c>
      <c r="CC376899">
        <v>3.01</v>
      </c>
      <c r="CD376899">
        <v>3.01</v>
      </c>
      <c r="CE376899">
        <v>3.8</v>
      </c>
      <c r="CF376899">
        <v>3.8</v>
      </c>
      <c r="CG376899">
        <v>3.34</v>
      </c>
      <c r="CH376899">
        <v>3.34</v>
      </c>
      <c r="CI376899">
        <v>6.02</v>
      </c>
      <c r="CJ376899">
        <v>6.02</v>
      </c>
      <c r="CK376899">
        <v>6.02</v>
      </c>
      <c r="CL376899">
        <v>9</v>
      </c>
      <c r="CM376899">
        <v>9</v>
      </c>
      <c r="CN376899">
        <v>9</v>
      </c>
      <c r="CO376899">
        <v>2.86</v>
      </c>
      <c r="CP376899">
        <v>2.86</v>
      </c>
      <c r="CQ376899">
        <v>2.86</v>
      </c>
      <c r="CR376899">
        <v>2.86</v>
      </c>
      <c r="CS376899">
        <v>2.86</v>
      </c>
      <c r="CT376899">
        <v>2.5</v>
      </c>
      <c r="CU376899">
        <v>2.5</v>
      </c>
      <c r="CV376899">
        <v>2.5</v>
      </c>
      <c r="CW376899">
        <v>5.76</v>
      </c>
      <c r="CX376899">
        <v>5.76</v>
      </c>
      <c r="CY376899">
        <v>3.98</v>
      </c>
      <c r="CZ376899">
        <v>3.98</v>
      </c>
      <c r="DA376899">
        <v>3.98</v>
      </c>
      <c r="DB376899">
        <v>10.210000000000001</v>
      </c>
      <c r="DC376899">
        <v>10.210000000000001</v>
      </c>
      <c r="DD376899">
        <v>10.210000000000001</v>
      </c>
      <c r="DE376899">
        <v>10.210000000000001</v>
      </c>
      <c r="DF376899">
        <v>10.210000000000001</v>
      </c>
      <c r="DG376899">
        <v>10.210000000000001</v>
      </c>
      <c r="DH376899">
        <v>10.210000000000001</v>
      </c>
      <c r="DI376899">
        <v>47.860000000000007</v>
      </c>
      <c r="DJ376899">
        <v>47.860000000000007</v>
      </c>
      <c r="DK376899">
        <v>10.66</v>
      </c>
      <c r="DL376899">
        <v>14.18</v>
      </c>
      <c r="DM376899">
        <v>10.66</v>
      </c>
      <c r="DN376899">
        <v>10.66</v>
      </c>
      <c r="DO376899">
        <v>3.52</v>
      </c>
      <c r="DP376899">
        <v>0</v>
      </c>
      <c r="DQ376899">
        <v>26.18</v>
      </c>
      <c r="DR376899">
        <v>9.77</v>
      </c>
      <c r="DS376899">
        <v>6.15</v>
      </c>
      <c r="DT376899">
        <v>26.18</v>
      </c>
      <c r="DU376899">
        <v>3.62</v>
      </c>
      <c r="DV376899">
        <v>7.5</v>
      </c>
      <c r="DW376899">
        <v>23.91</v>
      </c>
      <c r="DX376899">
        <v>4.74</v>
      </c>
      <c r="DY376899">
        <v>4.74</v>
      </c>
      <c r="DZ376899">
        <v>1.62</v>
      </c>
      <c r="EA376899">
        <v>1.62</v>
      </c>
      <c r="EB376899">
        <v>1.62</v>
      </c>
      <c r="EC376899">
        <v>0.81</v>
      </c>
      <c r="ED376899">
        <v>0.81</v>
      </c>
      <c r="EE376899">
        <v>8.15</v>
      </c>
      <c r="EF376899">
        <v>8.15</v>
      </c>
      <c r="EG376899">
        <v>8.15</v>
      </c>
      <c r="EH376899">
        <v>8.15</v>
      </c>
      <c r="EI376899">
        <v>8.15</v>
      </c>
      <c r="EJ376899">
        <v>8.15</v>
      </c>
      <c r="EK376899">
        <v>8.15</v>
      </c>
      <c r="EL376899">
        <v>0.66</v>
      </c>
      <c r="EM376899">
        <v>0.66</v>
      </c>
      <c r="EN376899">
        <v>0.66</v>
      </c>
      <c r="EO376899">
        <v>0.66</v>
      </c>
      <c r="EP376899">
        <v>0.66</v>
      </c>
    </row>
    <row r="376900" spans="2:146">
      <c r="B376900" t="s">
        <v>265</v>
      </c>
      <c r="BQ376900" t="s">
        <v>345</v>
      </c>
      <c r="BR376900" t="s">
        <v>131</v>
      </c>
      <c r="BS376900" t="s">
        <v>131</v>
      </c>
      <c r="BT376900" t="s">
        <v>357</v>
      </c>
      <c r="BU376900" t="s">
        <v>131</v>
      </c>
      <c r="BV376900" t="s">
        <v>360</v>
      </c>
      <c r="BW376900" t="s">
        <v>360</v>
      </c>
      <c r="BX376900" t="s">
        <v>360</v>
      </c>
      <c r="BY376900" t="s">
        <v>364</v>
      </c>
      <c r="BZ376900" t="s">
        <v>364</v>
      </c>
      <c r="CA376900" t="s">
        <v>364</v>
      </c>
      <c r="CB376900" t="s">
        <v>368</v>
      </c>
      <c r="CC376900" t="s">
        <v>368</v>
      </c>
      <c r="CD376900" t="s">
        <v>368</v>
      </c>
      <c r="CE376900" t="s">
        <v>352</v>
      </c>
      <c r="CF376900" t="s">
        <v>352</v>
      </c>
      <c r="CG376900" t="s">
        <v>372</v>
      </c>
      <c r="CH376900" t="s">
        <v>372</v>
      </c>
      <c r="CI376900" t="s">
        <v>375</v>
      </c>
      <c r="CJ376900" t="s">
        <v>375</v>
      </c>
      <c r="CK376900" t="s">
        <v>375</v>
      </c>
      <c r="CL376900" t="s">
        <v>379</v>
      </c>
      <c r="CM376900" t="s">
        <v>379</v>
      </c>
      <c r="CN376900" t="s">
        <v>379</v>
      </c>
      <c r="CO376900" t="s">
        <v>383</v>
      </c>
      <c r="CP376900" t="s">
        <v>383</v>
      </c>
      <c r="CQ376900" t="s">
        <v>383</v>
      </c>
      <c r="CR376900" t="s">
        <v>383</v>
      </c>
      <c r="CS376900" t="s">
        <v>383</v>
      </c>
      <c r="CT376900" t="s">
        <v>389</v>
      </c>
      <c r="CU376900" t="s">
        <v>389</v>
      </c>
      <c r="CV376900" t="s">
        <v>389</v>
      </c>
      <c r="CW376900" t="s">
        <v>393</v>
      </c>
      <c r="CX376900" t="s">
        <v>393</v>
      </c>
      <c r="CY376900" t="s">
        <v>396</v>
      </c>
      <c r="CZ376900" t="s">
        <v>396</v>
      </c>
      <c r="DA376900" t="s">
        <v>396</v>
      </c>
      <c r="DB376900" t="s">
        <v>400</v>
      </c>
      <c r="DC376900" t="s">
        <v>400</v>
      </c>
      <c r="DD376900" t="s">
        <v>400</v>
      </c>
      <c r="DE376900" t="s">
        <v>400</v>
      </c>
      <c r="DF376900" t="s">
        <v>400</v>
      </c>
      <c r="DG376900" t="s">
        <v>400</v>
      </c>
      <c r="DH376900" t="s">
        <v>400</v>
      </c>
      <c r="DI376900" t="s">
        <v>121</v>
      </c>
      <c r="DJ376900" t="s">
        <v>121</v>
      </c>
      <c r="DK376900" t="s">
        <v>121</v>
      </c>
      <c r="DL376900" t="s">
        <v>121</v>
      </c>
      <c r="DM376900" t="s">
        <v>121</v>
      </c>
      <c r="DN376900" t="s">
        <v>121</v>
      </c>
      <c r="DO376900" t="s">
        <v>121</v>
      </c>
      <c r="DP376900" t="s">
        <v>121</v>
      </c>
      <c r="DQ376900" t="s">
        <v>121</v>
      </c>
      <c r="DR376900" t="s">
        <v>121</v>
      </c>
      <c r="DS376900" t="s">
        <v>121</v>
      </c>
      <c r="DT376900" t="s">
        <v>121</v>
      </c>
      <c r="DU376900" t="s">
        <v>121</v>
      </c>
      <c r="DV376900" t="s">
        <v>121</v>
      </c>
      <c r="DW376900" t="s">
        <v>121</v>
      </c>
      <c r="DX376900" t="s">
        <v>423</v>
      </c>
      <c r="DY376900" t="s">
        <v>423</v>
      </c>
      <c r="DZ376900" t="s">
        <v>426</v>
      </c>
      <c r="EA376900" t="s">
        <v>426</v>
      </c>
      <c r="EB376900" t="s">
        <v>426</v>
      </c>
      <c r="EC376900" t="s">
        <v>426</v>
      </c>
      <c r="ED376900" t="s">
        <v>426</v>
      </c>
      <c r="EE376900" t="s">
        <v>432</v>
      </c>
      <c r="EF376900" t="s">
        <v>432</v>
      </c>
      <c r="EG376900" t="s">
        <v>432</v>
      </c>
      <c r="EH376900" t="s">
        <v>432</v>
      </c>
      <c r="EI376900" t="s">
        <v>432</v>
      </c>
      <c r="EJ376900" t="s">
        <v>432</v>
      </c>
      <c r="EK376900" t="s">
        <v>432</v>
      </c>
      <c r="EL376900" t="s">
        <v>440</v>
      </c>
      <c r="EM376900" t="s">
        <v>440</v>
      </c>
      <c r="EN376900" t="s">
        <v>440</v>
      </c>
      <c r="EO376900" t="s">
        <v>440</v>
      </c>
      <c r="EP376900" t="s">
        <v>440</v>
      </c>
    </row>
    <row r="376901" spans="2:146">
      <c r="BQ376901" t="s">
        <v>351</v>
      </c>
      <c r="BR376901" t="s">
        <v>355</v>
      </c>
      <c r="BS376901" t="s">
        <v>356</v>
      </c>
      <c r="BT376901" t="s">
        <v>358</v>
      </c>
      <c r="BU376901" t="s">
        <v>359</v>
      </c>
      <c r="BV376901" t="s">
        <v>361</v>
      </c>
      <c r="BW376901" t="s">
        <v>362</v>
      </c>
      <c r="BX376901" t="s">
        <v>363</v>
      </c>
      <c r="BY376901" t="s">
        <v>365</v>
      </c>
      <c r="BZ376901" t="s">
        <v>366</v>
      </c>
      <c r="CA376901" t="s">
        <v>367</v>
      </c>
      <c r="CB376901" t="s">
        <v>369</v>
      </c>
      <c r="CC376901" t="s">
        <v>370</v>
      </c>
      <c r="CD376901" t="s">
        <v>371</v>
      </c>
      <c r="CE376901" t="s">
        <v>353</v>
      </c>
      <c r="CF376901" t="s">
        <v>354</v>
      </c>
      <c r="CG376901" t="s">
        <v>373</v>
      </c>
      <c r="CH376901" t="s">
        <v>374</v>
      </c>
      <c r="CI376901" t="s">
        <v>376</v>
      </c>
      <c r="CJ376901" t="s">
        <v>377</v>
      </c>
      <c r="CK376901" t="s">
        <v>378</v>
      </c>
      <c r="CL376901" t="s">
        <v>380</v>
      </c>
      <c r="CM376901" t="s">
        <v>381</v>
      </c>
      <c r="CN376901" t="s">
        <v>382</v>
      </c>
      <c r="CO376901" t="s">
        <v>384</v>
      </c>
      <c r="CP376901" t="s">
        <v>385</v>
      </c>
      <c r="CQ376901" t="s">
        <v>386</v>
      </c>
      <c r="CR376901" t="s">
        <v>387</v>
      </c>
      <c r="CS376901" t="s">
        <v>388</v>
      </c>
      <c r="CT376901" t="s">
        <v>390</v>
      </c>
      <c r="CU376901" t="s">
        <v>391</v>
      </c>
      <c r="CV376901" t="s">
        <v>392</v>
      </c>
      <c r="CW376901" t="s">
        <v>394</v>
      </c>
      <c r="CX376901" t="s">
        <v>395</v>
      </c>
      <c r="CY376901" t="s">
        <v>397</v>
      </c>
      <c r="CZ376901" t="s">
        <v>398</v>
      </c>
      <c r="DA376901" t="s">
        <v>399</v>
      </c>
      <c r="DB376901" t="s">
        <v>401</v>
      </c>
      <c r="DC376901" t="s">
        <v>402</v>
      </c>
      <c r="DD376901" t="s">
        <v>403</v>
      </c>
      <c r="DE376901" t="s">
        <v>404</v>
      </c>
      <c r="DF376901" t="s">
        <v>405</v>
      </c>
      <c r="DG376901" t="s">
        <v>406</v>
      </c>
      <c r="DH376901" t="s">
        <v>407</v>
      </c>
      <c r="DI376901" t="s">
        <v>408</v>
      </c>
      <c r="DJ376901" t="s">
        <v>409</v>
      </c>
      <c r="DK376901" t="s">
        <v>410</v>
      </c>
      <c r="DL376901" t="s">
        <v>411</v>
      </c>
      <c r="DM376901" t="s">
        <v>412</v>
      </c>
      <c r="DN376901" t="s">
        <v>413</v>
      </c>
      <c r="DO376901" t="s">
        <v>414</v>
      </c>
      <c r="DP376901" t="s">
        <v>415</v>
      </c>
      <c r="DQ376901" t="s">
        <v>416</v>
      </c>
      <c r="DR376901" t="s">
        <v>417</v>
      </c>
      <c r="DS376901" t="s">
        <v>418</v>
      </c>
      <c r="DT376901" t="s">
        <v>419</v>
      </c>
      <c r="DU376901" t="s">
        <v>420</v>
      </c>
      <c r="DV376901" t="s">
        <v>421</v>
      </c>
      <c r="DW376901" t="s">
        <v>422</v>
      </c>
      <c r="DX376901" t="s">
        <v>424</v>
      </c>
      <c r="DY376901" t="s">
        <v>425</v>
      </c>
      <c r="DZ376901" t="s">
        <v>427</v>
      </c>
      <c r="EA376901" t="s">
        <v>428</v>
      </c>
      <c r="EB376901" t="s">
        <v>429</v>
      </c>
      <c r="EC376901" t="s">
        <v>430</v>
      </c>
      <c r="ED376901" t="s">
        <v>431</v>
      </c>
      <c r="EE376901" t="s">
        <v>433</v>
      </c>
      <c r="EF376901" t="s">
        <v>434</v>
      </c>
      <c r="EG376901" t="s">
        <v>435</v>
      </c>
      <c r="EH376901" t="s">
        <v>436</v>
      </c>
      <c r="EI376901" t="s">
        <v>437</v>
      </c>
      <c r="EJ376901" t="s">
        <v>438</v>
      </c>
      <c r="EK376901" t="s">
        <v>439</v>
      </c>
      <c r="EL376901" t="s">
        <v>441</v>
      </c>
      <c r="EM376901" t="s">
        <v>442</v>
      </c>
      <c r="EN376901" t="s">
        <v>443</v>
      </c>
      <c r="EO376901" t="s">
        <v>444</v>
      </c>
      <c r="EP376901" t="s">
        <v>445</v>
      </c>
    </row>
    <row r="376902" spans="2:146">
      <c r="BQ376902">
        <v>67</v>
      </c>
      <c r="BR376902">
        <v>68</v>
      </c>
      <c r="BS376902">
        <v>69</v>
      </c>
      <c r="BT376902">
        <v>70</v>
      </c>
      <c r="BU376902">
        <v>71</v>
      </c>
      <c r="BV376902">
        <v>72</v>
      </c>
      <c r="BW376902">
        <v>73</v>
      </c>
      <c r="BX376902">
        <v>74</v>
      </c>
      <c r="BY376902">
        <v>75</v>
      </c>
      <c r="BZ376902">
        <v>76</v>
      </c>
      <c r="CA376902">
        <v>77</v>
      </c>
      <c r="CB376902">
        <v>78</v>
      </c>
      <c r="CC376902">
        <v>79</v>
      </c>
      <c r="CD376902">
        <v>80</v>
      </c>
      <c r="CE376902">
        <v>81</v>
      </c>
      <c r="CF376902">
        <v>82</v>
      </c>
      <c r="CG376902">
        <v>83</v>
      </c>
      <c r="CH376902">
        <v>84</v>
      </c>
      <c r="CI376902">
        <v>85</v>
      </c>
      <c r="CJ376902">
        <v>86</v>
      </c>
      <c r="CK376902">
        <v>87</v>
      </c>
      <c r="CL376902">
        <v>88</v>
      </c>
      <c r="CM376902">
        <v>89</v>
      </c>
      <c r="CN376902">
        <v>90</v>
      </c>
      <c r="CO376902">
        <v>91</v>
      </c>
      <c r="CP376902">
        <v>92</v>
      </c>
      <c r="CQ376902">
        <v>93</v>
      </c>
      <c r="CR376902">
        <v>94</v>
      </c>
      <c r="CS376902">
        <v>95</v>
      </c>
      <c r="CT376902">
        <v>96</v>
      </c>
      <c r="CU376902">
        <v>97</v>
      </c>
      <c r="CV376902">
        <v>98</v>
      </c>
      <c r="CW376902">
        <v>99</v>
      </c>
      <c r="CX376902">
        <v>100</v>
      </c>
      <c r="CY376902">
        <v>101</v>
      </c>
      <c r="CZ376902">
        <v>102</v>
      </c>
      <c r="DA376902">
        <v>103</v>
      </c>
      <c r="DB376902">
        <v>104</v>
      </c>
      <c r="DC376902">
        <v>105</v>
      </c>
      <c r="DD376902">
        <v>106</v>
      </c>
      <c r="DE376902">
        <v>107</v>
      </c>
      <c r="DF376902">
        <v>108</v>
      </c>
      <c r="DG376902">
        <v>109</v>
      </c>
      <c r="DH376902">
        <v>110</v>
      </c>
      <c r="DI376902">
        <v>111</v>
      </c>
      <c r="DJ376902">
        <v>112</v>
      </c>
      <c r="DK376902">
        <v>113</v>
      </c>
      <c r="DL376902">
        <v>114</v>
      </c>
      <c r="DM376902">
        <v>115</v>
      </c>
      <c r="DN376902">
        <v>116</v>
      </c>
      <c r="DO376902">
        <v>117</v>
      </c>
      <c r="DP376902">
        <v>118</v>
      </c>
      <c r="DQ376902">
        <v>119</v>
      </c>
      <c r="DR376902">
        <v>120</v>
      </c>
      <c r="DS376902">
        <v>121</v>
      </c>
      <c r="DT376902">
        <v>122</v>
      </c>
      <c r="DU376902">
        <v>123</v>
      </c>
      <c r="DV376902">
        <v>124</v>
      </c>
      <c r="DW376902">
        <v>125</v>
      </c>
      <c r="DX376902">
        <v>126</v>
      </c>
      <c r="DY376902">
        <v>127</v>
      </c>
      <c r="DZ376902">
        <v>128</v>
      </c>
      <c r="EA376902">
        <v>129</v>
      </c>
      <c r="EB376902">
        <v>130</v>
      </c>
      <c r="EC376902">
        <v>131</v>
      </c>
      <c r="ED376902">
        <v>132</v>
      </c>
      <c r="EE376902">
        <v>133</v>
      </c>
      <c r="EF376902">
        <v>134</v>
      </c>
      <c r="EG376902">
        <v>135</v>
      </c>
      <c r="EH376902">
        <v>136</v>
      </c>
      <c r="EI376902">
        <v>137</v>
      </c>
      <c r="EJ376902">
        <v>138</v>
      </c>
      <c r="EK376902">
        <v>139</v>
      </c>
      <c r="EL376902">
        <v>140</v>
      </c>
      <c r="EM376902">
        <v>141</v>
      </c>
      <c r="EN376902">
        <v>142</v>
      </c>
      <c r="EO376902">
        <v>143</v>
      </c>
      <c r="EP376902">
        <v>144</v>
      </c>
    </row>
    <row r="376903" spans="2:146">
      <c r="CE376903" t="s">
        <v>451</v>
      </c>
    </row>
    <row r="393218" spans="2:2">
      <c r="B393218">
        <v>200</v>
      </c>
    </row>
    <row r="393219" spans="2:2">
      <c r="B393219">
        <v>200</v>
      </c>
    </row>
    <row r="393220" spans="2:2">
      <c r="B393220">
        <v>800</v>
      </c>
    </row>
    <row r="393221" spans="2:2">
      <c r="B393221">
        <v>200</v>
      </c>
    </row>
    <row r="393222" spans="2:2">
      <c r="B393222">
        <v>1044</v>
      </c>
    </row>
    <row r="393223" spans="2:2">
      <c r="B393223">
        <v>998.40000000000009</v>
      </c>
    </row>
    <row r="393224" spans="2:2">
      <c r="B393224">
        <v>272</v>
      </c>
    </row>
    <row r="393225" spans="2:2">
      <c r="B393225">
        <v>200</v>
      </c>
    </row>
    <row r="393226" spans="2:2">
      <c r="B393226">
        <v>214</v>
      </c>
    </row>
    <row r="393227" spans="2:2">
      <c r="B393227">
        <v>200</v>
      </c>
    </row>
    <row r="393228" spans="2:2">
      <c r="B393228">
        <v>152</v>
      </c>
    </row>
    <row r="393229" spans="2:2">
      <c r="B393229">
        <v>200</v>
      </c>
    </row>
    <row r="393230" spans="2:2">
      <c r="B393230">
        <v>300</v>
      </c>
    </row>
    <row r="393231" spans="2:2">
      <c r="B393231">
        <v>104</v>
      </c>
    </row>
    <row r="393232" spans="2:2">
      <c r="B393232">
        <v>162</v>
      </c>
    </row>
    <row r="393233" spans="2:2">
      <c r="B393233">
        <v>200</v>
      </c>
    </row>
    <row r="393234" spans="2:2">
      <c r="B393234">
        <v>200</v>
      </c>
    </row>
    <row r="393235" spans="2:2">
      <c r="B393235">
        <v>200</v>
      </c>
    </row>
    <row r="393236" spans="2:2">
      <c r="B393236">
        <v>200</v>
      </c>
    </row>
    <row r="393237" spans="2:2">
      <c r="B393237">
        <v>200</v>
      </c>
    </row>
    <row r="393238" spans="2:2">
      <c r="B393238">
        <v>200</v>
      </c>
    </row>
    <row r="393239" spans="2:2">
      <c r="B393239">
        <v>200</v>
      </c>
    </row>
    <row r="393240" spans="2:2">
      <c r="B393240">
        <v>200</v>
      </c>
    </row>
    <row r="393241" spans="2:2">
      <c r="B393241">
        <v>800</v>
      </c>
    </row>
    <row r="393242" spans="2:2">
      <c r="B393242">
        <v>300</v>
      </c>
    </row>
    <row r="393243" spans="2:2">
      <c r="B393243">
        <v>778</v>
      </c>
    </row>
    <row r="393244" spans="2:2">
      <c r="B393244">
        <v>614</v>
      </c>
    </row>
    <row r="393245" spans="2:2">
      <c r="B393245">
        <v>444</v>
      </c>
    </row>
    <row r="393246" spans="2:2">
      <c r="B393246">
        <v>800</v>
      </c>
    </row>
    <row r="393247" spans="2:2">
      <c r="B393247">
        <v>200</v>
      </c>
    </row>
    <row r="393248" spans="2:2">
      <c r="B393248">
        <v>780</v>
      </c>
    </row>
    <row r="393249" spans="2:146">
      <c r="B393249">
        <v>174</v>
      </c>
    </row>
    <row r="393250" spans="2:146">
      <c r="B393250">
        <v>194</v>
      </c>
    </row>
    <row r="393251" spans="2:146">
      <c r="B393251">
        <v>782</v>
      </c>
    </row>
    <row r="393252" spans="2:146">
      <c r="B393252">
        <v>236</v>
      </c>
    </row>
    <row r="393253" spans="2:146">
      <c r="B393253">
        <v>144</v>
      </c>
    </row>
    <row r="393254" spans="2:146">
      <c r="B393254">
        <v>200</v>
      </c>
    </row>
    <row r="393255" spans="2:146">
      <c r="B393255">
        <v>240</v>
      </c>
    </row>
    <row r="393256" spans="2:146">
      <c r="B393256">
        <v>200</v>
      </c>
    </row>
    <row r="393257" spans="2:146">
      <c r="B393257">
        <v>612</v>
      </c>
    </row>
    <row r="393258" spans="2:146">
      <c r="B393258">
        <v>156</v>
      </c>
    </row>
    <row r="393259" spans="2:146">
      <c r="B393259">
        <v>116</v>
      </c>
    </row>
    <row r="393260" spans="2:146">
      <c r="B393260">
        <v>160</v>
      </c>
    </row>
    <row r="393261" spans="2:146">
      <c r="B393261">
        <v>80</v>
      </c>
      <c r="EL393261">
        <v>0.66</v>
      </c>
      <c r="EM393261">
        <v>0.66</v>
      </c>
      <c r="EN393261">
        <v>0.66</v>
      </c>
      <c r="EO393261">
        <v>0.66</v>
      </c>
      <c r="EP393261">
        <v>0.66</v>
      </c>
    </row>
    <row r="393262" spans="2:146">
      <c r="B393262">
        <v>1144</v>
      </c>
      <c r="BV393262">
        <v>5.0999999999999996</v>
      </c>
      <c r="BW393262">
        <v>5.0999999999999996</v>
      </c>
      <c r="DB393262">
        <v>10.210000000000001</v>
      </c>
      <c r="DC393262">
        <v>10.210000000000001</v>
      </c>
      <c r="DD393262">
        <v>10.210000000000001</v>
      </c>
      <c r="DE393262">
        <v>10.210000000000001</v>
      </c>
      <c r="DF393262">
        <v>10.210000000000001</v>
      </c>
      <c r="DG393262">
        <v>10.210000000000001</v>
      </c>
      <c r="DH393262">
        <v>10.210000000000001</v>
      </c>
    </row>
    <row r="393263" spans="2:146">
      <c r="B393263">
        <v>1240</v>
      </c>
      <c r="EE393263">
        <v>8.15</v>
      </c>
      <c r="EF393263">
        <v>8.15</v>
      </c>
      <c r="EG393263">
        <v>8.15</v>
      </c>
      <c r="EH393263">
        <v>8.15</v>
      </c>
      <c r="EI393263">
        <v>8.15</v>
      </c>
      <c r="EJ393263">
        <v>8.15</v>
      </c>
      <c r="EK393263">
        <v>8.15</v>
      </c>
    </row>
    <row r="393264" spans="2:146">
      <c r="B393264">
        <v>2083.2000000000003</v>
      </c>
      <c r="DI393264">
        <v>20.03</v>
      </c>
      <c r="DJ393264">
        <v>20.03</v>
      </c>
      <c r="DQ393264">
        <v>20.03</v>
      </c>
      <c r="DT393264">
        <v>20.03</v>
      </c>
      <c r="DW393264">
        <v>20.03</v>
      </c>
    </row>
    <row r="393265" spans="2:134">
      <c r="B393265">
        <v>357.20000000000005</v>
      </c>
      <c r="DI393265">
        <v>3.88</v>
      </c>
      <c r="DJ393265">
        <v>3.88</v>
      </c>
      <c r="DV393265">
        <v>3.88</v>
      </c>
      <c r="DW393265">
        <v>3.88</v>
      </c>
    </row>
    <row r="393266" spans="2:134">
      <c r="B393266">
        <v>391.20000000000005</v>
      </c>
      <c r="DI393266">
        <v>3.62</v>
      </c>
      <c r="DJ393266">
        <v>3.62</v>
      </c>
      <c r="DR393266">
        <v>3.62</v>
      </c>
      <c r="DU393266">
        <v>3.62</v>
      </c>
      <c r="DV393266">
        <v>3.62</v>
      </c>
    </row>
    <row r="393267" spans="2:134">
      <c r="B393267">
        <v>762.80000000000007</v>
      </c>
      <c r="DI393267">
        <v>6.15</v>
      </c>
      <c r="DJ393267">
        <v>6.15</v>
      </c>
      <c r="DQ393267">
        <v>6.15</v>
      </c>
      <c r="DR393267">
        <v>6.15</v>
      </c>
      <c r="DS393267">
        <v>6.15</v>
      </c>
      <c r="DT393267">
        <v>6.15</v>
      </c>
    </row>
    <row r="393268" spans="2:134">
      <c r="B393268">
        <v>1280</v>
      </c>
      <c r="DI393268">
        <v>10.66</v>
      </c>
      <c r="DJ393268">
        <v>10.66</v>
      </c>
      <c r="DK393268">
        <v>10.66</v>
      </c>
      <c r="DL393268">
        <v>10.66</v>
      </c>
      <c r="DM393268">
        <v>10.66</v>
      </c>
      <c r="DN393268">
        <v>10.66</v>
      </c>
    </row>
    <row r="393269" spans="2:134">
      <c r="B393269">
        <v>234</v>
      </c>
      <c r="CT393269">
        <v>2.5</v>
      </c>
      <c r="CU393269">
        <v>2.5</v>
      </c>
      <c r="CV393269">
        <v>2.5</v>
      </c>
    </row>
    <row r="393270" spans="2:134">
      <c r="B393270">
        <v>354</v>
      </c>
      <c r="CY393270">
        <v>3.98</v>
      </c>
      <c r="CZ393270">
        <v>3.98</v>
      </c>
      <c r="DA393270">
        <v>3.98</v>
      </c>
    </row>
    <row r="393271" spans="2:134">
      <c r="B393271">
        <v>392</v>
      </c>
      <c r="DI393271">
        <v>3.52</v>
      </c>
      <c r="DJ393271">
        <v>3.52</v>
      </c>
      <c r="DL393271">
        <v>3.52</v>
      </c>
      <c r="DO393271">
        <v>3.52</v>
      </c>
    </row>
    <row r="393272" spans="2:134">
      <c r="B393272">
        <v>304</v>
      </c>
      <c r="CE393272">
        <v>3.8</v>
      </c>
      <c r="CF393272">
        <v>3.8</v>
      </c>
    </row>
    <row r="393273" spans="2:134">
      <c r="B393273">
        <v>144</v>
      </c>
      <c r="DZ393273">
        <v>1.62</v>
      </c>
      <c r="EA393273">
        <v>1.62</v>
      </c>
      <c r="EB393273">
        <v>1.62</v>
      </c>
      <c r="EC393273">
        <v>0.81</v>
      </c>
      <c r="ED393273">
        <v>0.81</v>
      </c>
    </row>
    <row r="393274" spans="2:134">
      <c r="B393274">
        <v>602.40000000000009</v>
      </c>
      <c r="BY393274">
        <v>6.02</v>
      </c>
      <c r="BZ393274">
        <v>6.02</v>
      </c>
      <c r="CB393274">
        <v>3.01</v>
      </c>
      <c r="CC393274">
        <v>3.01</v>
      </c>
      <c r="CD393274">
        <v>3.01</v>
      </c>
      <c r="CI393274">
        <v>6.02</v>
      </c>
      <c r="CJ393274">
        <v>6.02</v>
      </c>
      <c r="CK393274">
        <v>6.02</v>
      </c>
    </row>
    <row r="393275" spans="2:134">
      <c r="B393275">
        <v>307.60000000000002</v>
      </c>
      <c r="BY393275">
        <v>3.34</v>
      </c>
      <c r="BZ393275">
        <v>3.34</v>
      </c>
      <c r="CG393275">
        <v>3.34</v>
      </c>
      <c r="CH393275">
        <v>3.34</v>
      </c>
    </row>
    <row r="393276" spans="2:134">
      <c r="B393276">
        <v>358</v>
      </c>
      <c r="BY393276">
        <v>2.37</v>
      </c>
      <c r="BZ393276">
        <v>2.37</v>
      </c>
      <c r="CA393276">
        <v>2.37</v>
      </c>
      <c r="DX393276">
        <v>4.74</v>
      </c>
      <c r="DY393276">
        <v>4.74</v>
      </c>
    </row>
    <row r="393277" spans="2:134">
      <c r="B393277">
        <v>286</v>
      </c>
      <c r="BT393277">
        <v>1.43</v>
      </c>
      <c r="BV393277">
        <v>1.43</v>
      </c>
      <c r="BW393277">
        <v>1.43</v>
      </c>
      <c r="BX393277">
        <v>1.43</v>
      </c>
      <c r="CO393277">
        <v>2.86</v>
      </c>
      <c r="CP393277">
        <v>2.86</v>
      </c>
      <c r="CQ393277">
        <v>2.86</v>
      </c>
      <c r="CR393277">
        <v>2.86</v>
      </c>
      <c r="CS393277">
        <v>2.86</v>
      </c>
    </row>
    <row r="393278" spans="2:134">
      <c r="B393278">
        <v>410</v>
      </c>
      <c r="BY393278">
        <v>2.88</v>
      </c>
      <c r="BZ393278">
        <v>2.88</v>
      </c>
      <c r="CA393278">
        <v>2.88</v>
      </c>
      <c r="CW393278">
        <v>5.76</v>
      </c>
      <c r="CX393278">
        <v>5.76</v>
      </c>
    </row>
    <row r="393279" spans="2:134">
      <c r="B393279">
        <v>346</v>
      </c>
      <c r="BR393279">
        <v>3.6</v>
      </c>
      <c r="BS393279">
        <v>3.6</v>
      </c>
      <c r="BT393279">
        <v>1.8</v>
      </c>
      <c r="CL393279">
        <v>3.6</v>
      </c>
      <c r="CM393279">
        <v>3.6</v>
      </c>
      <c r="CN393279">
        <v>3.6</v>
      </c>
    </row>
    <row r="393280" spans="2:134">
      <c r="B393280">
        <v>302</v>
      </c>
      <c r="BR393280">
        <v>3.28</v>
      </c>
      <c r="BS393280">
        <v>3.28</v>
      </c>
      <c r="BT393280">
        <v>1.64</v>
      </c>
      <c r="BU393280">
        <v>1.64</v>
      </c>
      <c r="CL393280">
        <v>3.28</v>
      </c>
      <c r="CM393280">
        <v>3.28</v>
      </c>
      <c r="CN393280">
        <v>3.28</v>
      </c>
    </row>
    <row r="393281" spans="2:146">
      <c r="B393281">
        <v>204</v>
      </c>
      <c r="BR393281">
        <v>2.12</v>
      </c>
      <c r="BS393281">
        <v>2.12</v>
      </c>
      <c r="BT393281">
        <v>1.06</v>
      </c>
      <c r="CL393281">
        <v>2.12</v>
      </c>
      <c r="CM393281">
        <v>2.12</v>
      </c>
      <c r="CN393281">
        <v>2.12</v>
      </c>
    </row>
    <row r="393283" spans="2:146">
      <c r="B393283">
        <v>26358.800000000003</v>
      </c>
      <c r="BQ393283">
        <v>0</v>
      </c>
      <c r="BR393283">
        <v>9</v>
      </c>
      <c r="BS393283">
        <v>9</v>
      </c>
      <c r="BT393283">
        <v>5.93</v>
      </c>
      <c r="BU393283">
        <v>1.64</v>
      </c>
      <c r="BV393283">
        <v>6.5299999999999994</v>
      </c>
      <c r="BW393283">
        <v>6.5299999999999994</v>
      </c>
      <c r="BX393283">
        <v>1.43</v>
      </c>
      <c r="BY393283">
        <v>14.61</v>
      </c>
      <c r="BZ393283">
        <v>14.61</v>
      </c>
      <c r="CA393283">
        <v>5.25</v>
      </c>
      <c r="CB393283">
        <v>3.01</v>
      </c>
      <c r="CC393283">
        <v>3.01</v>
      </c>
      <c r="CD393283">
        <v>3.01</v>
      </c>
      <c r="CE393283">
        <v>3.8</v>
      </c>
      <c r="CF393283">
        <v>3.8</v>
      </c>
      <c r="CG393283">
        <v>3.34</v>
      </c>
      <c r="CH393283">
        <v>3.34</v>
      </c>
      <c r="CI393283">
        <v>6.02</v>
      </c>
      <c r="CJ393283">
        <v>6.02</v>
      </c>
      <c r="CK393283">
        <v>6.02</v>
      </c>
      <c r="CL393283">
        <v>9</v>
      </c>
      <c r="CM393283">
        <v>9</v>
      </c>
      <c r="CN393283">
        <v>9</v>
      </c>
      <c r="CO393283">
        <v>2.86</v>
      </c>
      <c r="CP393283">
        <v>2.86</v>
      </c>
      <c r="CQ393283">
        <v>2.86</v>
      </c>
      <c r="CR393283">
        <v>2.86</v>
      </c>
      <c r="CS393283">
        <v>2.86</v>
      </c>
      <c r="CT393283">
        <v>2.5</v>
      </c>
      <c r="CU393283">
        <v>2.5</v>
      </c>
      <c r="CV393283">
        <v>2.5</v>
      </c>
      <c r="CW393283">
        <v>5.76</v>
      </c>
      <c r="CX393283">
        <v>5.76</v>
      </c>
      <c r="CY393283">
        <v>3.98</v>
      </c>
      <c r="CZ393283">
        <v>3.98</v>
      </c>
      <c r="DA393283">
        <v>3.98</v>
      </c>
      <c r="DB393283">
        <v>10.210000000000001</v>
      </c>
      <c r="DC393283">
        <v>10.210000000000001</v>
      </c>
      <c r="DD393283">
        <v>10.210000000000001</v>
      </c>
      <c r="DE393283">
        <v>10.210000000000001</v>
      </c>
      <c r="DF393283">
        <v>10.210000000000001</v>
      </c>
      <c r="DG393283">
        <v>10.210000000000001</v>
      </c>
      <c r="DH393283">
        <v>10.210000000000001</v>
      </c>
      <c r="DI393283">
        <v>47.860000000000007</v>
      </c>
      <c r="DJ393283">
        <v>47.860000000000007</v>
      </c>
      <c r="DK393283">
        <v>10.66</v>
      </c>
      <c r="DL393283">
        <v>14.18</v>
      </c>
      <c r="DM393283">
        <v>10.66</v>
      </c>
      <c r="DN393283">
        <v>10.66</v>
      </c>
      <c r="DO393283">
        <v>3.52</v>
      </c>
      <c r="DP393283">
        <v>0</v>
      </c>
      <c r="DQ393283">
        <v>26.18</v>
      </c>
      <c r="DR393283">
        <v>9.77</v>
      </c>
      <c r="DS393283">
        <v>6.15</v>
      </c>
      <c r="DT393283">
        <v>26.18</v>
      </c>
      <c r="DU393283">
        <v>3.62</v>
      </c>
      <c r="DV393283">
        <v>7.5</v>
      </c>
      <c r="DW393283">
        <v>23.91</v>
      </c>
      <c r="DX393283">
        <v>4.74</v>
      </c>
      <c r="DY393283">
        <v>4.74</v>
      </c>
      <c r="DZ393283">
        <v>1.62</v>
      </c>
      <c r="EA393283">
        <v>1.62</v>
      </c>
      <c r="EB393283">
        <v>1.62</v>
      </c>
      <c r="EC393283">
        <v>0.81</v>
      </c>
      <c r="ED393283">
        <v>0.81</v>
      </c>
      <c r="EE393283">
        <v>8.15</v>
      </c>
      <c r="EF393283">
        <v>8.15</v>
      </c>
      <c r="EG393283">
        <v>8.15</v>
      </c>
      <c r="EH393283">
        <v>8.15</v>
      </c>
      <c r="EI393283">
        <v>8.15</v>
      </c>
      <c r="EJ393283">
        <v>8.15</v>
      </c>
      <c r="EK393283">
        <v>8.15</v>
      </c>
      <c r="EL393283">
        <v>0.66</v>
      </c>
      <c r="EM393283">
        <v>0.66</v>
      </c>
      <c r="EN393283">
        <v>0.66</v>
      </c>
      <c r="EO393283">
        <v>0.66</v>
      </c>
      <c r="EP393283">
        <v>0.66</v>
      </c>
    </row>
    <row r="393284" spans="2:146">
      <c r="B393284" t="s">
        <v>265</v>
      </c>
      <c r="BQ393284" t="s">
        <v>345</v>
      </c>
      <c r="BR393284" t="s">
        <v>131</v>
      </c>
      <c r="BS393284" t="s">
        <v>131</v>
      </c>
      <c r="BT393284" t="s">
        <v>357</v>
      </c>
      <c r="BU393284" t="s">
        <v>131</v>
      </c>
      <c r="BV393284" t="s">
        <v>360</v>
      </c>
      <c r="BW393284" t="s">
        <v>360</v>
      </c>
      <c r="BX393284" t="s">
        <v>360</v>
      </c>
      <c r="BY393284" t="s">
        <v>364</v>
      </c>
      <c r="BZ393284" t="s">
        <v>364</v>
      </c>
      <c r="CA393284" t="s">
        <v>364</v>
      </c>
      <c r="CB393284" t="s">
        <v>368</v>
      </c>
      <c r="CC393284" t="s">
        <v>368</v>
      </c>
      <c r="CD393284" t="s">
        <v>368</v>
      </c>
      <c r="CE393284" t="s">
        <v>352</v>
      </c>
      <c r="CF393284" t="s">
        <v>352</v>
      </c>
      <c r="CG393284" t="s">
        <v>372</v>
      </c>
      <c r="CH393284" t="s">
        <v>372</v>
      </c>
      <c r="CI393284" t="s">
        <v>375</v>
      </c>
      <c r="CJ393284" t="s">
        <v>375</v>
      </c>
      <c r="CK393284" t="s">
        <v>375</v>
      </c>
      <c r="CL393284" t="s">
        <v>379</v>
      </c>
      <c r="CM393284" t="s">
        <v>379</v>
      </c>
      <c r="CN393284" t="s">
        <v>379</v>
      </c>
      <c r="CO393284" t="s">
        <v>383</v>
      </c>
      <c r="CP393284" t="s">
        <v>383</v>
      </c>
      <c r="CQ393284" t="s">
        <v>383</v>
      </c>
      <c r="CR393284" t="s">
        <v>383</v>
      </c>
      <c r="CS393284" t="s">
        <v>383</v>
      </c>
      <c r="CT393284" t="s">
        <v>389</v>
      </c>
      <c r="CU393284" t="s">
        <v>389</v>
      </c>
      <c r="CV393284" t="s">
        <v>389</v>
      </c>
      <c r="CW393284" t="s">
        <v>393</v>
      </c>
      <c r="CX393284" t="s">
        <v>393</v>
      </c>
      <c r="CY393284" t="s">
        <v>396</v>
      </c>
      <c r="CZ393284" t="s">
        <v>396</v>
      </c>
      <c r="DA393284" t="s">
        <v>396</v>
      </c>
      <c r="DB393284" t="s">
        <v>400</v>
      </c>
      <c r="DC393284" t="s">
        <v>400</v>
      </c>
      <c r="DD393284" t="s">
        <v>400</v>
      </c>
      <c r="DE393284" t="s">
        <v>400</v>
      </c>
      <c r="DF393284" t="s">
        <v>400</v>
      </c>
      <c r="DG393284" t="s">
        <v>400</v>
      </c>
      <c r="DH393284" t="s">
        <v>400</v>
      </c>
      <c r="DI393284" t="s">
        <v>121</v>
      </c>
      <c r="DJ393284" t="s">
        <v>121</v>
      </c>
      <c r="DK393284" t="s">
        <v>121</v>
      </c>
      <c r="DL393284" t="s">
        <v>121</v>
      </c>
      <c r="DM393284" t="s">
        <v>121</v>
      </c>
      <c r="DN393284" t="s">
        <v>121</v>
      </c>
      <c r="DO393284" t="s">
        <v>121</v>
      </c>
      <c r="DP393284" t="s">
        <v>121</v>
      </c>
      <c r="DQ393284" t="s">
        <v>121</v>
      </c>
      <c r="DR393284" t="s">
        <v>121</v>
      </c>
      <c r="DS393284" t="s">
        <v>121</v>
      </c>
      <c r="DT393284" t="s">
        <v>121</v>
      </c>
      <c r="DU393284" t="s">
        <v>121</v>
      </c>
      <c r="DV393284" t="s">
        <v>121</v>
      </c>
      <c r="DW393284" t="s">
        <v>121</v>
      </c>
      <c r="DX393284" t="s">
        <v>423</v>
      </c>
      <c r="DY393284" t="s">
        <v>423</v>
      </c>
      <c r="DZ393284" t="s">
        <v>426</v>
      </c>
      <c r="EA393284" t="s">
        <v>426</v>
      </c>
      <c r="EB393284" t="s">
        <v>426</v>
      </c>
      <c r="EC393284" t="s">
        <v>426</v>
      </c>
      <c r="ED393284" t="s">
        <v>426</v>
      </c>
      <c r="EE393284" t="s">
        <v>432</v>
      </c>
      <c r="EF393284" t="s">
        <v>432</v>
      </c>
      <c r="EG393284" t="s">
        <v>432</v>
      </c>
      <c r="EH393284" t="s">
        <v>432</v>
      </c>
      <c r="EI393284" t="s">
        <v>432</v>
      </c>
      <c r="EJ393284" t="s">
        <v>432</v>
      </c>
      <c r="EK393284" t="s">
        <v>432</v>
      </c>
      <c r="EL393284" t="s">
        <v>440</v>
      </c>
      <c r="EM393284" t="s">
        <v>440</v>
      </c>
      <c r="EN393284" t="s">
        <v>440</v>
      </c>
      <c r="EO393284" t="s">
        <v>440</v>
      </c>
      <c r="EP393284" t="s">
        <v>440</v>
      </c>
    </row>
    <row r="393285" spans="2:146">
      <c r="BQ393285" t="s">
        <v>351</v>
      </c>
      <c r="BR393285" t="s">
        <v>355</v>
      </c>
      <c r="BS393285" t="s">
        <v>356</v>
      </c>
      <c r="BT393285" t="s">
        <v>358</v>
      </c>
      <c r="BU393285" t="s">
        <v>359</v>
      </c>
      <c r="BV393285" t="s">
        <v>361</v>
      </c>
      <c r="BW393285" t="s">
        <v>362</v>
      </c>
      <c r="BX393285" t="s">
        <v>363</v>
      </c>
      <c r="BY393285" t="s">
        <v>365</v>
      </c>
      <c r="BZ393285" t="s">
        <v>366</v>
      </c>
      <c r="CA393285" t="s">
        <v>367</v>
      </c>
      <c r="CB393285" t="s">
        <v>369</v>
      </c>
      <c r="CC393285" t="s">
        <v>370</v>
      </c>
      <c r="CD393285" t="s">
        <v>371</v>
      </c>
      <c r="CE393285" t="s">
        <v>353</v>
      </c>
      <c r="CF393285" t="s">
        <v>354</v>
      </c>
      <c r="CG393285" t="s">
        <v>373</v>
      </c>
      <c r="CH393285" t="s">
        <v>374</v>
      </c>
      <c r="CI393285" t="s">
        <v>376</v>
      </c>
      <c r="CJ393285" t="s">
        <v>377</v>
      </c>
      <c r="CK393285" t="s">
        <v>378</v>
      </c>
      <c r="CL393285" t="s">
        <v>380</v>
      </c>
      <c r="CM393285" t="s">
        <v>381</v>
      </c>
      <c r="CN393285" t="s">
        <v>382</v>
      </c>
      <c r="CO393285" t="s">
        <v>384</v>
      </c>
      <c r="CP393285" t="s">
        <v>385</v>
      </c>
      <c r="CQ393285" t="s">
        <v>386</v>
      </c>
      <c r="CR393285" t="s">
        <v>387</v>
      </c>
      <c r="CS393285" t="s">
        <v>388</v>
      </c>
      <c r="CT393285" t="s">
        <v>390</v>
      </c>
      <c r="CU393285" t="s">
        <v>391</v>
      </c>
      <c r="CV393285" t="s">
        <v>392</v>
      </c>
      <c r="CW393285" t="s">
        <v>394</v>
      </c>
      <c r="CX393285" t="s">
        <v>395</v>
      </c>
      <c r="CY393285" t="s">
        <v>397</v>
      </c>
      <c r="CZ393285" t="s">
        <v>398</v>
      </c>
      <c r="DA393285" t="s">
        <v>399</v>
      </c>
      <c r="DB393285" t="s">
        <v>401</v>
      </c>
      <c r="DC393285" t="s">
        <v>402</v>
      </c>
      <c r="DD393285" t="s">
        <v>403</v>
      </c>
      <c r="DE393285" t="s">
        <v>404</v>
      </c>
      <c r="DF393285" t="s">
        <v>405</v>
      </c>
      <c r="DG393285" t="s">
        <v>406</v>
      </c>
      <c r="DH393285" t="s">
        <v>407</v>
      </c>
      <c r="DI393285" t="s">
        <v>408</v>
      </c>
      <c r="DJ393285" t="s">
        <v>409</v>
      </c>
      <c r="DK393285" t="s">
        <v>410</v>
      </c>
      <c r="DL393285" t="s">
        <v>411</v>
      </c>
      <c r="DM393285" t="s">
        <v>412</v>
      </c>
      <c r="DN393285" t="s">
        <v>413</v>
      </c>
      <c r="DO393285" t="s">
        <v>414</v>
      </c>
      <c r="DP393285" t="s">
        <v>415</v>
      </c>
      <c r="DQ393285" t="s">
        <v>416</v>
      </c>
      <c r="DR393285" t="s">
        <v>417</v>
      </c>
      <c r="DS393285" t="s">
        <v>418</v>
      </c>
      <c r="DT393285" t="s">
        <v>419</v>
      </c>
      <c r="DU393285" t="s">
        <v>420</v>
      </c>
      <c r="DV393285" t="s">
        <v>421</v>
      </c>
      <c r="DW393285" t="s">
        <v>422</v>
      </c>
      <c r="DX393285" t="s">
        <v>424</v>
      </c>
      <c r="DY393285" t="s">
        <v>425</v>
      </c>
      <c r="DZ393285" t="s">
        <v>427</v>
      </c>
      <c r="EA393285" t="s">
        <v>428</v>
      </c>
      <c r="EB393285" t="s">
        <v>429</v>
      </c>
      <c r="EC393285" t="s">
        <v>430</v>
      </c>
      <c r="ED393285" t="s">
        <v>431</v>
      </c>
      <c r="EE393285" t="s">
        <v>433</v>
      </c>
      <c r="EF393285" t="s">
        <v>434</v>
      </c>
      <c r="EG393285" t="s">
        <v>435</v>
      </c>
      <c r="EH393285" t="s">
        <v>436</v>
      </c>
      <c r="EI393285" t="s">
        <v>437</v>
      </c>
      <c r="EJ393285" t="s">
        <v>438</v>
      </c>
      <c r="EK393285" t="s">
        <v>439</v>
      </c>
      <c r="EL393285" t="s">
        <v>441</v>
      </c>
      <c r="EM393285" t="s">
        <v>442</v>
      </c>
      <c r="EN393285" t="s">
        <v>443</v>
      </c>
      <c r="EO393285" t="s">
        <v>444</v>
      </c>
      <c r="EP393285" t="s">
        <v>445</v>
      </c>
    </row>
    <row r="393286" spans="2:146">
      <c r="BQ393286">
        <v>67</v>
      </c>
      <c r="BR393286">
        <v>68</v>
      </c>
      <c r="BS393286">
        <v>69</v>
      </c>
      <c r="BT393286">
        <v>70</v>
      </c>
      <c r="BU393286">
        <v>71</v>
      </c>
      <c r="BV393286">
        <v>72</v>
      </c>
      <c r="BW393286">
        <v>73</v>
      </c>
      <c r="BX393286">
        <v>74</v>
      </c>
      <c r="BY393286">
        <v>75</v>
      </c>
      <c r="BZ393286">
        <v>76</v>
      </c>
      <c r="CA393286">
        <v>77</v>
      </c>
      <c r="CB393286">
        <v>78</v>
      </c>
      <c r="CC393286">
        <v>79</v>
      </c>
      <c r="CD393286">
        <v>80</v>
      </c>
      <c r="CE393286">
        <v>81</v>
      </c>
      <c r="CF393286">
        <v>82</v>
      </c>
      <c r="CG393286">
        <v>83</v>
      </c>
      <c r="CH393286">
        <v>84</v>
      </c>
      <c r="CI393286">
        <v>85</v>
      </c>
      <c r="CJ393286">
        <v>86</v>
      </c>
      <c r="CK393286">
        <v>87</v>
      </c>
      <c r="CL393286">
        <v>88</v>
      </c>
      <c r="CM393286">
        <v>89</v>
      </c>
      <c r="CN393286">
        <v>90</v>
      </c>
      <c r="CO393286">
        <v>91</v>
      </c>
      <c r="CP393286">
        <v>92</v>
      </c>
      <c r="CQ393286">
        <v>93</v>
      </c>
      <c r="CR393286">
        <v>94</v>
      </c>
      <c r="CS393286">
        <v>95</v>
      </c>
      <c r="CT393286">
        <v>96</v>
      </c>
      <c r="CU393286">
        <v>97</v>
      </c>
      <c r="CV393286">
        <v>98</v>
      </c>
      <c r="CW393286">
        <v>99</v>
      </c>
      <c r="CX393286">
        <v>100</v>
      </c>
      <c r="CY393286">
        <v>101</v>
      </c>
      <c r="CZ393286">
        <v>102</v>
      </c>
      <c r="DA393286">
        <v>103</v>
      </c>
      <c r="DB393286">
        <v>104</v>
      </c>
      <c r="DC393286">
        <v>105</v>
      </c>
      <c r="DD393286">
        <v>106</v>
      </c>
      <c r="DE393286">
        <v>107</v>
      </c>
      <c r="DF393286">
        <v>108</v>
      </c>
      <c r="DG393286">
        <v>109</v>
      </c>
      <c r="DH393286">
        <v>110</v>
      </c>
      <c r="DI393286">
        <v>111</v>
      </c>
      <c r="DJ393286">
        <v>112</v>
      </c>
      <c r="DK393286">
        <v>113</v>
      </c>
      <c r="DL393286">
        <v>114</v>
      </c>
      <c r="DM393286">
        <v>115</v>
      </c>
      <c r="DN393286">
        <v>116</v>
      </c>
      <c r="DO393286">
        <v>117</v>
      </c>
      <c r="DP393286">
        <v>118</v>
      </c>
      <c r="DQ393286">
        <v>119</v>
      </c>
      <c r="DR393286">
        <v>120</v>
      </c>
      <c r="DS393286">
        <v>121</v>
      </c>
      <c r="DT393286">
        <v>122</v>
      </c>
      <c r="DU393286">
        <v>123</v>
      </c>
      <c r="DV393286">
        <v>124</v>
      </c>
      <c r="DW393286">
        <v>125</v>
      </c>
      <c r="DX393286">
        <v>126</v>
      </c>
      <c r="DY393286">
        <v>127</v>
      </c>
      <c r="DZ393286">
        <v>128</v>
      </c>
      <c r="EA393286">
        <v>129</v>
      </c>
      <c r="EB393286">
        <v>130</v>
      </c>
      <c r="EC393286">
        <v>131</v>
      </c>
      <c r="ED393286">
        <v>132</v>
      </c>
      <c r="EE393286">
        <v>133</v>
      </c>
      <c r="EF393286">
        <v>134</v>
      </c>
      <c r="EG393286">
        <v>135</v>
      </c>
      <c r="EH393286">
        <v>136</v>
      </c>
      <c r="EI393286">
        <v>137</v>
      </c>
      <c r="EJ393286">
        <v>138</v>
      </c>
      <c r="EK393286">
        <v>139</v>
      </c>
      <c r="EL393286">
        <v>140</v>
      </c>
      <c r="EM393286">
        <v>141</v>
      </c>
      <c r="EN393286">
        <v>142</v>
      </c>
      <c r="EO393286">
        <v>143</v>
      </c>
      <c r="EP393286">
        <v>144</v>
      </c>
    </row>
    <row r="393287" spans="2:146">
      <c r="CE393287" t="s">
        <v>451</v>
      </c>
    </row>
    <row r="409602" spans="2:2">
      <c r="B409602">
        <v>200</v>
      </c>
    </row>
    <row r="409603" spans="2:2">
      <c r="B409603">
        <v>200</v>
      </c>
    </row>
    <row r="409604" spans="2:2">
      <c r="B409604">
        <v>800</v>
      </c>
    </row>
    <row r="409605" spans="2:2">
      <c r="B409605">
        <v>200</v>
      </c>
    </row>
    <row r="409606" spans="2:2">
      <c r="B409606">
        <v>1044</v>
      </c>
    </row>
    <row r="409607" spans="2:2">
      <c r="B409607">
        <v>998.40000000000009</v>
      </c>
    </row>
    <row r="409608" spans="2:2">
      <c r="B409608">
        <v>272</v>
      </c>
    </row>
    <row r="409609" spans="2:2">
      <c r="B409609">
        <v>200</v>
      </c>
    </row>
    <row r="409610" spans="2:2">
      <c r="B409610">
        <v>214</v>
      </c>
    </row>
    <row r="409611" spans="2:2">
      <c r="B409611">
        <v>200</v>
      </c>
    </row>
    <row r="409612" spans="2:2">
      <c r="B409612">
        <v>152</v>
      </c>
    </row>
    <row r="409613" spans="2:2">
      <c r="B409613">
        <v>200</v>
      </c>
    </row>
    <row r="409614" spans="2:2">
      <c r="B409614">
        <v>300</v>
      </c>
    </row>
    <row r="409615" spans="2:2">
      <c r="B409615">
        <v>104</v>
      </c>
    </row>
    <row r="409616" spans="2:2">
      <c r="B409616">
        <v>162</v>
      </c>
    </row>
    <row r="409617" spans="2:2">
      <c r="B409617">
        <v>200</v>
      </c>
    </row>
    <row r="409618" spans="2:2">
      <c r="B409618">
        <v>200</v>
      </c>
    </row>
    <row r="409619" spans="2:2">
      <c r="B409619">
        <v>200</v>
      </c>
    </row>
    <row r="409620" spans="2:2">
      <c r="B409620">
        <v>200</v>
      </c>
    </row>
    <row r="409621" spans="2:2">
      <c r="B409621">
        <v>200</v>
      </c>
    </row>
    <row r="409622" spans="2:2">
      <c r="B409622">
        <v>200</v>
      </c>
    </row>
    <row r="409623" spans="2:2">
      <c r="B409623">
        <v>200</v>
      </c>
    </row>
    <row r="409624" spans="2:2">
      <c r="B409624">
        <v>200</v>
      </c>
    </row>
    <row r="409625" spans="2:2">
      <c r="B409625">
        <v>800</v>
      </c>
    </row>
    <row r="409626" spans="2:2">
      <c r="B409626">
        <v>300</v>
      </c>
    </row>
    <row r="409627" spans="2:2">
      <c r="B409627">
        <v>778</v>
      </c>
    </row>
    <row r="409628" spans="2:2">
      <c r="B409628">
        <v>614</v>
      </c>
    </row>
    <row r="409629" spans="2:2">
      <c r="B409629">
        <v>444</v>
      </c>
    </row>
    <row r="409630" spans="2:2">
      <c r="B409630">
        <v>800</v>
      </c>
    </row>
    <row r="409631" spans="2:2">
      <c r="B409631">
        <v>200</v>
      </c>
    </row>
    <row r="409632" spans="2:2">
      <c r="B409632">
        <v>780</v>
      </c>
    </row>
    <row r="409633" spans="2:146">
      <c r="B409633">
        <v>174</v>
      </c>
    </row>
    <row r="409634" spans="2:146">
      <c r="B409634">
        <v>194</v>
      </c>
    </row>
    <row r="409635" spans="2:146">
      <c r="B409635">
        <v>782</v>
      </c>
    </row>
    <row r="409636" spans="2:146">
      <c r="B409636">
        <v>236</v>
      </c>
    </row>
    <row r="409637" spans="2:146">
      <c r="B409637">
        <v>144</v>
      </c>
    </row>
    <row r="409638" spans="2:146">
      <c r="B409638">
        <v>200</v>
      </c>
    </row>
    <row r="409639" spans="2:146">
      <c r="B409639">
        <v>240</v>
      </c>
    </row>
    <row r="409640" spans="2:146">
      <c r="B409640">
        <v>200</v>
      </c>
    </row>
    <row r="409641" spans="2:146">
      <c r="B409641">
        <v>612</v>
      </c>
    </row>
    <row r="409642" spans="2:146">
      <c r="B409642">
        <v>156</v>
      </c>
    </row>
    <row r="409643" spans="2:146">
      <c r="B409643">
        <v>116</v>
      </c>
    </row>
    <row r="409644" spans="2:146">
      <c r="B409644">
        <v>160</v>
      </c>
    </row>
    <row r="409645" spans="2:146">
      <c r="B409645">
        <v>80</v>
      </c>
      <c r="EL409645">
        <v>0.66</v>
      </c>
      <c r="EM409645">
        <v>0.66</v>
      </c>
      <c r="EN409645">
        <v>0.66</v>
      </c>
      <c r="EO409645">
        <v>0.66</v>
      </c>
      <c r="EP409645">
        <v>0.66</v>
      </c>
    </row>
    <row r="409646" spans="2:146">
      <c r="B409646">
        <v>1144</v>
      </c>
      <c r="BV409646">
        <v>5.0999999999999996</v>
      </c>
      <c r="BW409646">
        <v>5.0999999999999996</v>
      </c>
      <c r="DB409646">
        <v>10.210000000000001</v>
      </c>
      <c r="DC409646">
        <v>10.210000000000001</v>
      </c>
      <c r="DD409646">
        <v>10.210000000000001</v>
      </c>
      <c r="DE409646">
        <v>10.210000000000001</v>
      </c>
      <c r="DF409646">
        <v>10.210000000000001</v>
      </c>
      <c r="DG409646">
        <v>10.210000000000001</v>
      </c>
      <c r="DH409646">
        <v>10.210000000000001</v>
      </c>
    </row>
    <row r="409647" spans="2:146">
      <c r="B409647">
        <v>1240</v>
      </c>
      <c r="EE409647">
        <v>8.15</v>
      </c>
      <c r="EF409647">
        <v>8.15</v>
      </c>
      <c r="EG409647">
        <v>8.15</v>
      </c>
      <c r="EH409647">
        <v>8.15</v>
      </c>
      <c r="EI409647">
        <v>8.15</v>
      </c>
      <c r="EJ409647">
        <v>8.15</v>
      </c>
      <c r="EK409647">
        <v>8.15</v>
      </c>
    </row>
    <row r="409648" spans="2:146">
      <c r="B409648">
        <v>2083.2000000000003</v>
      </c>
      <c r="DI409648">
        <v>20.03</v>
      </c>
      <c r="DJ409648">
        <v>20.03</v>
      </c>
      <c r="DQ409648">
        <v>20.03</v>
      </c>
      <c r="DT409648">
        <v>20.03</v>
      </c>
      <c r="DW409648">
        <v>20.03</v>
      </c>
    </row>
    <row r="409649" spans="2:134">
      <c r="B409649">
        <v>357.20000000000005</v>
      </c>
      <c r="DI409649">
        <v>3.88</v>
      </c>
      <c r="DJ409649">
        <v>3.88</v>
      </c>
      <c r="DV409649">
        <v>3.88</v>
      </c>
      <c r="DW409649">
        <v>3.88</v>
      </c>
    </row>
    <row r="409650" spans="2:134">
      <c r="B409650">
        <v>391.20000000000005</v>
      </c>
      <c r="DI409650">
        <v>3.62</v>
      </c>
      <c r="DJ409650">
        <v>3.62</v>
      </c>
      <c r="DR409650">
        <v>3.62</v>
      </c>
      <c r="DU409650">
        <v>3.62</v>
      </c>
      <c r="DV409650">
        <v>3.62</v>
      </c>
    </row>
    <row r="409651" spans="2:134">
      <c r="B409651">
        <v>762.80000000000007</v>
      </c>
      <c r="DI409651">
        <v>6.15</v>
      </c>
      <c r="DJ409651">
        <v>6.15</v>
      </c>
      <c r="DQ409651">
        <v>6.15</v>
      </c>
      <c r="DR409651">
        <v>6.15</v>
      </c>
      <c r="DS409651">
        <v>6.15</v>
      </c>
      <c r="DT409651">
        <v>6.15</v>
      </c>
    </row>
    <row r="409652" spans="2:134">
      <c r="B409652">
        <v>1280</v>
      </c>
      <c r="DI409652">
        <v>10.66</v>
      </c>
      <c r="DJ409652">
        <v>10.66</v>
      </c>
      <c r="DK409652">
        <v>10.66</v>
      </c>
      <c r="DL409652">
        <v>10.66</v>
      </c>
      <c r="DM409652">
        <v>10.66</v>
      </c>
      <c r="DN409652">
        <v>10.66</v>
      </c>
    </row>
    <row r="409653" spans="2:134">
      <c r="B409653">
        <v>234</v>
      </c>
      <c r="CT409653">
        <v>2.5</v>
      </c>
      <c r="CU409653">
        <v>2.5</v>
      </c>
      <c r="CV409653">
        <v>2.5</v>
      </c>
    </row>
    <row r="409654" spans="2:134">
      <c r="B409654">
        <v>354</v>
      </c>
      <c r="CY409654">
        <v>3.98</v>
      </c>
      <c r="CZ409654">
        <v>3.98</v>
      </c>
      <c r="DA409654">
        <v>3.98</v>
      </c>
    </row>
    <row r="409655" spans="2:134">
      <c r="B409655">
        <v>392</v>
      </c>
      <c r="DI409655">
        <v>3.52</v>
      </c>
      <c r="DJ409655">
        <v>3.52</v>
      </c>
      <c r="DL409655">
        <v>3.52</v>
      </c>
      <c r="DO409655">
        <v>3.52</v>
      </c>
    </row>
    <row r="409656" spans="2:134">
      <c r="B409656">
        <v>304</v>
      </c>
      <c r="CE409656">
        <v>3.8</v>
      </c>
      <c r="CF409656">
        <v>3.8</v>
      </c>
    </row>
    <row r="409657" spans="2:134">
      <c r="B409657">
        <v>144</v>
      </c>
      <c r="DZ409657">
        <v>1.62</v>
      </c>
      <c r="EA409657">
        <v>1.62</v>
      </c>
      <c r="EB409657">
        <v>1.62</v>
      </c>
      <c r="EC409657">
        <v>0.81</v>
      </c>
      <c r="ED409657">
        <v>0.81</v>
      </c>
    </row>
    <row r="409658" spans="2:134">
      <c r="B409658">
        <v>602.40000000000009</v>
      </c>
      <c r="BY409658">
        <v>6.02</v>
      </c>
      <c r="BZ409658">
        <v>6.02</v>
      </c>
      <c r="CB409658">
        <v>3.01</v>
      </c>
      <c r="CC409658">
        <v>3.01</v>
      </c>
      <c r="CD409658">
        <v>3.01</v>
      </c>
      <c r="CI409658">
        <v>6.02</v>
      </c>
      <c r="CJ409658">
        <v>6.02</v>
      </c>
      <c r="CK409658">
        <v>6.02</v>
      </c>
    </row>
    <row r="409659" spans="2:134">
      <c r="B409659">
        <v>307.60000000000002</v>
      </c>
      <c r="BY409659">
        <v>3.34</v>
      </c>
      <c r="BZ409659">
        <v>3.34</v>
      </c>
      <c r="CG409659">
        <v>3.34</v>
      </c>
      <c r="CH409659">
        <v>3.34</v>
      </c>
    </row>
    <row r="409660" spans="2:134">
      <c r="B409660">
        <v>358</v>
      </c>
      <c r="BY409660">
        <v>2.37</v>
      </c>
      <c r="BZ409660">
        <v>2.37</v>
      </c>
      <c r="CA409660">
        <v>2.37</v>
      </c>
      <c r="DX409660">
        <v>4.74</v>
      </c>
      <c r="DY409660">
        <v>4.74</v>
      </c>
    </row>
    <row r="409661" spans="2:134">
      <c r="B409661">
        <v>286</v>
      </c>
      <c r="BT409661">
        <v>1.43</v>
      </c>
      <c r="BV409661">
        <v>1.43</v>
      </c>
      <c r="BW409661">
        <v>1.43</v>
      </c>
      <c r="BX409661">
        <v>1.43</v>
      </c>
      <c r="CO409661">
        <v>2.86</v>
      </c>
      <c r="CP409661">
        <v>2.86</v>
      </c>
      <c r="CQ409661">
        <v>2.86</v>
      </c>
      <c r="CR409661">
        <v>2.86</v>
      </c>
      <c r="CS409661">
        <v>2.86</v>
      </c>
    </row>
    <row r="409662" spans="2:134">
      <c r="B409662">
        <v>410</v>
      </c>
      <c r="BY409662">
        <v>2.88</v>
      </c>
      <c r="BZ409662">
        <v>2.88</v>
      </c>
      <c r="CA409662">
        <v>2.88</v>
      </c>
      <c r="CW409662">
        <v>5.76</v>
      </c>
      <c r="CX409662">
        <v>5.76</v>
      </c>
    </row>
    <row r="409663" spans="2:134">
      <c r="B409663">
        <v>346</v>
      </c>
      <c r="BR409663">
        <v>3.6</v>
      </c>
      <c r="BS409663">
        <v>3.6</v>
      </c>
      <c r="BT409663">
        <v>1.8</v>
      </c>
      <c r="CL409663">
        <v>3.6</v>
      </c>
      <c r="CM409663">
        <v>3.6</v>
      </c>
      <c r="CN409663">
        <v>3.6</v>
      </c>
    </row>
    <row r="409664" spans="2:134">
      <c r="B409664">
        <v>302</v>
      </c>
      <c r="BR409664">
        <v>3.28</v>
      </c>
      <c r="BS409664">
        <v>3.28</v>
      </c>
      <c r="BT409664">
        <v>1.64</v>
      </c>
      <c r="BU409664">
        <v>1.64</v>
      </c>
      <c r="CL409664">
        <v>3.28</v>
      </c>
      <c r="CM409664">
        <v>3.28</v>
      </c>
      <c r="CN409664">
        <v>3.28</v>
      </c>
    </row>
    <row r="409665" spans="2:146">
      <c r="B409665">
        <v>204</v>
      </c>
      <c r="BR409665">
        <v>2.12</v>
      </c>
      <c r="BS409665">
        <v>2.12</v>
      </c>
      <c r="BT409665">
        <v>1.06</v>
      </c>
      <c r="CL409665">
        <v>2.12</v>
      </c>
      <c r="CM409665">
        <v>2.12</v>
      </c>
      <c r="CN409665">
        <v>2.12</v>
      </c>
    </row>
    <row r="409667" spans="2:146">
      <c r="B409667">
        <v>26358.800000000003</v>
      </c>
      <c r="BQ409667">
        <v>0</v>
      </c>
      <c r="BR409667">
        <v>9</v>
      </c>
      <c r="BS409667">
        <v>9</v>
      </c>
      <c r="BT409667">
        <v>5.93</v>
      </c>
      <c r="BU409667">
        <v>1.64</v>
      </c>
      <c r="BV409667">
        <v>6.5299999999999994</v>
      </c>
      <c r="BW409667">
        <v>6.5299999999999994</v>
      </c>
      <c r="BX409667">
        <v>1.43</v>
      </c>
      <c r="BY409667">
        <v>14.61</v>
      </c>
      <c r="BZ409667">
        <v>14.61</v>
      </c>
      <c r="CA409667">
        <v>5.25</v>
      </c>
      <c r="CB409667">
        <v>3.01</v>
      </c>
      <c r="CC409667">
        <v>3.01</v>
      </c>
      <c r="CD409667">
        <v>3.01</v>
      </c>
      <c r="CE409667">
        <v>3.8</v>
      </c>
      <c r="CF409667">
        <v>3.8</v>
      </c>
      <c r="CG409667">
        <v>3.34</v>
      </c>
      <c r="CH409667">
        <v>3.34</v>
      </c>
      <c r="CI409667">
        <v>6.02</v>
      </c>
      <c r="CJ409667">
        <v>6.02</v>
      </c>
      <c r="CK409667">
        <v>6.02</v>
      </c>
      <c r="CL409667">
        <v>9</v>
      </c>
      <c r="CM409667">
        <v>9</v>
      </c>
      <c r="CN409667">
        <v>9</v>
      </c>
      <c r="CO409667">
        <v>2.86</v>
      </c>
      <c r="CP409667">
        <v>2.86</v>
      </c>
      <c r="CQ409667">
        <v>2.86</v>
      </c>
      <c r="CR409667">
        <v>2.86</v>
      </c>
      <c r="CS409667">
        <v>2.86</v>
      </c>
      <c r="CT409667">
        <v>2.5</v>
      </c>
      <c r="CU409667">
        <v>2.5</v>
      </c>
      <c r="CV409667">
        <v>2.5</v>
      </c>
      <c r="CW409667">
        <v>5.76</v>
      </c>
      <c r="CX409667">
        <v>5.76</v>
      </c>
      <c r="CY409667">
        <v>3.98</v>
      </c>
      <c r="CZ409667">
        <v>3.98</v>
      </c>
      <c r="DA409667">
        <v>3.98</v>
      </c>
      <c r="DB409667">
        <v>10.210000000000001</v>
      </c>
      <c r="DC409667">
        <v>10.210000000000001</v>
      </c>
      <c r="DD409667">
        <v>10.210000000000001</v>
      </c>
      <c r="DE409667">
        <v>10.210000000000001</v>
      </c>
      <c r="DF409667">
        <v>10.210000000000001</v>
      </c>
      <c r="DG409667">
        <v>10.210000000000001</v>
      </c>
      <c r="DH409667">
        <v>10.210000000000001</v>
      </c>
      <c r="DI409667">
        <v>47.860000000000007</v>
      </c>
      <c r="DJ409667">
        <v>47.860000000000007</v>
      </c>
      <c r="DK409667">
        <v>10.66</v>
      </c>
      <c r="DL409667">
        <v>14.18</v>
      </c>
      <c r="DM409667">
        <v>10.66</v>
      </c>
      <c r="DN409667">
        <v>10.66</v>
      </c>
      <c r="DO409667">
        <v>3.52</v>
      </c>
      <c r="DP409667">
        <v>0</v>
      </c>
      <c r="DQ409667">
        <v>26.18</v>
      </c>
      <c r="DR409667">
        <v>9.77</v>
      </c>
      <c r="DS409667">
        <v>6.15</v>
      </c>
      <c r="DT409667">
        <v>26.18</v>
      </c>
      <c r="DU409667">
        <v>3.62</v>
      </c>
      <c r="DV409667">
        <v>7.5</v>
      </c>
      <c r="DW409667">
        <v>23.91</v>
      </c>
      <c r="DX409667">
        <v>4.74</v>
      </c>
      <c r="DY409667">
        <v>4.74</v>
      </c>
      <c r="DZ409667">
        <v>1.62</v>
      </c>
      <c r="EA409667">
        <v>1.62</v>
      </c>
      <c r="EB409667">
        <v>1.62</v>
      </c>
      <c r="EC409667">
        <v>0.81</v>
      </c>
      <c r="ED409667">
        <v>0.81</v>
      </c>
      <c r="EE409667">
        <v>8.15</v>
      </c>
      <c r="EF409667">
        <v>8.15</v>
      </c>
      <c r="EG409667">
        <v>8.15</v>
      </c>
      <c r="EH409667">
        <v>8.15</v>
      </c>
      <c r="EI409667">
        <v>8.15</v>
      </c>
      <c r="EJ409667">
        <v>8.15</v>
      </c>
      <c r="EK409667">
        <v>8.15</v>
      </c>
      <c r="EL409667">
        <v>0.66</v>
      </c>
      <c r="EM409667">
        <v>0.66</v>
      </c>
      <c r="EN409667">
        <v>0.66</v>
      </c>
      <c r="EO409667">
        <v>0.66</v>
      </c>
      <c r="EP409667">
        <v>0.66</v>
      </c>
    </row>
    <row r="409668" spans="2:146">
      <c r="B409668" t="s">
        <v>265</v>
      </c>
      <c r="BQ409668" t="s">
        <v>345</v>
      </c>
      <c r="BR409668" t="s">
        <v>131</v>
      </c>
      <c r="BS409668" t="s">
        <v>131</v>
      </c>
      <c r="BT409668" t="s">
        <v>357</v>
      </c>
      <c r="BU409668" t="s">
        <v>131</v>
      </c>
      <c r="BV409668" t="s">
        <v>360</v>
      </c>
      <c r="BW409668" t="s">
        <v>360</v>
      </c>
      <c r="BX409668" t="s">
        <v>360</v>
      </c>
      <c r="BY409668" t="s">
        <v>364</v>
      </c>
      <c r="BZ409668" t="s">
        <v>364</v>
      </c>
      <c r="CA409668" t="s">
        <v>364</v>
      </c>
      <c r="CB409668" t="s">
        <v>368</v>
      </c>
      <c r="CC409668" t="s">
        <v>368</v>
      </c>
      <c r="CD409668" t="s">
        <v>368</v>
      </c>
      <c r="CE409668" t="s">
        <v>352</v>
      </c>
      <c r="CF409668" t="s">
        <v>352</v>
      </c>
      <c r="CG409668" t="s">
        <v>372</v>
      </c>
      <c r="CH409668" t="s">
        <v>372</v>
      </c>
      <c r="CI409668" t="s">
        <v>375</v>
      </c>
      <c r="CJ409668" t="s">
        <v>375</v>
      </c>
      <c r="CK409668" t="s">
        <v>375</v>
      </c>
      <c r="CL409668" t="s">
        <v>379</v>
      </c>
      <c r="CM409668" t="s">
        <v>379</v>
      </c>
      <c r="CN409668" t="s">
        <v>379</v>
      </c>
      <c r="CO409668" t="s">
        <v>383</v>
      </c>
      <c r="CP409668" t="s">
        <v>383</v>
      </c>
      <c r="CQ409668" t="s">
        <v>383</v>
      </c>
      <c r="CR409668" t="s">
        <v>383</v>
      </c>
      <c r="CS409668" t="s">
        <v>383</v>
      </c>
      <c r="CT409668" t="s">
        <v>389</v>
      </c>
      <c r="CU409668" t="s">
        <v>389</v>
      </c>
      <c r="CV409668" t="s">
        <v>389</v>
      </c>
      <c r="CW409668" t="s">
        <v>393</v>
      </c>
      <c r="CX409668" t="s">
        <v>393</v>
      </c>
      <c r="CY409668" t="s">
        <v>396</v>
      </c>
      <c r="CZ409668" t="s">
        <v>396</v>
      </c>
      <c r="DA409668" t="s">
        <v>396</v>
      </c>
      <c r="DB409668" t="s">
        <v>400</v>
      </c>
      <c r="DC409668" t="s">
        <v>400</v>
      </c>
      <c r="DD409668" t="s">
        <v>400</v>
      </c>
      <c r="DE409668" t="s">
        <v>400</v>
      </c>
      <c r="DF409668" t="s">
        <v>400</v>
      </c>
      <c r="DG409668" t="s">
        <v>400</v>
      </c>
      <c r="DH409668" t="s">
        <v>400</v>
      </c>
      <c r="DI409668" t="s">
        <v>121</v>
      </c>
      <c r="DJ409668" t="s">
        <v>121</v>
      </c>
      <c r="DK409668" t="s">
        <v>121</v>
      </c>
      <c r="DL409668" t="s">
        <v>121</v>
      </c>
      <c r="DM409668" t="s">
        <v>121</v>
      </c>
      <c r="DN409668" t="s">
        <v>121</v>
      </c>
      <c r="DO409668" t="s">
        <v>121</v>
      </c>
      <c r="DP409668" t="s">
        <v>121</v>
      </c>
      <c r="DQ409668" t="s">
        <v>121</v>
      </c>
      <c r="DR409668" t="s">
        <v>121</v>
      </c>
      <c r="DS409668" t="s">
        <v>121</v>
      </c>
      <c r="DT409668" t="s">
        <v>121</v>
      </c>
      <c r="DU409668" t="s">
        <v>121</v>
      </c>
      <c r="DV409668" t="s">
        <v>121</v>
      </c>
      <c r="DW409668" t="s">
        <v>121</v>
      </c>
      <c r="DX409668" t="s">
        <v>423</v>
      </c>
      <c r="DY409668" t="s">
        <v>423</v>
      </c>
      <c r="DZ409668" t="s">
        <v>426</v>
      </c>
      <c r="EA409668" t="s">
        <v>426</v>
      </c>
      <c r="EB409668" t="s">
        <v>426</v>
      </c>
      <c r="EC409668" t="s">
        <v>426</v>
      </c>
      <c r="ED409668" t="s">
        <v>426</v>
      </c>
      <c r="EE409668" t="s">
        <v>432</v>
      </c>
      <c r="EF409668" t="s">
        <v>432</v>
      </c>
      <c r="EG409668" t="s">
        <v>432</v>
      </c>
      <c r="EH409668" t="s">
        <v>432</v>
      </c>
      <c r="EI409668" t="s">
        <v>432</v>
      </c>
      <c r="EJ409668" t="s">
        <v>432</v>
      </c>
      <c r="EK409668" t="s">
        <v>432</v>
      </c>
      <c r="EL409668" t="s">
        <v>440</v>
      </c>
      <c r="EM409668" t="s">
        <v>440</v>
      </c>
      <c r="EN409668" t="s">
        <v>440</v>
      </c>
      <c r="EO409668" t="s">
        <v>440</v>
      </c>
      <c r="EP409668" t="s">
        <v>440</v>
      </c>
    </row>
    <row r="409669" spans="2:146">
      <c r="BQ409669" t="s">
        <v>351</v>
      </c>
      <c r="BR409669" t="s">
        <v>355</v>
      </c>
      <c r="BS409669" t="s">
        <v>356</v>
      </c>
      <c r="BT409669" t="s">
        <v>358</v>
      </c>
      <c r="BU409669" t="s">
        <v>359</v>
      </c>
      <c r="BV409669" t="s">
        <v>361</v>
      </c>
      <c r="BW409669" t="s">
        <v>362</v>
      </c>
      <c r="BX409669" t="s">
        <v>363</v>
      </c>
      <c r="BY409669" t="s">
        <v>365</v>
      </c>
      <c r="BZ409669" t="s">
        <v>366</v>
      </c>
      <c r="CA409669" t="s">
        <v>367</v>
      </c>
      <c r="CB409669" t="s">
        <v>369</v>
      </c>
      <c r="CC409669" t="s">
        <v>370</v>
      </c>
      <c r="CD409669" t="s">
        <v>371</v>
      </c>
      <c r="CE409669" t="s">
        <v>353</v>
      </c>
      <c r="CF409669" t="s">
        <v>354</v>
      </c>
      <c r="CG409669" t="s">
        <v>373</v>
      </c>
      <c r="CH409669" t="s">
        <v>374</v>
      </c>
      <c r="CI409669" t="s">
        <v>376</v>
      </c>
      <c r="CJ409669" t="s">
        <v>377</v>
      </c>
      <c r="CK409669" t="s">
        <v>378</v>
      </c>
      <c r="CL409669" t="s">
        <v>380</v>
      </c>
      <c r="CM409669" t="s">
        <v>381</v>
      </c>
      <c r="CN409669" t="s">
        <v>382</v>
      </c>
      <c r="CO409669" t="s">
        <v>384</v>
      </c>
      <c r="CP409669" t="s">
        <v>385</v>
      </c>
      <c r="CQ409669" t="s">
        <v>386</v>
      </c>
      <c r="CR409669" t="s">
        <v>387</v>
      </c>
      <c r="CS409669" t="s">
        <v>388</v>
      </c>
      <c r="CT409669" t="s">
        <v>390</v>
      </c>
      <c r="CU409669" t="s">
        <v>391</v>
      </c>
      <c r="CV409669" t="s">
        <v>392</v>
      </c>
      <c r="CW409669" t="s">
        <v>394</v>
      </c>
      <c r="CX409669" t="s">
        <v>395</v>
      </c>
      <c r="CY409669" t="s">
        <v>397</v>
      </c>
      <c r="CZ409669" t="s">
        <v>398</v>
      </c>
      <c r="DA409669" t="s">
        <v>399</v>
      </c>
      <c r="DB409669" t="s">
        <v>401</v>
      </c>
      <c r="DC409669" t="s">
        <v>402</v>
      </c>
      <c r="DD409669" t="s">
        <v>403</v>
      </c>
      <c r="DE409669" t="s">
        <v>404</v>
      </c>
      <c r="DF409669" t="s">
        <v>405</v>
      </c>
      <c r="DG409669" t="s">
        <v>406</v>
      </c>
      <c r="DH409669" t="s">
        <v>407</v>
      </c>
      <c r="DI409669" t="s">
        <v>408</v>
      </c>
      <c r="DJ409669" t="s">
        <v>409</v>
      </c>
      <c r="DK409669" t="s">
        <v>410</v>
      </c>
      <c r="DL409669" t="s">
        <v>411</v>
      </c>
      <c r="DM409669" t="s">
        <v>412</v>
      </c>
      <c r="DN409669" t="s">
        <v>413</v>
      </c>
      <c r="DO409669" t="s">
        <v>414</v>
      </c>
      <c r="DP409669" t="s">
        <v>415</v>
      </c>
      <c r="DQ409669" t="s">
        <v>416</v>
      </c>
      <c r="DR409669" t="s">
        <v>417</v>
      </c>
      <c r="DS409669" t="s">
        <v>418</v>
      </c>
      <c r="DT409669" t="s">
        <v>419</v>
      </c>
      <c r="DU409669" t="s">
        <v>420</v>
      </c>
      <c r="DV409669" t="s">
        <v>421</v>
      </c>
      <c r="DW409669" t="s">
        <v>422</v>
      </c>
      <c r="DX409669" t="s">
        <v>424</v>
      </c>
      <c r="DY409669" t="s">
        <v>425</v>
      </c>
      <c r="DZ409669" t="s">
        <v>427</v>
      </c>
      <c r="EA409669" t="s">
        <v>428</v>
      </c>
      <c r="EB409669" t="s">
        <v>429</v>
      </c>
      <c r="EC409669" t="s">
        <v>430</v>
      </c>
      <c r="ED409669" t="s">
        <v>431</v>
      </c>
      <c r="EE409669" t="s">
        <v>433</v>
      </c>
      <c r="EF409669" t="s">
        <v>434</v>
      </c>
      <c r="EG409669" t="s">
        <v>435</v>
      </c>
      <c r="EH409669" t="s">
        <v>436</v>
      </c>
      <c r="EI409669" t="s">
        <v>437</v>
      </c>
      <c r="EJ409669" t="s">
        <v>438</v>
      </c>
      <c r="EK409669" t="s">
        <v>439</v>
      </c>
      <c r="EL409669" t="s">
        <v>441</v>
      </c>
      <c r="EM409669" t="s">
        <v>442</v>
      </c>
      <c r="EN409669" t="s">
        <v>443</v>
      </c>
      <c r="EO409669" t="s">
        <v>444</v>
      </c>
      <c r="EP409669" t="s">
        <v>445</v>
      </c>
    </row>
    <row r="409670" spans="2:146">
      <c r="BQ409670">
        <v>67</v>
      </c>
      <c r="BR409670">
        <v>68</v>
      </c>
      <c r="BS409670">
        <v>69</v>
      </c>
      <c r="BT409670">
        <v>70</v>
      </c>
      <c r="BU409670">
        <v>71</v>
      </c>
      <c r="BV409670">
        <v>72</v>
      </c>
      <c r="BW409670">
        <v>73</v>
      </c>
      <c r="BX409670">
        <v>74</v>
      </c>
      <c r="BY409670">
        <v>75</v>
      </c>
      <c r="BZ409670">
        <v>76</v>
      </c>
      <c r="CA409670">
        <v>77</v>
      </c>
      <c r="CB409670">
        <v>78</v>
      </c>
      <c r="CC409670">
        <v>79</v>
      </c>
      <c r="CD409670">
        <v>80</v>
      </c>
      <c r="CE409670">
        <v>81</v>
      </c>
      <c r="CF409670">
        <v>82</v>
      </c>
      <c r="CG409670">
        <v>83</v>
      </c>
      <c r="CH409670">
        <v>84</v>
      </c>
      <c r="CI409670">
        <v>85</v>
      </c>
      <c r="CJ409670">
        <v>86</v>
      </c>
      <c r="CK409670">
        <v>87</v>
      </c>
      <c r="CL409670">
        <v>88</v>
      </c>
      <c r="CM409670">
        <v>89</v>
      </c>
      <c r="CN409670">
        <v>90</v>
      </c>
      <c r="CO409670">
        <v>91</v>
      </c>
      <c r="CP409670">
        <v>92</v>
      </c>
      <c r="CQ409670">
        <v>93</v>
      </c>
      <c r="CR409670">
        <v>94</v>
      </c>
      <c r="CS409670">
        <v>95</v>
      </c>
      <c r="CT409670">
        <v>96</v>
      </c>
      <c r="CU409670">
        <v>97</v>
      </c>
      <c r="CV409670">
        <v>98</v>
      </c>
      <c r="CW409670">
        <v>99</v>
      </c>
      <c r="CX409670">
        <v>100</v>
      </c>
      <c r="CY409670">
        <v>101</v>
      </c>
      <c r="CZ409670">
        <v>102</v>
      </c>
      <c r="DA409670">
        <v>103</v>
      </c>
      <c r="DB409670">
        <v>104</v>
      </c>
      <c r="DC409670">
        <v>105</v>
      </c>
      <c r="DD409670">
        <v>106</v>
      </c>
      <c r="DE409670">
        <v>107</v>
      </c>
      <c r="DF409670">
        <v>108</v>
      </c>
      <c r="DG409670">
        <v>109</v>
      </c>
      <c r="DH409670">
        <v>110</v>
      </c>
      <c r="DI409670">
        <v>111</v>
      </c>
      <c r="DJ409670">
        <v>112</v>
      </c>
      <c r="DK409670">
        <v>113</v>
      </c>
      <c r="DL409670">
        <v>114</v>
      </c>
      <c r="DM409670">
        <v>115</v>
      </c>
      <c r="DN409670">
        <v>116</v>
      </c>
      <c r="DO409670">
        <v>117</v>
      </c>
      <c r="DP409670">
        <v>118</v>
      </c>
      <c r="DQ409670">
        <v>119</v>
      </c>
      <c r="DR409670">
        <v>120</v>
      </c>
      <c r="DS409670">
        <v>121</v>
      </c>
      <c r="DT409670">
        <v>122</v>
      </c>
      <c r="DU409670">
        <v>123</v>
      </c>
      <c r="DV409670">
        <v>124</v>
      </c>
      <c r="DW409670">
        <v>125</v>
      </c>
      <c r="DX409670">
        <v>126</v>
      </c>
      <c r="DY409670">
        <v>127</v>
      </c>
      <c r="DZ409670">
        <v>128</v>
      </c>
      <c r="EA409670">
        <v>129</v>
      </c>
      <c r="EB409670">
        <v>130</v>
      </c>
      <c r="EC409670">
        <v>131</v>
      </c>
      <c r="ED409670">
        <v>132</v>
      </c>
      <c r="EE409670">
        <v>133</v>
      </c>
      <c r="EF409670">
        <v>134</v>
      </c>
      <c r="EG409670">
        <v>135</v>
      </c>
      <c r="EH409670">
        <v>136</v>
      </c>
      <c r="EI409670">
        <v>137</v>
      </c>
      <c r="EJ409670">
        <v>138</v>
      </c>
      <c r="EK409670">
        <v>139</v>
      </c>
      <c r="EL409670">
        <v>140</v>
      </c>
      <c r="EM409670">
        <v>141</v>
      </c>
      <c r="EN409670">
        <v>142</v>
      </c>
      <c r="EO409670">
        <v>143</v>
      </c>
      <c r="EP409670">
        <v>144</v>
      </c>
    </row>
    <row r="409671" spans="2:146">
      <c r="CE409671" t="s">
        <v>451</v>
      </c>
    </row>
    <row r="425986" spans="2:2">
      <c r="B425986">
        <v>200</v>
      </c>
    </row>
    <row r="425987" spans="2:2">
      <c r="B425987">
        <v>200</v>
      </c>
    </row>
    <row r="425988" spans="2:2">
      <c r="B425988">
        <v>800</v>
      </c>
    </row>
    <row r="425989" spans="2:2">
      <c r="B425989">
        <v>200</v>
      </c>
    </row>
    <row r="425990" spans="2:2">
      <c r="B425990">
        <v>1044</v>
      </c>
    </row>
    <row r="425991" spans="2:2">
      <c r="B425991">
        <v>998.40000000000009</v>
      </c>
    </row>
    <row r="425992" spans="2:2">
      <c r="B425992">
        <v>272</v>
      </c>
    </row>
    <row r="425993" spans="2:2">
      <c r="B425993">
        <v>200</v>
      </c>
    </row>
    <row r="425994" spans="2:2">
      <c r="B425994">
        <v>214</v>
      </c>
    </row>
    <row r="425995" spans="2:2">
      <c r="B425995">
        <v>200</v>
      </c>
    </row>
    <row r="425996" spans="2:2">
      <c r="B425996">
        <v>152</v>
      </c>
    </row>
    <row r="425997" spans="2:2">
      <c r="B425997">
        <v>200</v>
      </c>
    </row>
    <row r="425998" spans="2:2">
      <c r="B425998">
        <v>300</v>
      </c>
    </row>
    <row r="425999" spans="2:2">
      <c r="B425999">
        <v>104</v>
      </c>
    </row>
    <row r="426000" spans="2:2">
      <c r="B426000">
        <v>162</v>
      </c>
    </row>
    <row r="426001" spans="2:2">
      <c r="B426001">
        <v>200</v>
      </c>
    </row>
    <row r="426002" spans="2:2">
      <c r="B426002">
        <v>200</v>
      </c>
    </row>
    <row r="426003" spans="2:2">
      <c r="B426003">
        <v>200</v>
      </c>
    </row>
    <row r="426004" spans="2:2">
      <c r="B426004">
        <v>200</v>
      </c>
    </row>
    <row r="426005" spans="2:2">
      <c r="B426005">
        <v>200</v>
      </c>
    </row>
    <row r="426006" spans="2:2">
      <c r="B426006">
        <v>200</v>
      </c>
    </row>
    <row r="426007" spans="2:2">
      <c r="B426007">
        <v>200</v>
      </c>
    </row>
    <row r="426008" spans="2:2">
      <c r="B426008">
        <v>200</v>
      </c>
    </row>
    <row r="426009" spans="2:2">
      <c r="B426009">
        <v>800</v>
      </c>
    </row>
    <row r="426010" spans="2:2">
      <c r="B426010">
        <v>300</v>
      </c>
    </row>
    <row r="426011" spans="2:2">
      <c r="B426011">
        <v>778</v>
      </c>
    </row>
    <row r="426012" spans="2:2">
      <c r="B426012">
        <v>614</v>
      </c>
    </row>
    <row r="426013" spans="2:2">
      <c r="B426013">
        <v>444</v>
      </c>
    </row>
    <row r="426014" spans="2:2">
      <c r="B426014">
        <v>800</v>
      </c>
    </row>
    <row r="426015" spans="2:2">
      <c r="B426015">
        <v>200</v>
      </c>
    </row>
    <row r="426016" spans="2:2">
      <c r="B426016">
        <v>780</v>
      </c>
    </row>
    <row r="426017" spans="2:146">
      <c r="B426017">
        <v>174</v>
      </c>
    </row>
    <row r="426018" spans="2:146">
      <c r="B426018">
        <v>194</v>
      </c>
    </row>
    <row r="426019" spans="2:146">
      <c r="B426019">
        <v>782</v>
      </c>
    </row>
    <row r="426020" spans="2:146">
      <c r="B426020">
        <v>236</v>
      </c>
    </row>
    <row r="426021" spans="2:146">
      <c r="B426021">
        <v>144</v>
      </c>
    </row>
    <row r="426022" spans="2:146">
      <c r="B426022">
        <v>200</v>
      </c>
    </row>
    <row r="426023" spans="2:146">
      <c r="B426023">
        <v>240</v>
      </c>
    </row>
    <row r="426024" spans="2:146">
      <c r="B426024">
        <v>200</v>
      </c>
    </row>
    <row r="426025" spans="2:146">
      <c r="B426025">
        <v>612</v>
      </c>
    </row>
    <row r="426026" spans="2:146">
      <c r="B426026">
        <v>156</v>
      </c>
    </row>
    <row r="426027" spans="2:146">
      <c r="B426027">
        <v>116</v>
      </c>
    </row>
    <row r="426028" spans="2:146">
      <c r="B426028">
        <v>160</v>
      </c>
    </row>
    <row r="426029" spans="2:146">
      <c r="B426029">
        <v>80</v>
      </c>
      <c r="EL426029">
        <v>0.66</v>
      </c>
      <c r="EM426029">
        <v>0.66</v>
      </c>
      <c r="EN426029">
        <v>0.66</v>
      </c>
      <c r="EO426029">
        <v>0.66</v>
      </c>
      <c r="EP426029">
        <v>0.66</v>
      </c>
    </row>
    <row r="426030" spans="2:146">
      <c r="B426030">
        <v>1144</v>
      </c>
      <c r="BV426030">
        <v>5.0999999999999996</v>
      </c>
      <c r="BW426030">
        <v>5.0999999999999996</v>
      </c>
      <c r="DB426030">
        <v>10.210000000000001</v>
      </c>
      <c r="DC426030">
        <v>10.210000000000001</v>
      </c>
      <c r="DD426030">
        <v>10.210000000000001</v>
      </c>
      <c r="DE426030">
        <v>10.210000000000001</v>
      </c>
      <c r="DF426030">
        <v>10.210000000000001</v>
      </c>
      <c r="DG426030">
        <v>10.210000000000001</v>
      </c>
      <c r="DH426030">
        <v>10.210000000000001</v>
      </c>
    </row>
    <row r="426031" spans="2:146">
      <c r="B426031">
        <v>1240</v>
      </c>
      <c r="EE426031">
        <v>8.15</v>
      </c>
      <c r="EF426031">
        <v>8.15</v>
      </c>
      <c r="EG426031">
        <v>8.15</v>
      </c>
      <c r="EH426031">
        <v>8.15</v>
      </c>
      <c r="EI426031">
        <v>8.15</v>
      </c>
      <c r="EJ426031">
        <v>8.15</v>
      </c>
      <c r="EK426031">
        <v>8.15</v>
      </c>
    </row>
    <row r="426032" spans="2:146">
      <c r="B426032">
        <v>2083.2000000000003</v>
      </c>
      <c r="DI426032">
        <v>20.03</v>
      </c>
      <c r="DJ426032">
        <v>20.03</v>
      </c>
      <c r="DQ426032">
        <v>20.03</v>
      </c>
      <c r="DT426032">
        <v>20.03</v>
      </c>
      <c r="DW426032">
        <v>20.03</v>
      </c>
    </row>
    <row r="426033" spans="2:134">
      <c r="B426033">
        <v>357.20000000000005</v>
      </c>
      <c r="DI426033">
        <v>3.88</v>
      </c>
      <c r="DJ426033">
        <v>3.88</v>
      </c>
      <c r="DV426033">
        <v>3.88</v>
      </c>
      <c r="DW426033">
        <v>3.88</v>
      </c>
    </row>
    <row r="426034" spans="2:134">
      <c r="B426034">
        <v>391.20000000000005</v>
      </c>
      <c r="DI426034">
        <v>3.62</v>
      </c>
      <c r="DJ426034">
        <v>3.62</v>
      </c>
      <c r="DR426034">
        <v>3.62</v>
      </c>
      <c r="DU426034">
        <v>3.62</v>
      </c>
      <c r="DV426034">
        <v>3.62</v>
      </c>
    </row>
    <row r="426035" spans="2:134">
      <c r="B426035">
        <v>762.80000000000007</v>
      </c>
      <c r="DI426035">
        <v>6.15</v>
      </c>
      <c r="DJ426035">
        <v>6.15</v>
      </c>
      <c r="DQ426035">
        <v>6.15</v>
      </c>
      <c r="DR426035">
        <v>6.15</v>
      </c>
      <c r="DS426035">
        <v>6.15</v>
      </c>
      <c r="DT426035">
        <v>6.15</v>
      </c>
    </row>
    <row r="426036" spans="2:134">
      <c r="B426036">
        <v>1280</v>
      </c>
      <c r="DI426036">
        <v>10.66</v>
      </c>
      <c r="DJ426036">
        <v>10.66</v>
      </c>
      <c r="DK426036">
        <v>10.66</v>
      </c>
      <c r="DL426036">
        <v>10.66</v>
      </c>
      <c r="DM426036">
        <v>10.66</v>
      </c>
      <c r="DN426036">
        <v>10.66</v>
      </c>
    </row>
    <row r="426037" spans="2:134">
      <c r="B426037">
        <v>234</v>
      </c>
      <c r="CT426037">
        <v>2.5</v>
      </c>
      <c r="CU426037">
        <v>2.5</v>
      </c>
      <c r="CV426037">
        <v>2.5</v>
      </c>
    </row>
    <row r="426038" spans="2:134">
      <c r="B426038">
        <v>354</v>
      </c>
      <c r="CY426038">
        <v>3.98</v>
      </c>
      <c r="CZ426038">
        <v>3.98</v>
      </c>
      <c r="DA426038">
        <v>3.98</v>
      </c>
    </row>
    <row r="426039" spans="2:134">
      <c r="B426039">
        <v>392</v>
      </c>
      <c r="DI426039">
        <v>3.52</v>
      </c>
      <c r="DJ426039">
        <v>3.52</v>
      </c>
      <c r="DL426039">
        <v>3.52</v>
      </c>
      <c r="DO426039">
        <v>3.52</v>
      </c>
    </row>
    <row r="426040" spans="2:134">
      <c r="B426040">
        <v>304</v>
      </c>
      <c r="CE426040">
        <v>3.8</v>
      </c>
      <c r="CF426040">
        <v>3.8</v>
      </c>
    </row>
    <row r="426041" spans="2:134">
      <c r="B426041">
        <v>144</v>
      </c>
      <c r="DZ426041">
        <v>1.62</v>
      </c>
      <c r="EA426041">
        <v>1.62</v>
      </c>
      <c r="EB426041">
        <v>1.62</v>
      </c>
      <c r="EC426041">
        <v>0.81</v>
      </c>
      <c r="ED426041">
        <v>0.81</v>
      </c>
    </row>
    <row r="426042" spans="2:134">
      <c r="B426042">
        <v>602.40000000000009</v>
      </c>
      <c r="BY426042">
        <v>6.02</v>
      </c>
      <c r="BZ426042">
        <v>6.02</v>
      </c>
      <c r="CB426042">
        <v>3.01</v>
      </c>
      <c r="CC426042">
        <v>3.01</v>
      </c>
      <c r="CD426042">
        <v>3.01</v>
      </c>
      <c r="CI426042">
        <v>6.02</v>
      </c>
      <c r="CJ426042">
        <v>6.02</v>
      </c>
      <c r="CK426042">
        <v>6.02</v>
      </c>
    </row>
    <row r="426043" spans="2:134">
      <c r="B426043">
        <v>307.60000000000002</v>
      </c>
      <c r="BY426043">
        <v>3.34</v>
      </c>
      <c r="BZ426043">
        <v>3.34</v>
      </c>
      <c r="CG426043">
        <v>3.34</v>
      </c>
      <c r="CH426043">
        <v>3.34</v>
      </c>
    </row>
    <row r="426044" spans="2:134">
      <c r="B426044">
        <v>358</v>
      </c>
      <c r="BY426044">
        <v>2.37</v>
      </c>
      <c r="BZ426044">
        <v>2.37</v>
      </c>
      <c r="CA426044">
        <v>2.37</v>
      </c>
      <c r="DX426044">
        <v>4.74</v>
      </c>
      <c r="DY426044">
        <v>4.74</v>
      </c>
    </row>
    <row r="426045" spans="2:134">
      <c r="B426045">
        <v>286</v>
      </c>
      <c r="BT426045">
        <v>1.43</v>
      </c>
      <c r="BV426045">
        <v>1.43</v>
      </c>
      <c r="BW426045">
        <v>1.43</v>
      </c>
      <c r="BX426045">
        <v>1.43</v>
      </c>
      <c r="CO426045">
        <v>2.86</v>
      </c>
      <c r="CP426045">
        <v>2.86</v>
      </c>
      <c r="CQ426045">
        <v>2.86</v>
      </c>
      <c r="CR426045">
        <v>2.86</v>
      </c>
      <c r="CS426045">
        <v>2.86</v>
      </c>
    </row>
    <row r="426046" spans="2:134">
      <c r="B426046">
        <v>410</v>
      </c>
      <c r="BY426046">
        <v>2.88</v>
      </c>
      <c r="BZ426046">
        <v>2.88</v>
      </c>
      <c r="CA426046">
        <v>2.88</v>
      </c>
      <c r="CW426046">
        <v>5.76</v>
      </c>
      <c r="CX426046">
        <v>5.76</v>
      </c>
    </row>
    <row r="426047" spans="2:134">
      <c r="B426047">
        <v>346</v>
      </c>
      <c r="BR426047">
        <v>3.6</v>
      </c>
      <c r="BS426047">
        <v>3.6</v>
      </c>
      <c r="BT426047">
        <v>1.8</v>
      </c>
      <c r="CL426047">
        <v>3.6</v>
      </c>
      <c r="CM426047">
        <v>3.6</v>
      </c>
      <c r="CN426047">
        <v>3.6</v>
      </c>
    </row>
    <row r="426048" spans="2:134">
      <c r="B426048">
        <v>302</v>
      </c>
      <c r="BR426048">
        <v>3.28</v>
      </c>
      <c r="BS426048">
        <v>3.28</v>
      </c>
      <c r="BT426048">
        <v>1.64</v>
      </c>
      <c r="BU426048">
        <v>1.64</v>
      </c>
      <c r="CL426048">
        <v>3.28</v>
      </c>
      <c r="CM426048">
        <v>3.28</v>
      </c>
      <c r="CN426048">
        <v>3.28</v>
      </c>
    </row>
    <row r="426049" spans="2:146">
      <c r="B426049">
        <v>204</v>
      </c>
      <c r="BR426049">
        <v>2.12</v>
      </c>
      <c r="BS426049">
        <v>2.12</v>
      </c>
      <c r="BT426049">
        <v>1.06</v>
      </c>
      <c r="CL426049">
        <v>2.12</v>
      </c>
      <c r="CM426049">
        <v>2.12</v>
      </c>
      <c r="CN426049">
        <v>2.12</v>
      </c>
    </row>
    <row r="426051" spans="2:146">
      <c r="B426051">
        <v>26358.800000000003</v>
      </c>
      <c r="BQ426051">
        <v>0</v>
      </c>
      <c r="BR426051">
        <v>9</v>
      </c>
      <c r="BS426051">
        <v>9</v>
      </c>
      <c r="BT426051">
        <v>5.93</v>
      </c>
      <c r="BU426051">
        <v>1.64</v>
      </c>
      <c r="BV426051">
        <v>6.5299999999999994</v>
      </c>
      <c r="BW426051">
        <v>6.5299999999999994</v>
      </c>
      <c r="BX426051">
        <v>1.43</v>
      </c>
      <c r="BY426051">
        <v>14.61</v>
      </c>
      <c r="BZ426051">
        <v>14.61</v>
      </c>
      <c r="CA426051">
        <v>5.25</v>
      </c>
      <c r="CB426051">
        <v>3.01</v>
      </c>
      <c r="CC426051">
        <v>3.01</v>
      </c>
      <c r="CD426051">
        <v>3.01</v>
      </c>
      <c r="CE426051">
        <v>3.8</v>
      </c>
      <c r="CF426051">
        <v>3.8</v>
      </c>
      <c r="CG426051">
        <v>3.34</v>
      </c>
      <c r="CH426051">
        <v>3.34</v>
      </c>
      <c r="CI426051">
        <v>6.02</v>
      </c>
      <c r="CJ426051">
        <v>6.02</v>
      </c>
      <c r="CK426051">
        <v>6.02</v>
      </c>
      <c r="CL426051">
        <v>9</v>
      </c>
      <c r="CM426051">
        <v>9</v>
      </c>
      <c r="CN426051">
        <v>9</v>
      </c>
      <c r="CO426051">
        <v>2.86</v>
      </c>
      <c r="CP426051">
        <v>2.86</v>
      </c>
      <c r="CQ426051">
        <v>2.86</v>
      </c>
      <c r="CR426051">
        <v>2.86</v>
      </c>
      <c r="CS426051">
        <v>2.86</v>
      </c>
      <c r="CT426051">
        <v>2.5</v>
      </c>
      <c r="CU426051">
        <v>2.5</v>
      </c>
      <c r="CV426051">
        <v>2.5</v>
      </c>
      <c r="CW426051">
        <v>5.76</v>
      </c>
      <c r="CX426051">
        <v>5.76</v>
      </c>
      <c r="CY426051">
        <v>3.98</v>
      </c>
      <c r="CZ426051">
        <v>3.98</v>
      </c>
      <c r="DA426051">
        <v>3.98</v>
      </c>
      <c r="DB426051">
        <v>10.210000000000001</v>
      </c>
      <c r="DC426051">
        <v>10.210000000000001</v>
      </c>
      <c r="DD426051">
        <v>10.210000000000001</v>
      </c>
      <c r="DE426051">
        <v>10.210000000000001</v>
      </c>
      <c r="DF426051">
        <v>10.210000000000001</v>
      </c>
      <c r="DG426051">
        <v>10.210000000000001</v>
      </c>
      <c r="DH426051">
        <v>10.210000000000001</v>
      </c>
      <c r="DI426051">
        <v>47.860000000000007</v>
      </c>
      <c r="DJ426051">
        <v>47.860000000000007</v>
      </c>
      <c r="DK426051">
        <v>10.66</v>
      </c>
      <c r="DL426051">
        <v>14.18</v>
      </c>
      <c r="DM426051">
        <v>10.66</v>
      </c>
      <c r="DN426051">
        <v>10.66</v>
      </c>
      <c r="DO426051">
        <v>3.52</v>
      </c>
      <c r="DP426051">
        <v>0</v>
      </c>
      <c r="DQ426051">
        <v>26.18</v>
      </c>
      <c r="DR426051">
        <v>9.77</v>
      </c>
      <c r="DS426051">
        <v>6.15</v>
      </c>
      <c r="DT426051">
        <v>26.18</v>
      </c>
      <c r="DU426051">
        <v>3.62</v>
      </c>
      <c r="DV426051">
        <v>7.5</v>
      </c>
      <c r="DW426051">
        <v>23.91</v>
      </c>
      <c r="DX426051">
        <v>4.74</v>
      </c>
      <c r="DY426051">
        <v>4.74</v>
      </c>
      <c r="DZ426051">
        <v>1.62</v>
      </c>
      <c r="EA426051">
        <v>1.62</v>
      </c>
      <c r="EB426051">
        <v>1.62</v>
      </c>
      <c r="EC426051">
        <v>0.81</v>
      </c>
      <c r="ED426051">
        <v>0.81</v>
      </c>
      <c r="EE426051">
        <v>8.15</v>
      </c>
      <c r="EF426051">
        <v>8.15</v>
      </c>
      <c r="EG426051">
        <v>8.15</v>
      </c>
      <c r="EH426051">
        <v>8.15</v>
      </c>
      <c r="EI426051">
        <v>8.15</v>
      </c>
      <c r="EJ426051">
        <v>8.15</v>
      </c>
      <c r="EK426051">
        <v>8.15</v>
      </c>
      <c r="EL426051">
        <v>0.66</v>
      </c>
      <c r="EM426051">
        <v>0.66</v>
      </c>
      <c r="EN426051">
        <v>0.66</v>
      </c>
      <c r="EO426051">
        <v>0.66</v>
      </c>
      <c r="EP426051">
        <v>0.66</v>
      </c>
    </row>
    <row r="426052" spans="2:146">
      <c r="B426052" t="s">
        <v>265</v>
      </c>
      <c r="BQ426052" t="s">
        <v>345</v>
      </c>
      <c r="BR426052" t="s">
        <v>131</v>
      </c>
      <c r="BS426052" t="s">
        <v>131</v>
      </c>
      <c r="BT426052" t="s">
        <v>357</v>
      </c>
      <c r="BU426052" t="s">
        <v>131</v>
      </c>
      <c r="BV426052" t="s">
        <v>360</v>
      </c>
      <c r="BW426052" t="s">
        <v>360</v>
      </c>
      <c r="BX426052" t="s">
        <v>360</v>
      </c>
      <c r="BY426052" t="s">
        <v>364</v>
      </c>
      <c r="BZ426052" t="s">
        <v>364</v>
      </c>
      <c r="CA426052" t="s">
        <v>364</v>
      </c>
      <c r="CB426052" t="s">
        <v>368</v>
      </c>
      <c r="CC426052" t="s">
        <v>368</v>
      </c>
      <c r="CD426052" t="s">
        <v>368</v>
      </c>
      <c r="CE426052" t="s">
        <v>352</v>
      </c>
      <c r="CF426052" t="s">
        <v>352</v>
      </c>
      <c r="CG426052" t="s">
        <v>372</v>
      </c>
      <c r="CH426052" t="s">
        <v>372</v>
      </c>
      <c r="CI426052" t="s">
        <v>375</v>
      </c>
      <c r="CJ426052" t="s">
        <v>375</v>
      </c>
      <c r="CK426052" t="s">
        <v>375</v>
      </c>
      <c r="CL426052" t="s">
        <v>379</v>
      </c>
      <c r="CM426052" t="s">
        <v>379</v>
      </c>
      <c r="CN426052" t="s">
        <v>379</v>
      </c>
      <c r="CO426052" t="s">
        <v>383</v>
      </c>
      <c r="CP426052" t="s">
        <v>383</v>
      </c>
      <c r="CQ426052" t="s">
        <v>383</v>
      </c>
      <c r="CR426052" t="s">
        <v>383</v>
      </c>
      <c r="CS426052" t="s">
        <v>383</v>
      </c>
      <c r="CT426052" t="s">
        <v>389</v>
      </c>
      <c r="CU426052" t="s">
        <v>389</v>
      </c>
      <c r="CV426052" t="s">
        <v>389</v>
      </c>
      <c r="CW426052" t="s">
        <v>393</v>
      </c>
      <c r="CX426052" t="s">
        <v>393</v>
      </c>
      <c r="CY426052" t="s">
        <v>396</v>
      </c>
      <c r="CZ426052" t="s">
        <v>396</v>
      </c>
      <c r="DA426052" t="s">
        <v>396</v>
      </c>
      <c r="DB426052" t="s">
        <v>400</v>
      </c>
      <c r="DC426052" t="s">
        <v>400</v>
      </c>
      <c r="DD426052" t="s">
        <v>400</v>
      </c>
      <c r="DE426052" t="s">
        <v>400</v>
      </c>
      <c r="DF426052" t="s">
        <v>400</v>
      </c>
      <c r="DG426052" t="s">
        <v>400</v>
      </c>
      <c r="DH426052" t="s">
        <v>400</v>
      </c>
      <c r="DI426052" t="s">
        <v>121</v>
      </c>
      <c r="DJ426052" t="s">
        <v>121</v>
      </c>
      <c r="DK426052" t="s">
        <v>121</v>
      </c>
      <c r="DL426052" t="s">
        <v>121</v>
      </c>
      <c r="DM426052" t="s">
        <v>121</v>
      </c>
      <c r="DN426052" t="s">
        <v>121</v>
      </c>
      <c r="DO426052" t="s">
        <v>121</v>
      </c>
      <c r="DP426052" t="s">
        <v>121</v>
      </c>
      <c r="DQ426052" t="s">
        <v>121</v>
      </c>
      <c r="DR426052" t="s">
        <v>121</v>
      </c>
      <c r="DS426052" t="s">
        <v>121</v>
      </c>
      <c r="DT426052" t="s">
        <v>121</v>
      </c>
      <c r="DU426052" t="s">
        <v>121</v>
      </c>
      <c r="DV426052" t="s">
        <v>121</v>
      </c>
      <c r="DW426052" t="s">
        <v>121</v>
      </c>
      <c r="DX426052" t="s">
        <v>423</v>
      </c>
      <c r="DY426052" t="s">
        <v>423</v>
      </c>
      <c r="DZ426052" t="s">
        <v>426</v>
      </c>
      <c r="EA426052" t="s">
        <v>426</v>
      </c>
      <c r="EB426052" t="s">
        <v>426</v>
      </c>
      <c r="EC426052" t="s">
        <v>426</v>
      </c>
      <c r="ED426052" t="s">
        <v>426</v>
      </c>
      <c r="EE426052" t="s">
        <v>432</v>
      </c>
      <c r="EF426052" t="s">
        <v>432</v>
      </c>
      <c r="EG426052" t="s">
        <v>432</v>
      </c>
      <c r="EH426052" t="s">
        <v>432</v>
      </c>
      <c r="EI426052" t="s">
        <v>432</v>
      </c>
      <c r="EJ426052" t="s">
        <v>432</v>
      </c>
      <c r="EK426052" t="s">
        <v>432</v>
      </c>
      <c r="EL426052" t="s">
        <v>440</v>
      </c>
      <c r="EM426052" t="s">
        <v>440</v>
      </c>
      <c r="EN426052" t="s">
        <v>440</v>
      </c>
      <c r="EO426052" t="s">
        <v>440</v>
      </c>
      <c r="EP426052" t="s">
        <v>440</v>
      </c>
    </row>
    <row r="426053" spans="2:146">
      <c r="BQ426053" t="s">
        <v>351</v>
      </c>
      <c r="BR426053" t="s">
        <v>355</v>
      </c>
      <c r="BS426053" t="s">
        <v>356</v>
      </c>
      <c r="BT426053" t="s">
        <v>358</v>
      </c>
      <c r="BU426053" t="s">
        <v>359</v>
      </c>
      <c r="BV426053" t="s">
        <v>361</v>
      </c>
      <c r="BW426053" t="s">
        <v>362</v>
      </c>
      <c r="BX426053" t="s">
        <v>363</v>
      </c>
      <c r="BY426053" t="s">
        <v>365</v>
      </c>
      <c r="BZ426053" t="s">
        <v>366</v>
      </c>
      <c r="CA426053" t="s">
        <v>367</v>
      </c>
      <c r="CB426053" t="s">
        <v>369</v>
      </c>
      <c r="CC426053" t="s">
        <v>370</v>
      </c>
      <c r="CD426053" t="s">
        <v>371</v>
      </c>
      <c r="CE426053" t="s">
        <v>353</v>
      </c>
      <c r="CF426053" t="s">
        <v>354</v>
      </c>
      <c r="CG426053" t="s">
        <v>373</v>
      </c>
      <c r="CH426053" t="s">
        <v>374</v>
      </c>
      <c r="CI426053" t="s">
        <v>376</v>
      </c>
      <c r="CJ426053" t="s">
        <v>377</v>
      </c>
      <c r="CK426053" t="s">
        <v>378</v>
      </c>
      <c r="CL426053" t="s">
        <v>380</v>
      </c>
      <c r="CM426053" t="s">
        <v>381</v>
      </c>
      <c r="CN426053" t="s">
        <v>382</v>
      </c>
      <c r="CO426053" t="s">
        <v>384</v>
      </c>
      <c r="CP426053" t="s">
        <v>385</v>
      </c>
      <c r="CQ426053" t="s">
        <v>386</v>
      </c>
      <c r="CR426053" t="s">
        <v>387</v>
      </c>
      <c r="CS426053" t="s">
        <v>388</v>
      </c>
      <c r="CT426053" t="s">
        <v>390</v>
      </c>
      <c r="CU426053" t="s">
        <v>391</v>
      </c>
      <c r="CV426053" t="s">
        <v>392</v>
      </c>
      <c r="CW426053" t="s">
        <v>394</v>
      </c>
      <c r="CX426053" t="s">
        <v>395</v>
      </c>
      <c r="CY426053" t="s">
        <v>397</v>
      </c>
      <c r="CZ426053" t="s">
        <v>398</v>
      </c>
      <c r="DA426053" t="s">
        <v>399</v>
      </c>
      <c r="DB426053" t="s">
        <v>401</v>
      </c>
      <c r="DC426053" t="s">
        <v>402</v>
      </c>
      <c r="DD426053" t="s">
        <v>403</v>
      </c>
      <c r="DE426053" t="s">
        <v>404</v>
      </c>
      <c r="DF426053" t="s">
        <v>405</v>
      </c>
      <c r="DG426053" t="s">
        <v>406</v>
      </c>
      <c r="DH426053" t="s">
        <v>407</v>
      </c>
      <c r="DI426053" t="s">
        <v>408</v>
      </c>
      <c r="DJ426053" t="s">
        <v>409</v>
      </c>
      <c r="DK426053" t="s">
        <v>410</v>
      </c>
      <c r="DL426053" t="s">
        <v>411</v>
      </c>
      <c r="DM426053" t="s">
        <v>412</v>
      </c>
      <c r="DN426053" t="s">
        <v>413</v>
      </c>
      <c r="DO426053" t="s">
        <v>414</v>
      </c>
      <c r="DP426053" t="s">
        <v>415</v>
      </c>
      <c r="DQ426053" t="s">
        <v>416</v>
      </c>
      <c r="DR426053" t="s">
        <v>417</v>
      </c>
      <c r="DS426053" t="s">
        <v>418</v>
      </c>
      <c r="DT426053" t="s">
        <v>419</v>
      </c>
      <c r="DU426053" t="s">
        <v>420</v>
      </c>
      <c r="DV426053" t="s">
        <v>421</v>
      </c>
      <c r="DW426053" t="s">
        <v>422</v>
      </c>
      <c r="DX426053" t="s">
        <v>424</v>
      </c>
      <c r="DY426053" t="s">
        <v>425</v>
      </c>
      <c r="DZ426053" t="s">
        <v>427</v>
      </c>
      <c r="EA426053" t="s">
        <v>428</v>
      </c>
      <c r="EB426053" t="s">
        <v>429</v>
      </c>
      <c r="EC426053" t="s">
        <v>430</v>
      </c>
      <c r="ED426053" t="s">
        <v>431</v>
      </c>
      <c r="EE426053" t="s">
        <v>433</v>
      </c>
      <c r="EF426053" t="s">
        <v>434</v>
      </c>
      <c r="EG426053" t="s">
        <v>435</v>
      </c>
      <c r="EH426053" t="s">
        <v>436</v>
      </c>
      <c r="EI426053" t="s">
        <v>437</v>
      </c>
      <c r="EJ426053" t="s">
        <v>438</v>
      </c>
      <c r="EK426053" t="s">
        <v>439</v>
      </c>
      <c r="EL426053" t="s">
        <v>441</v>
      </c>
      <c r="EM426053" t="s">
        <v>442</v>
      </c>
      <c r="EN426053" t="s">
        <v>443</v>
      </c>
      <c r="EO426053" t="s">
        <v>444</v>
      </c>
      <c r="EP426053" t="s">
        <v>445</v>
      </c>
    </row>
    <row r="426054" spans="2:146">
      <c r="BQ426054">
        <v>67</v>
      </c>
      <c r="BR426054">
        <v>68</v>
      </c>
      <c r="BS426054">
        <v>69</v>
      </c>
      <c r="BT426054">
        <v>70</v>
      </c>
      <c r="BU426054">
        <v>71</v>
      </c>
      <c r="BV426054">
        <v>72</v>
      </c>
      <c r="BW426054">
        <v>73</v>
      </c>
      <c r="BX426054">
        <v>74</v>
      </c>
      <c r="BY426054">
        <v>75</v>
      </c>
      <c r="BZ426054">
        <v>76</v>
      </c>
      <c r="CA426054">
        <v>77</v>
      </c>
      <c r="CB426054">
        <v>78</v>
      </c>
      <c r="CC426054">
        <v>79</v>
      </c>
      <c r="CD426054">
        <v>80</v>
      </c>
      <c r="CE426054">
        <v>81</v>
      </c>
      <c r="CF426054">
        <v>82</v>
      </c>
      <c r="CG426054">
        <v>83</v>
      </c>
      <c r="CH426054">
        <v>84</v>
      </c>
      <c r="CI426054">
        <v>85</v>
      </c>
      <c r="CJ426054">
        <v>86</v>
      </c>
      <c r="CK426054">
        <v>87</v>
      </c>
      <c r="CL426054">
        <v>88</v>
      </c>
      <c r="CM426054">
        <v>89</v>
      </c>
      <c r="CN426054">
        <v>90</v>
      </c>
      <c r="CO426054">
        <v>91</v>
      </c>
      <c r="CP426054">
        <v>92</v>
      </c>
      <c r="CQ426054">
        <v>93</v>
      </c>
      <c r="CR426054">
        <v>94</v>
      </c>
      <c r="CS426054">
        <v>95</v>
      </c>
      <c r="CT426054">
        <v>96</v>
      </c>
      <c r="CU426054">
        <v>97</v>
      </c>
      <c r="CV426054">
        <v>98</v>
      </c>
      <c r="CW426054">
        <v>99</v>
      </c>
      <c r="CX426054">
        <v>100</v>
      </c>
      <c r="CY426054">
        <v>101</v>
      </c>
      <c r="CZ426054">
        <v>102</v>
      </c>
      <c r="DA426054">
        <v>103</v>
      </c>
      <c r="DB426054">
        <v>104</v>
      </c>
      <c r="DC426054">
        <v>105</v>
      </c>
      <c r="DD426054">
        <v>106</v>
      </c>
      <c r="DE426054">
        <v>107</v>
      </c>
      <c r="DF426054">
        <v>108</v>
      </c>
      <c r="DG426054">
        <v>109</v>
      </c>
      <c r="DH426054">
        <v>110</v>
      </c>
      <c r="DI426054">
        <v>111</v>
      </c>
      <c r="DJ426054">
        <v>112</v>
      </c>
      <c r="DK426054">
        <v>113</v>
      </c>
      <c r="DL426054">
        <v>114</v>
      </c>
      <c r="DM426054">
        <v>115</v>
      </c>
      <c r="DN426054">
        <v>116</v>
      </c>
      <c r="DO426054">
        <v>117</v>
      </c>
      <c r="DP426054">
        <v>118</v>
      </c>
      <c r="DQ426054">
        <v>119</v>
      </c>
      <c r="DR426054">
        <v>120</v>
      </c>
      <c r="DS426054">
        <v>121</v>
      </c>
      <c r="DT426054">
        <v>122</v>
      </c>
      <c r="DU426054">
        <v>123</v>
      </c>
      <c r="DV426054">
        <v>124</v>
      </c>
      <c r="DW426054">
        <v>125</v>
      </c>
      <c r="DX426054">
        <v>126</v>
      </c>
      <c r="DY426054">
        <v>127</v>
      </c>
      <c r="DZ426054">
        <v>128</v>
      </c>
      <c r="EA426054">
        <v>129</v>
      </c>
      <c r="EB426054">
        <v>130</v>
      </c>
      <c r="EC426054">
        <v>131</v>
      </c>
      <c r="ED426054">
        <v>132</v>
      </c>
      <c r="EE426054">
        <v>133</v>
      </c>
      <c r="EF426054">
        <v>134</v>
      </c>
      <c r="EG426054">
        <v>135</v>
      </c>
      <c r="EH426054">
        <v>136</v>
      </c>
      <c r="EI426054">
        <v>137</v>
      </c>
      <c r="EJ426054">
        <v>138</v>
      </c>
      <c r="EK426054">
        <v>139</v>
      </c>
      <c r="EL426054">
        <v>140</v>
      </c>
      <c r="EM426054">
        <v>141</v>
      </c>
      <c r="EN426054">
        <v>142</v>
      </c>
      <c r="EO426054">
        <v>143</v>
      </c>
      <c r="EP426054">
        <v>144</v>
      </c>
    </row>
    <row r="426055" spans="2:146">
      <c r="CE426055" t="s">
        <v>451</v>
      </c>
    </row>
    <row r="442370" spans="2:2">
      <c r="B442370">
        <v>200</v>
      </c>
    </row>
    <row r="442371" spans="2:2">
      <c r="B442371">
        <v>200</v>
      </c>
    </row>
    <row r="442372" spans="2:2">
      <c r="B442372">
        <v>800</v>
      </c>
    </row>
    <row r="442373" spans="2:2">
      <c r="B442373">
        <v>200</v>
      </c>
    </row>
    <row r="442374" spans="2:2">
      <c r="B442374">
        <v>1044</v>
      </c>
    </row>
    <row r="442375" spans="2:2">
      <c r="B442375">
        <v>998.40000000000009</v>
      </c>
    </row>
    <row r="442376" spans="2:2">
      <c r="B442376">
        <v>272</v>
      </c>
    </row>
    <row r="442377" spans="2:2">
      <c r="B442377">
        <v>200</v>
      </c>
    </row>
    <row r="442378" spans="2:2">
      <c r="B442378">
        <v>214</v>
      </c>
    </row>
    <row r="442379" spans="2:2">
      <c r="B442379">
        <v>200</v>
      </c>
    </row>
    <row r="442380" spans="2:2">
      <c r="B442380">
        <v>152</v>
      </c>
    </row>
    <row r="442381" spans="2:2">
      <c r="B442381">
        <v>200</v>
      </c>
    </row>
    <row r="442382" spans="2:2">
      <c r="B442382">
        <v>300</v>
      </c>
    </row>
    <row r="442383" spans="2:2">
      <c r="B442383">
        <v>104</v>
      </c>
    </row>
    <row r="442384" spans="2:2">
      <c r="B442384">
        <v>162</v>
      </c>
    </row>
    <row r="442385" spans="2:2">
      <c r="B442385">
        <v>200</v>
      </c>
    </row>
    <row r="442386" spans="2:2">
      <c r="B442386">
        <v>200</v>
      </c>
    </row>
    <row r="442387" spans="2:2">
      <c r="B442387">
        <v>200</v>
      </c>
    </row>
    <row r="442388" spans="2:2">
      <c r="B442388">
        <v>200</v>
      </c>
    </row>
    <row r="442389" spans="2:2">
      <c r="B442389">
        <v>200</v>
      </c>
    </row>
    <row r="442390" spans="2:2">
      <c r="B442390">
        <v>200</v>
      </c>
    </row>
    <row r="442391" spans="2:2">
      <c r="B442391">
        <v>200</v>
      </c>
    </row>
    <row r="442392" spans="2:2">
      <c r="B442392">
        <v>200</v>
      </c>
    </row>
    <row r="442393" spans="2:2">
      <c r="B442393">
        <v>800</v>
      </c>
    </row>
    <row r="442394" spans="2:2">
      <c r="B442394">
        <v>300</v>
      </c>
    </row>
    <row r="442395" spans="2:2">
      <c r="B442395">
        <v>778</v>
      </c>
    </row>
    <row r="442396" spans="2:2">
      <c r="B442396">
        <v>614</v>
      </c>
    </row>
    <row r="442397" spans="2:2">
      <c r="B442397">
        <v>444</v>
      </c>
    </row>
    <row r="442398" spans="2:2">
      <c r="B442398">
        <v>800</v>
      </c>
    </row>
    <row r="442399" spans="2:2">
      <c r="B442399">
        <v>200</v>
      </c>
    </row>
    <row r="442400" spans="2:2">
      <c r="B442400">
        <v>780</v>
      </c>
    </row>
    <row r="442401" spans="2:146">
      <c r="B442401">
        <v>174</v>
      </c>
    </row>
    <row r="442402" spans="2:146">
      <c r="B442402">
        <v>194</v>
      </c>
    </row>
    <row r="442403" spans="2:146">
      <c r="B442403">
        <v>782</v>
      </c>
    </row>
    <row r="442404" spans="2:146">
      <c r="B442404">
        <v>236</v>
      </c>
    </row>
    <row r="442405" spans="2:146">
      <c r="B442405">
        <v>144</v>
      </c>
    </row>
    <row r="442406" spans="2:146">
      <c r="B442406">
        <v>200</v>
      </c>
    </row>
    <row r="442407" spans="2:146">
      <c r="B442407">
        <v>240</v>
      </c>
    </row>
    <row r="442408" spans="2:146">
      <c r="B442408">
        <v>200</v>
      </c>
    </row>
    <row r="442409" spans="2:146">
      <c r="B442409">
        <v>612</v>
      </c>
    </row>
    <row r="442410" spans="2:146">
      <c r="B442410">
        <v>156</v>
      </c>
    </row>
    <row r="442411" spans="2:146">
      <c r="B442411">
        <v>116</v>
      </c>
    </row>
    <row r="442412" spans="2:146">
      <c r="B442412">
        <v>160</v>
      </c>
    </row>
    <row r="442413" spans="2:146">
      <c r="B442413">
        <v>80</v>
      </c>
      <c r="EL442413">
        <v>0.66</v>
      </c>
      <c r="EM442413">
        <v>0.66</v>
      </c>
      <c r="EN442413">
        <v>0.66</v>
      </c>
      <c r="EO442413">
        <v>0.66</v>
      </c>
      <c r="EP442413">
        <v>0.66</v>
      </c>
    </row>
    <row r="442414" spans="2:146">
      <c r="B442414">
        <v>1144</v>
      </c>
      <c r="BV442414">
        <v>5.0999999999999996</v>
      </c>
      <c r="BW442414">
        <v>5.0999999999999996</v>
      </c>
      <c r="DB442414">
        <v>10.210000000000001</v>
      </c>
      <c r="DC442414">
        <v>10.210000000000001</v>
      </c>
      <c r="DD442414">
        <v>10.210000000000001</v>
      </c>
      <c r="DE442414">
        <v>10.210000000000001</v>
      </c>
      <c r="DF442414">
        <v>10.210000000000001</v>
      </c>
      <c r="DG442414">
        <v>10.210000000000001</v>
      </c>
      <c r="DH442414">
        <v>10.210000000000001</v>
      </c>
    </row>
    <row r="442415" spans="2:146">
      <c r="B442415">
        <v>1240</v>
      </c>
      <c r="EE442415">
        <v>8.15</v>
      </c>
      <c r="EF442415">
        <v>8.15</v>
      </c>
      <c r="EG442415">
        <v>8.15</v>
      </c>
      <c r="EH442415">
        <v>8.15</v>
      </c>
      <c r="EI442415">
        <v>8.15</v>
      </c>
      <c r="EJ442415">
        <v>8.15</v>
      </c>
      <c r="EK442415">
        <v>8.15</v>
      </c>
    </row>
    <row r="442416" spans="2:146">
      <c r="B442416">
        <v>2083.2000000000003</v>
      </c>
      <c r="DI442416">
        <v>20.03</v>
      </c>
      <c r="DJ442416">
        <v>20.03</v>
      </c>
      <c r="DQ442416">
        <v>20.03</v>
      </c>
      <c r="DT442416">
        <v>20.03</v>
      </c>
      <c r="DW442416">
        <v>20.03</v>
      </c>
    </row>
    <row r="442417" spans="2:134">
      <c r="B442417">
        <v>357.20000000000005</v>
      </c>
      <c r="DI442417">
        <v>3.88</v>
      </c>
      <c r="DJ442417">
        <v>3.88</v>
      </c>
      <c r="DV442417">
        <v>3.88</v>
      </c>
      <c r="DW442417">
        <v>3.88</v>
      </c>
    </row>
    <row r="442418" spans="2:134">
      <c r="B442418">
        <v>391.20000000000005</v>
      </c>
      <c r="DI442418">
        <v>3.62</v>
      </c>
      <c r="DJ442418">
        <v>3.62</v>
      </c>
      <c r="DR442418">
        <v>3.62</v>
      </c>
      <c r="DU442418">
        <v>3.62</v>
      </c>
      <c r="DV442418">
        <v>3.62</v>
      </c>
    </row>
    <row r="442419" spans="2:134">
      <c r="B442419">
        <v>762.80000000000007</v>
      </c>
      <c r="DI442419">
        <v>6.15</v>
      </c>
      <c r="DJ442419">
        <v>6.15</v>
      </c>
      <c r="DQ442419">
        <v>6.15</v>
      </c>
      <c r="DR442419">
        <v>6.15</v>
      </c>
      <c r="DS442419">
        <v>6.15</v>
      </c>
      <c r="DT442419">
        <v>6.15</v>
      </c>
    </row>
    <row r="442420" spans="2:134">
      <c r="B442420">
        <v>1280</v>
      </c>
      <c r="DI442420">
        <v>10.66</v>
      </c>
      <c r="DJ442420">
        <v>10.66</v>
      </c>
      <c r="DK442420">
        <v>10.66</v>
      </c>
      <c r="DL442420">
        <v>10.66</v>
      </c>
      <c r="DM442420">
        <v>10.66</v>
      </c>
      <c r="DN442420">
        <v>10.66</v>
      </c>
    </row>
    <row r="442421" spans="2:134">
      <c r="B442421">
        <v>234</v>
      </c>
      <c r="CT442421">
        <v>2.5</v>
      </c>
      <c r="CU442421">
        <v>2.5</v>
      </c>
      <c r="CV442421">
        <v>2.5</v>
      </c>
    </row>
    <row r="442422" spans="2:134">
      <c r="B442422">
        <v>354</v>
      </c>
      <c r="CY442422">
        <v>3.98</v>
      </c>
      <c r="CZ442422">
        <v>3.98</v>
      </c>
      <c r="DA442422">
        <v>3.98</v>
      </c>
    </row>
    <row r="442423" spans="2:134">
      <c r="B442423">
        <v>392</v>
      </c>
      <c r="DI442423">
        <v>3.52</v>
      </c>
      <c r="DJ442423">
        <v>3.52</v>
      </c>
      <c r="DL442423">
        <v>3.52</v>
      </c>
      <c r="DO442423">
        <v>3.52</v>
      </c>
    </row>
    <row r="442424" spans="2:134">
      <c r="B442424">
        <v>304</v>
      </c>
      <c r="CE442424">
        <v>3.8</v>
      </c>
      <c r="CF442424">
        <v>3.8</v>
      </c>
    </row>
    <row r="442425" spans="2:134">
      <c r="B442425">
        <v>144</v>
      </c>
      <c r="DZ442425">
        <v>1.62</v>
      </c>
      <c r="EA442425">
        <v>1.62</v>
      </c>
      <c r="EB442425">
        <v>1.62</v>
      </c>
      <c r="EC442425">
        <v>0.81</v>
      </c>
      <c r="ED442425">
        <v>0.81</v>
      </c>
    </row>
    <row r="442426" spans="2:134">
      <c r="B442426">
        <v>602.40000000000009</v>
      </c>
      <c r="BY442426">
        <v>6.02</v>
      </c>
      <c r="BZ442426">
        <v>6.02</v>
      </c>
      <c r="CB442426">
        <v>3.01</v>
      </c>
      <c r="CC442426">
        <v>3.01</v>
      </c>
      <c r="CD442426">
        <v>3.01</v>
      </c>
      <c r="CI442426">
        <v>6.02</v>
      </c>
      <c r="CJ442426">
        <v>6.02</v>
      </c>
      <c r="CK442426">
        <v>6.02</v>
      </c>
    </row>
    <row r="442427" spans="2:134">
      <c r="B442427">
        <v>307.60000000000002</v>
      </c>
      <c r="BY442427">
        <v>3.34</v>
      </c>
      <c r="BZ442427">
        <v>3.34</v>
      </c>
      <c r="CG442427">
        <v>3.34</v>
      </c>
      <c r="CH442427">
        <v>3.34</v>
      </c>
    </row>
    <row r="442428" spans="2:134">
      <c r="B442428">
        <v>358</v>
      </c>
      <c r="BY442428">
        <v>2.37</v>
      </c>
      <c r="BZ442428">
        <v>2.37</v>
      </c>
      <c r="CA442428">
        <v>2.37</v>
      </c>
      <c r="DX442428">
        <v>4.74</v>
      </c>
      <c r="DY442428">
        <v>4.74</v>
      </c>
    </row>
    <row r="442429" spans="2:134">
      <c r="B442429">
        <v>286</v>
      </c>
      <c r="BT442429">
        <v>1.43</v>
      </c>
      <c r="BV442429">
        <v>1.43</v>
      </c>
      <c r="BW442429">
        <v>1.43</v>
      </c>
      <c r="BX442429">
        <v>1.43</v>
      </c>
      <c r="CO442429">
        <v>2.86</v>
      </c>
      <c r="CP442429">
        <v>2.86</v>
      </c>
      <c r="CQ442429">
        <v>2.86</v>
      </c>
      <c r="CR442429">
        <v>2.86</v>
      </c>
      <c r="CS442429">
        <v>2.86</v>
      </c>
    </row>
    <row r="442430" spans="2:134">
      <c r="B442430">
        <v>410</v>
      </c>
      <c r="BY442430">
        <v>2.88</v>
      </c>
      <c r="BZ442430">
        <v>2.88</v>
      </c>
      <c r="CA442430">
        <v>2.88</v>
      </c>
      <c r="CW442430">
        <v>5.76</v>
      </c>
      <c r="CX442430">
        <v>5.76</v>
      </c>
    </row>
    <row r="442431" spans="2:134">
      <c r="B442431">
        <v>346</v>
      </c>
      <c r="BR442431">
        <v>3.6</v>
      </c>
      <c r="BS442431">
        <v>3.6</v>
      </c>
      <c r="BT442431">
        <v>1.8</v>
      </c>
      <c r="CL442431">
        <v>3.6</v>
      </c>
      <c r="CM442431">
        <v>3.6</v>
      </c>
      <c r="CN442431">
        <v>3.6</v>
      </c>
    </row>
    <row r="442432" spans="2:134">
      <c r="B442432">
        <v>302</v>
      </c>
      <c r="BR442432">
        <v>3.28</v>
      </c>
      <c r="BS442432">
        <v>3.28</v>
      </c>
      <c r="BT442432">
        <v>1.64</v>
      </c>
      <c r="BU442432">
        <v>1.64</v>
      </c>
      <c r="CL442432">
        <v>3.28</v>
      </c>
      <c r="CM442432">
        <v>3.28</v>
      </c>
      <c r="CN442432">
        <v>3.28</v>
      </c>
    </row>
    <row r="442433" spans="2:146">
      <c r="B442433">
        <v>204</v>
      </c>
      <c r="BR442433">
        <v>2.12</v>
      </c>
      <c r="BS442433">
        <v>2.12</v>
      </c>
      <c r="BT442433">
        <v>1.06</v>
      </c>
      <c r="CL442433">
        <v>2.12</v>
      </c>
      <c r="CM442433">
        <v>2.12</v>
      </c>
      <c r="CN442433">
        <v>2.12</v>
      </c>
    </row>
    <row r="442435" spans="2:146">
      <c r="B442435">
        <v>26358.800000000003</v>
      </c>
      <c r="BQ442435">
        <v>0</v>
      </c>
      <c r="BR442435">
        <v>9</v>
      </c>
      <c r="BS442435">
        <v>9</v>
      </c>
      <c r="BT442435">
        <v>5.93</v>
      </c>
      <c r="BU442435">
        <v>1.64</v>
      </c>
      <c r="BV442435">
        <v>6.5299999999999994</v>
      </c>
      <c r="BW442435">
        <v>6.5299999999999994</v>
      </c>
      <c r="BX442435">
        <v>1.43</v>
      </c>
      <c r="BY442435">
        <v>14.61</v>
      </c>
      <c r="BZ442435">
        <v>14.61</v>
      </c>
      <c r="CA442435">
        <v>5.25</v>
      </c>
      <c r="CB442435">
        <v>3.01</v>
      </c>
      <c r="CC442435">
        <v>3.01</v>
      </c>
      <c r="CD442435">
        <v>3.01</v>
      </c>
      <c r="CE442435">
        <v>3.8</v>
      </c>
      <c r="CF442435">
        <v>3.8</v>
      </c>
      <c r="CG442435">
        <v>3.34</v>
      </c>
      <c r="CH442435">
        <v>3.34</v>
      </c>
      <c r="CI442435">
        <v>6.02</v>
      </c>
      <c r="CJ442435">
        <v>6.02</v>
      </c>
      <c r="CK442435">
        <v>6.02</v>
      </c>
      <c r="CL442435">
        <v>9</v>
      </c>
      <c r="CM442435">
        <v>9</v>
      </c>
      <c r="CN442435">
        <v>9</v>
      </c>
      <c r="CO442435">
        <v>2.86</v>
      </c>
      <c r="CP442435">
        <v>2.86</v>
      </c>
      <c r="CQ442435">
        <v>2.86</v>
      </c>
      <c r="CR442435">
        <v>2.86</v>
      </c>
      <c r="CS442435">
        <v>2.86</v>
      </c>
      <c r="CT442435">
        <v>2.5</v>
      </c>
      <c r="CU442435">
        <v>2.5</v>
      </c>
      <c r="CV442435">
        <v>2.5</v>
      </c>
      <c r="CW442435">
        <v>5.76</v>
      </c>
      <c r="CX442435">
        <v>5.76</v>
      </c>
      <c r="CY442435">
        <v>3.98</v>
      </c>
      <c r="CZ442435">
        <v>3.98</v>
      </c>
      <c r="DA442435">
        <v>3.98</v>
      </c>
      <c r="DB442435">
        <v>10.210000000000001</v>
      </c>
      <c r="DC442435">
        <v>10.210000000000001</v>
      </c>
      <c r="DD442435">
        <v>10.210000000000001</v>
      </c>
      <c r="DE442435">
        <v>10.210000000000001</v>
      </c>
      <c r="DF442435">
        <v>10.210000000000001</v>
      </c>
      <c r="DG442435">
        <v>10.210000000000001</v>
      </c>
      <c r="DH442435">
        <v>10.210000000000001</v>
      </c>
      <c r="DI442435">
        <v>47.860000000000007</v>
      </c>
      <c r="DJ442435">
        <v>47.860000000000007</v>
      </c>
      <c r="DK442435">
        <v>10.66</v>
      </c>
      <c r="DL442435">
        <v>14.18</v>
      </c>
      <c r="DM442435">
        <v>10.66</v>
      </c>
      <c r="DN442435">
        <v>10.66</v>
      </c>
      <c r="DO442435">
        <v>3.52</v>
      </c>
      <c r="DP442435">
        <v>0</v>
      </c>
      <c r="DQ442435">
        <v>26.18</v>
      </c>
      <c r="DR442435">
        <v>9.77</v>
      </c>
      <c r="DS442435">
        <v>6.15</v>
      </c>
      <c r="DT442435">
        <v>26.18</v>
      </c>
      <c r="DU442435">
        <v>3.62</v>
      </c>
      <c r="DV442435">
        <v>7.5</v>
      </c>
      <c r="DW442435">
        <v>23.91</v>
      </c>
      <c r="DX442435">
        <v>4.74</v>
      </c>
      <c r="DY442435">
        <v>4.74</v>
      </c>
      <c r="DZ442435">
        <v>1.62</v>
      </c>
      <c r="EA442435">
        <v>1.62</v>
      </c>
      <c r="EB442435">
        <v>1.62</v>
      </c>
      <c r="EC442435">
        <v>0.81</v>
      </c>
      <c r="ED442435">
        <v>0.81</v>
      </c>
      <c r="EE442435">
        <v>8.15</v>
      </c>
      <c r="EF442435">
        <v>8.15</v>
      </c>
      <c r="EG442435">
        <v>8.15</v>
      </c>
      <c r="EH442435">
        <v>8.15</v>
      </c>
      <c r="EI442435">
        <v>8.15</v>
      </c>
      <c r="EJ442435">
        <v>8.15</v>
      </c>
      <c r="EK442435">
        <v>8.15</v>
      </c>
      <c r="EL442435">
        <v>0.66</v>
      </c>
      <c r="EM442435">
        <v>0.66</v>
      </c>
      <c r="EN442435">
        <v>0.66</v>
      </c>
      <c r="EO442435">
        <v>0.66</v>
      </c>
      <c r="EP442435">
        <v>0.66</v>
      </c>
    </row>
    <row r="442436" spans="2:146">
      <c r="B442436" t="s">
        <v>265</v>
      </c>
      <c r="BQ442436" t="s">
        <v>345</v>
      </c>
      <c r="BR442436" t="s">
        <v>131</v>
      </c>
      <c r="BS442436" t="s">
        <v>131</v>
      </c>
      <c r="BT442436" t="s">
        <v>357</v>
      </c>
      <c r="BU442436" t="s">
        <v>131</v>
      </c>
      <c r="BV442436" t="s">
        <v>360</v>
      </c>
      <c r="BW442436" t="s">
        <v>360</v>
      </c>
      <c r="BX442436" t="s">
        <v>360</v>
      </c>
      <c r="BY442436" t="s">
        <v>364</v>
      </c>
      <c r="BZ442436" t="s">
        <v>364</v>
      </c>
      <c r="CA442436" t="s">
        <v>364</v>
      </c>
      <c r="CB442436" t="s">
        <v>368</v>
      </c>
      <c r="CC442436" t="s">
        <v>368</v>
      </c>
      <c r="CD442436" t="s">
        <v>368</v>
      </c>
      <c r="CE442436" t="s">
        <v>352</v>
      </c>
      <c r="CF442436" t="s">
        <v>352</v>
      </c>
      <c r="CG442436" t="s">
        <v>372</v>
      </c>
      <c r="CH442436" t="s">
        <v>372</v>
      </c>
      <c r="CI442436" t="s">
        <v>375</v>
      </c>
      <c r="CJ442436" t="s">
        <v>375</v>
      </c>
      <c r="CK442436" t="s">
        <v>375</v>
      </c>
      <c r="CL442436" t="s">
        <v>379</v>
      </c>
      <c r="CM442436" t="s">
        <v>379</v>
      </c>
      <c r="CN442436" t="s">
        <v>379</v>
      </c>
      <c r="CO442436" t="s">
        <v>383</v>
      </c>
      <c r="CP442436" t="s">
        <v>383</v>
      </c>
      <c r="CQ442436" t="s">
        <v>383</v>
      </c>
      <c r="CR442436" t="s">
        <v>383</v>
      </c>
      <c r="CS442436" t="s">
        <v>383</v>
      </c>
      <c r="CT442436" t="s">
        <v>389</v>
      </c>
      <c r="CU442436" t="s">
        <v>389</v>
      </c>
      <c r="CV442436" t="s">
        <v>389</v>
      </c>
      <c r="CW442436" t="s">
        <v>393</v>
      </c>
      <c r="CX442436" t="s">
        <v>393</v>
      </c>
      <c r="CY442436" t="s">
        <v>396</v>
      </c>
      <c r="CZ442436" t="s">
        <v>396</v>
      </c>
      <c r="DA442436" t="s">
        <v>396</v>
      </c>
      <c r="DB442436" t="s">
        <v>400</v>
      </c>
      <c r="DC442436" t="s">
        <v>400</v>
      </c>
      <c r="DD442436" t="s">
        <v>400</v>
      </c>
      <c r="DE442436" t="s">
        <v>400</v>
      </c>
      <c r="DF442436" t="s">
        <v>400</v>
      </c>
      <c r="DG442436" t="s">
        <v>400</v>
      </c>
      <c r="DH442436" t="s">
        <v>400</v>
      </c>
      <c r="DI442436" t="s">
        <v>121</v>
      </c>
      <c r="DJ442436" t="s">
        <v>121</v>
      </c>
      <c r="DK442436" t="s">
        <v>121</v>
      </c>
      <c r="DL442436" t="s">
        <v>121</v>
      </c>
      <c r="DM442436" t="s">
        <v>121</v>
      </c>
      <c r="DN442436" t="s">
        <v>121</v>
      </c>
      <c r="DO442436" t="s">
        <v>121</v>
      </c>
      <c r="DP442436" t="s">
        <v>121</v>
      </c>
      <c r="DQ442436" t="s">
        <v>121</v>
      </c>
      <c r="DR442436" t="s">
        <v>121</v>
      </c>
      <c r="DS442436" t="s">
        <v>121</v>
      </c>
      <c r="DT442436" t="s">
        <v>121</v>
      </c>
      <c r="DU442436" t="s">
        <v>121</v>
      </c>
      <c r="DV442436" t="s">
        <v>121</v>
      </c>
      <c r="DW442436" t="s">
        <v>121</v>
      </c>
      <c r="DX442436" t="s">
        <v>423</v>
      </c>
      <c r="DY442436" t="s">
        <v>423</v>
      </c>
      <c r="DZ442436" t="s">
        <v>426</v>
      </c>
      <c r="EA442436" t="s">
        <v>426</v>
      </c>
      <c r="EB442436" t="s">
        <v>426</v>
      </c>
      <c r="EC442436" t="s">
        <v>426</v>
      </c>
      <c r="ED442436" t="s">
        <v>426</v>
      </c>
      <c r="EE442436" t="s">
        <v>432</v>
      </c>
      <c r="EF442436" t="s">
        <v>432</v>
      </c>
      <c r="EG442436" t="s">
        <v>432</v>
      </c>
      <c r="EH442436" t="s">
        <v>432</v>
      </c>
      <c r="EI442436" t="s">
        <v>432</v>
      </c>
      <c r="EJ442436" t="s">
        <v>432</v>
      </c>
      <c r="EK442436" t="s">
        <v>432</v>
      </c>
      <c r="EL442436" t="s">
        <v>440</v>
      </c>
      <c r="EM442436" t="s">
        <v>440</v>
      </c>
      <c r="EN442436" t="s">
        <v>440</v>
      </c>
      <c r="EO442436" t="s">
        <v>440</v>
      </c>
      <c r="EP442436" t="s">
        <v>440</v>
      </c>
    </row>
    <row r="442437" spans="2:146">
      <c r="BQ442437" t="s">
        <v>351</v>
      </c>
      <c r="BR442437" t="s">
        <v>355</v>
      </c>
      <c r="BS442437" t="s">
        <v>356</v>
      </c>
      <c r="BT442437" t="s">
        <v>358</v>
      </c>
      <c r="BU442437" t="s">
        <v>359</v>
      </c>
      <c r="BV442437" t="s">
        <v>361</v>
      </c>
      <c r="BW442437" t="s">
        <v>362</v>
      </c>
      <c r="BX442437" t="s">
        <v>363</v>
      </c>
      <c r="BY442437" t="s">
        <v>365</v>
      </c>
      <c r="BZ442437" t="s">
        <v>366</v>
      </c>
      <c r="CA442437" t="s">
        <v>367</v>
      </c>
      <c r="CB442437" t="s">
        <v>369</v>
      </c>
      <c r="CC442437" t="s">
        <v>370</v>
      </c>
      <c r="CD442437" t="s">
        <v>371</v>
      </c>
      <c r="CE442437" t="s">
        <v>353</v>
      </c>
      <c r="CF442437" t="s">
        <v>354</v>
      </c>
      <c r="CG442437" t="s">
        <v>373</v>
      </c>
      <c r="CH442437" t="s">
        <v>374</v>
      </c>
      <c r="CI442437" t="s">
        <v>376</v>
      </c>
      <c r="CJ442437" t="s">
        <v>377</v>
      </c>
      <c r="CK442437" t="s">
        <v>378</v>
      </c>
      <c r="CL442437" t="s">
        <v>380</v>
      </c>
      <c r="CM442437" t="s">
        <v>381</v>
      </c>
      <c r="CN442437" t="s">
        <v>382</v>
      </c>
      <c r="CO442437" t="s">
        <v>384</v>
      </c>
      <c r="CP442437" t="s">
        <v>385</v>
      </c>
      <c r="CQ442437" t="s">
        <v>386</v>
      </c>
      <c r="CR442437" t="s">
        <v>387</v>
      </c>
      <c r="CS442437" t="s">
        <v>388</v>
      </c>
      <c r="CT442437" t="s">
        <v>390</v>
      </c>
      <c r="CU442437" t="s">
        <v>391</v>
      </c>
      <c r="CV442437" t="s">
        <v>392</v>
      </c>
      <c r="CW442437" t="s">
        <v>394</v>
      </c>
      <c r="CX442437" t="s">
        <v>395</v>
      </c>
      <c r="CY442437" t="s">
        <v>397</v>
      </c>
      <c r="CZ442437" t="s">
        <v>398</v>
      </c>
      <c r="DA442437" t="s">
        <v>399</v>
      </c>
      <c r="DB442437" t="s">
        <v>401</v>
      </c>
      <c r="DC442437" t="s">
        <v>402</v>
      </c>
      <c r="DD442437" t="s">
        <v>403</v>
      </c>
      <c r="DE442437" t="s">
        <v>404</v>
      </c>
      <c r="DF442437" t="s">
        <v>405</v>
      </c>
      <c r="DG442437" t="s">
        <v>406</v>
      </c>
      <c r="DH442437" t="s">
        <v>407</v>
      </c>
      <c r="DI442437" t="s">
        <v>408</v>
      </c>
      <c r="DJ442437" t="s">
        <v>409</v>
      </c>
      <c r="DK442437" t="s">
        <v>410</v>
      </c>
      <c r="DL442437" t="s">
        <v>411</v>
      </c>
      <c r="DM442437" t="s">
        <v>412</v>
      </c>
      <c r="DN442437" t="s">
        <v>413</v>
      </c>
      <c r="DO442437" t="s">
        <v>414</v>
      </c>
      <c r="DP442437" t="s">
        <v>415</v>
      </c>
      <c r="DQ442437" t="s">
        <v>416</v>
      </c>
      <c r="DR442437" t="s">
        <v>417</v>
      </c>
      <c r="DS442437" t="s">
        <v>418</v>
      </c>
      <c r="DT442437" t="s">
        <v>419</v>
      </c>
      <c r="DU442437" t="s">
        <v>420</v>
      </c>
      <c r="DV442437" t="s">
        <v>421</v>
      </c>
      <c r="DW442437" t="s">
        <v>422</v>
      </c>
      <c r="DX442437" t="s">
        <v>424</v>
      </c>
      <c r="DY442437" t="s">
        <v>425</v>
      </c>
      <c r="DZ442437" t="s">
        <v>427</v>
      </c>
      <c r="EA442437" t="s">
        <v>428</v>
      </c>
      <c r="EB442437" t="s">
        <v>429</v>
      </c>
      <c r="EC442437" t="s">
        <v>430</v>
      </c>
      <c r="ED442437" t="s">
        <v>431</v>
      </c>
      <c r="EE442437" t="s">
        <v>433</v>
      </c>
      <c r="EF442437" t="s">
        <v>434</v>
      </c>
      <c r="EG442437" t="s">
        <v>435</v>
      </c>
      <c r="EH442437" t="s">
        <v>436</v>
      </c>
      <c r="EI442437" t="s">
        <v>437</v>
      </c>
      <c r="EJ442437" t="s">
        <v>438</v>
      </c>
      <c r="EK442437" t="s">
        <v>439</v>
      </c>
      <c r="EL442437" t="s">
        <v>441</v>
      </c>
      <c r="EM442437" t="s">
        <v>442</v>
      </c>
      <c r="EN442437" t="s">
        <v>443</v>
      </c>
      <c r="EO442437" t="s">
        <v>444</v>
      </c>
      <c r="EP442437" t="s">
        <v>445</v>
      </c>
    </row>
    <row r="442438" spans="2:146">
      <c r="BQ442438">
        <v>67</v>
      </c>
      <c r="BR442438">
        <v>68</v>
      </c>
      <c r="BS442438">
        <v>69</v>
      </c>
      <c r="BT442438">
        <v>70</v>
      </c>
      <c r="BU442438">
        <v>71</v>
      </c>
      <c r="BV442438">
        <v>72</v>
      </c>
      <c r="BW442438">
        <v>73</v>
      </c>
      <c r="BX442438">
        <v>74</v>
      </c>
      <c r="BY442438">
        <v>75</v>
      </c>
      <c r="BZ442438">
        <v>76</v>
      </c>
      <c r="CA442438">
        <v>77</v>
      </c>
      <c r="CB442438">
        <v>78</v>
      </c>
      <c r="CC442438">
        <v>79</v>
      </c>
      <c r="CD442438">
        <v>80</v>
      </c>
      <c r="CE442438">
        <v>81</v>
      </c>
      <c r="CF442438">
        <v>82</v>
      </c>
      <c r="CG442438">
        <v>83</v>
      </c>
      <c r="CH442438">
        <v>84</v>
      </c>
      <c r="CI442438">
        <v>85</v>
      </c>
      <c r="CJ442438">
        <v>86</v>
      </c>
      <c r="CK442438">
        <v>87</v>
      </c>
      <c r="CL442438">
        <v>88</v>
      </c>
      <c r="CM442438">
        <v>89</v>
      </c>
      <c r="CN442438">
        <v>90</v>
      </c>
      <c r="CO442438">
        <v>91</v>
      </c>
      <c r="CP442438">
        <v>92</v>
      </c>
      <c r="CQ442438">
        <v>93</v>
      </c>
      <c r="CR442438">
        <v>94</v>
      </c>
      <c r="CS442438">
        <v>95</v>
      </c>
      <c r="CT442438">
        <v>96</v>
      </c>
      <c r="CU442438">
        <v>97</v>
      </c>
      <c r="CV442438">
        <v>98</v>
      </c>
      <c r="CW442438">
        <v>99</v>
      </c>
      <c r="CX442438">
        <v>100</v>
      </c>
      <c r="CY442438">
        <v>101</v>
      </c>
      <c r="CZ442438">
        <v>102</v>
      </c>
      <c r="DA442438">
        <v>103</v>
      </c>
      <c r="DB442438">
        <v>104</v>
      </c>
      <c r="DC442438">
        <v>105</v>
      </c>
      <c r="DD442438">
        <v>106</v>
      </c>
      <c r="DE442438">
        <v>107</v>
      </c>
      <c r="DF442438">
        <v>108</v>
      </c>
      <c r="DG442438">
        <v>109</v>
      </c>
      <c r="DH442438">
        <v>110</v>
      </c>
      <c r="DI442438">
        <v>111</v>
      </c>
      <c r="DJ442438">
        <v>112</v>
      </c>
      <c r="DK442438">
        <v>113</v>
      </c>
      <c r="DL442438">
        <v>114</v>
      </c>
      <c r="DM442438">
        <v>115</v>
      </c>
      <c r="DN442438">
        <v>116</v>
      </c>
      <c r="DO442438">
        <v>117</v>
      </c>
      <c r="DP442438">
        <v>118</v>
      </c>
      <c r="DQ442438">
        <v>119</v>
      </c>
      <c r="DR442438">
        <v>120</v>
      </c>
      <c r="DS442438">
        <v>121</v>
      </c>
      <c r="DT442438">
        <v>122</v>
      </c>
      <c r="DU442438">
        <v>123</v>
      </c>
      <c r="DV442438">
        <v>124</v>
      </c>
      <c r="DW442438">
        <v>125</v>
      </c>
      <c r="DX442438">
        <v>126</v>
      </c>
      <c r="DY442438">
        <v>127</v>
      </c>
      <c r="DZ442438">
        <v>128</v>
      </c>
      <c r="EA442438">
        <v>129</v>
      </c>
      <c r="EB442438">
        <v>130</v>
      </c>
      <c r="EC442438">
        <v>131</v>
      </c>
      <c r="ED442438">
        <v>132</v>
      </c>
      <c r="EE442438">
        <v>133</v>
      </c>
      <c r="EF442438">
        <v>134</v>
      </c>
      <c r="EG442438">
        <v>135</v>
      </c>
      <c r="EH442438">
        <v>136</v>
      </c>
      <c r="EI442438">
        <v>137</v>
      </c>
      <c r="EJ442438">
        <v>138</v>
      </c>
      <c r="EK442438">
        <v>139</v>
      </c>
      <c r="EL442438">
        <v>140</v>
      </c>
      <c r="EM442438">
        <v>141</v>
      </c>
      <c r="EN442438">
        <v>142</v>
      </c>
      <c r="EO442438">
        <v>143</v>
      </c>
      <c r="EP442438">
        <v>144</v>
      </c>
    </row>
    <row r="442439" spans="2:146">
      <c r="CE442439" t="s">
        <v>451</v>
      </c>
    </row>
    <row r="458754" spans="2:2">
      <c r="B458754">
        <v>200</v>
      </c>
    </row>
    <row r="458755" spans="2:2">
      <c r="B458755">
        <v>200</v>
      </c>
    </row>
    <row r="458756" spans="2:2">
      <c r="B458756">
        <v>800</v>
      </c>
    </row>
    <row r="458757" spans="2:2">
      <c r="B458757">
        <v>200</v>
      </c>
    </row>
    <row r="458758" spans="2:2">
      <c r="B458758">
        <v>1044</v>
      </c>
    </row>
    <row r="458759" spans="2:2">
      <c r="B458759">
        <v>998.40000000000009</v>
      </c>
    </row>
    <row r="458760" spans="2:2">
      <c r="B458760">
        <v>272</v>
      </c>
    </row>
    <row r="458761" spans="2:2">
      <c r="B458761">
        <v>200</v>
      </c>
    </row>
    <row r="458762" spans="2:2">
      <c r="B458762">
        <v>214</v>
      </c>
    </row>
    <row r="458763" spans="2:2">
      <c r="B458763">
        <v>200</v>
      </c>
    </row>
    <row r="458764" spans="2:2">
      <c r="B458764">
        <v>152</v>
      </c>
    </row>
    <row r="458765" spans="2:2">
      <c r="B458765">
        <v>200</v>
      </c>
    </row>
    <row r="458766" spans="2:2">
      <c r="B458766">
        <v>300</v>
      </c>
    </row>
    <row r="458767" spans="2:2">
      <c r="B458767">
        <v>104</v>
      </c>
    </row>
    <row r="458768" spans="2:2">
      <c r="B458768">
        <v>162</v>
      </c>
    </row>
    <row r="458769" spans="2:2">
      <c r="B458769">
        <v>200</v>
      </c>
    </row>
    <row r="458770" spans="2:2">
      <c r="B458770">
        <v>200</v>
      </c>
    </row>
    <row r="458771" spans="2:2">
      <c r="B458771">
        <v>200</v>
      </c>
    </row>
    <row r="458772" spans="2:2">
      <c r="B458772">
        <v>200</v>
      </c>
    </row>
    <row r="458773" spans="2:2">
      <c r="B458773">
        <v>200</v>
      </c>
    </row>
    <row r="458774" spans="2:2">
      <c r="B458774">
        <v>200</v>
      </c>
    </row>
    <row r="458775" spans="2:2">
      <c r="B458775">
        <v>200</v>
      </c>
    </row>
    <row r="458776" spans="2:2">
      <c r="B458776">
        <v>200</v>
      </c>
    </row>
    <row r="458777" spans="2:2">
      <c r="B458777">
        <v>800</v>
      </c>
    </row>
    <row r="458778" spans="2:2">
      <c r="B458778">
        <v>300</v>
      </c>
    </row>
    <row r="458779" spans="2:2">
      <c r="B458779">
        <v>778</v>
      </c>
    </row>
    <row r="458780" spans="2:2">
      <c r="B458780">
        <v>614</v>
      </c>
    </row>
    <row r="458781" spans="2:2">
      <c r="B458781">
        <v>444</v>
      </c>
    </row>
    <row r="458782" spans="2:2">
      <c r="B458782">
        <v>800</v>
      </c>
    </row>
    <row r="458783" spans="2:2">
      <c r="B458783">
        <v>200</v>
      </c>
    </row>
    <row r="458784" spans="2:2">
      <c r="B458784">
        <v>780</v>
      </c>
    </row>
    <row r="458785" spans="2:146">
      <c r="B458785">
        <v>174</v>
      </c>
    </row>
    <row r="458786" spans="2:146">
      <c r="B458786">
        <v>194</v>
      </c>
    </row>
    <row r="458787" spans="2:146">
      <c r="B458787">
        <v>782</v>
      </c>
    </row>
    <row r="458788" spans="2:146">
      <c r="B458788">
        <v>236</v>
      </c>
    </row>
    <row r="458789" spans="2:146">
      <c r="B458789">
        <v>144</v>
      </c>
    </row>
    <row r="458790" spans="2:146">
      <c r="B458790">
        <v>200</v>
      </c>
    </row>
    <row r="458791" spans="2:146">
      <c r="B458791">
        <v>240</v>
      </c>
    </row>
    <row r="458792" spans="2:146">
      <c r="B458792">
        <v>200</v>
      </c>
    </row>
    <row r="458793" spans="2:146">
      <c r="B458793">
        <v>612</v>
      </c>
    </row>
    <row r="458794" spans="2:146">
      <c r="B458794">
        <v>156</v>
      </c>
    </row>
    <row r="458795" spans="2:146">
      <c r="B458795">
        <v>116</v>
      </c>
    </row>
    <row r="458796" spans="2:146">
      <c r="B458796">
        <v>160</v>
      </c>
    </row>
    <row r="458797" spans="2:146">
      <c r="B458797">
        <v>80</v>
      </c>
      <c r="EL458797">
        <v>0.66</v>
      </c>
      <c r="EM458797">
        <v>0.66</v>
      </c>
      <c r="EN458797">
        <v>0.66</v>
      </c>
      <c r="EO458797">
        <v>0.66</v>
      </c>
      <c r="EP458797">
        <v>0.66</v>
      </c>
    </row>
    <row r="458798" spans="2:146">
      <c r="B458798">
        <v>1144</v>
      </c>
      <c r="BV458798">
        <v>5.0999999999999996</v>
      </c>
      <c r="BW458798">
        <v>5.0999999999999996</v>
      </c>
      <c r="DB458798">
        <v>10.210000000000001</v>
      </c>
      <c r="DC458798">
        <v>10.210000000000001</v>
      </c>
      <c r="DD458798">
        <v>10.210000000000001</v>
      </c>
      <c r="DE458798">
        <v>10.210000000000001</v>
      </c>
      <c r="DF458798">
        <v>10.210000000000001</v>
      </c>
      <c r="DG458798">
        <v>10.210000000000001</v>
      </c>
      <c r="DH458798">
        <v>10.210000000000001</v>
      </c>
    </row>
    <row r="458799" spans="2:146">
      <c r="B458799">
        <v>1240</v>
      </c>
      <c r="EE458799">
        <v>8.15</v>
      </c>
      <c r="EF458799">
        <v>8.15</v>
      </c>
      <c r="EG458799">
        <v>8.15</v>
      </c>
      <c r="EH458799">
        <v>8.15</v>
      </c>
      <c r="EI458799">
        <v>8.15</v>
      </c>
      <c r="EJ458799">
        <v>8.15</v>
      </c>
      <c r="EK458799">
        <v>8.15</v>
      </c>
    </row>
    <row r="458800" spans="2:146">
      <c r="B458800">
        <v>2083.2000000000003</v>
      </c>
      <c r="DI458800">
        <v>20.03</v>
      </c>
      <c r="DJ458800">
        <v>20.03</v>
      </c>
      <c r="DQ458800">
        <v>20.03</v>
      </c>
      <c r="DT458800">
        <v>20.03</v>
      </c>
      <c r="DW458800">
        <v>20.03</v>
      </c>
    </row>
    <row r="458801" spans="2:134">
      <c r="B458801">
        <v>357.20000000000005</v>
      </c>
      <c r="DI458801">
        <v>3.88</v>
      </c>
      <c r="DJ458801">
        <v>3.88</v>
      </c>
      <c r="DV458801">
        <v>3.88</v>
      </c>
      <c r="DW458801">
        <v>3.88</v>
      </c>
    </row>
    <row r="458802" spans="2:134">
      <c r="B458802">
        <v>391.20000000000005</v>
      </c>
      <c r="DI458802">
        <v>3.62</v>
      </c>
      <c r="DJ458802">
        <v>3.62</v>
      </c>
      <c r="DR458802">
        <v>3.62</v>
      </c>
      <c r="DU458802">
        <v>3.62</v>
      </c>
      <c r="DV458802">
        <v>3.62</v>
      </c>
    </row>
    <row r="458803" spans="2:134">
      <c r="B458803">
        <v>762.80000000000007</v>
      </c>
      <c r="DI458803">
        <v>6.15</v>
      </c>
      <c r="DJ458803">
        <v>6.15</v>
      </c>
      <c r="DQ458803">
        <v>6.15</v>
      </c>
      <c r="DR458803">
        <v>6.15</v>
      </c>
      <c r="DS458803">
        <v>6.15</v>
      </c>
      <c r="DT458803">
        <v>6.15</v>
      </c>
    </row>
    <row r="458804" spans="2:134">
      <c r="B458804">
        <v>1280</v>
      </c>
      <c r="DI458804">
        <v>10.66</v>
      </c>
      <c r="DJ458804">
        <v>10.66</v>
      </c>
      <c r="DK458804">
        <v>10.66</v>
      </c>
      <c r="DL458804">
        <v>10.66</v>
      </c>
      <c r="DM458804">
        <v>10.66</v>
      </c>
      <c r="DN458804">
        <v>10.66</v>
      </c>
    </row>
    <row r="458805" spans="2:134">
      <c r="B458805">
        <v>234</v>
      </c>
      <c r="CT458805">
        <v>2.5</v>
      </c>
      <c r="CU458805">
        <v>2.5</v>
      </c>
      <c r="CV458805">
        <v>2.5</v>
      </c>
    </row>
    <row r="458806" spans="2:134">
      <c r="B458806">
        <v>354</v>
      </c>
      <c r="CY458806">
        <v>3.98</v>
      </c>
      <c r="CZ458806">
        <v>3.98</v>
      </c>
      <c r="DA458806">
        <v>3.98</v>
      </c>
    </row>
    <row r="458807" spans="2:134">
      <c r="B458807">
        <v>392</v>
      </c>
      <c r="DI458807">
        <v>3.52</v>
      </c>
      <c r="DJ458807">
        <v>3.52</v>
      </c>
      <c r="DL458807">
        <v>3.52</v>
      </c>
      <c r="DO458807">
        <v>3.52</v>
      </c>
    </row>
    <row r="458808" spans="2:134">
      <c r="B458808">
        <v>304</v>
      </c>
      <c r="CE458808">
        <v>3.8</v>
      </c>
      <c r="CF458808">
        <v>3.8</v>
      </c>
    </row>
    <row r="458809" spans="2:134">
      <c r="B458809">
        <v>144</v>
      </c>
      <c r="DZ458809">
        <v>1.62</v>
      </c>
      <c r="EA458809">
        <v>1.62</v>
      </c>
      <c r="EB458809">
        <v>1.62</v>
      </c>
      <c r="EC458809">
        <v>0.81</v>
      </c>
      <c r="ED458809">
        <v>0.81</v>
      </c>
    </row>
    <row r="458810" spans="2:134">
      <c r="B458810">
        <v>602.40000000000009</v>
      </c>
      <c r="BY458810">
        <v>6.02</v>
      </c>
      <c r="BZ458810">
        <v>6.02</v>
      </c>
      <c r="CB458810">
        <v>3.01</v>
      </c>
      <c r="CC458810">
        <v>3.01</v>
      </c>
      <c r="CD458810">
        <v>3.01</v>
      </c>
      <c r="CI458810">
        <v>6.02</v>
      </c>
      <c r="CJ458810">
        <v>6.02</v>
      </c>
      <c r="CK458810">
        <v>6.02</v>
      </c>
    </row>
    <row r="458811" spans="2:134">
      <c r="B458811">
        <v>307.60000000000002</v>
      </c>
      <c r="BY458811">
        <v>3.34</v>
      </c>
      <c r="BZ458811">
        <v>3.34</v>
      </c>
      <c r="CG458811">
        <v>3.34</v>
      </c>
      <c r="CH458811">
        <v>3.34</v>
      </c>
    </row>
    <row r="458812" spans="2:134">
      <c r="B458812">
        <v>358</v>
      </c>
      <c r="BY458812">
        <v>2.37</v>
      </c>
      <c r="BZ458812">
        <v>2.37</v>
      </c>
      <c r="CA458812">
        <v>2.37</v>
      </c>
      <c r="DX458812">
        <v>4.74</v>
      </c>
      <c r="DY458812">
        <v>4.74</v>
      </c>
    </row>
    <row r="458813" spans="2:134">
      <c r="B458813">
        <v>286</v>
      </c>
      <c r="BT458813">
        <v>1.43</v>
      </c>
      <c r="BV458813">
        <v>1.43</v>
      </c>
      <c r="BW458813">
        <v>1.43</v>
      </c>
      <c r="BX458813">
        <v>1.43</v>
      </c>
      <c r="CO458813">
        <v>2.86</v>
      </c>
      <c r="CP458813">
        <v>2.86</v>
      </c>
      <c r="CQ458813">
        <v>2.86</v>
      </c>
      <c r="CR458813">
        <v>2.86</v>
      </c>
      <c r="CS458813">
        <v>2.86</v>
      </c>
    </row>
    <row r="458814" spans="2:134">
      <c r="B458814">
        <v>410</v>
      </c>
      <c r="BY458814">
        <v>2.88</v>
      </c>
      <c r="BZ458814">
        <v>2.88</v>
      </c>
      <c r="CA458814">
        <v>2.88</v>
      </c>
      <c r="CW458814">
        <v>5.76</v>
      </c>
      <c r="CX458814">
        <v>5.76</v>
      </c>
    </row>
    <row r="458815" spans="2:134">
      <c r="B458815">
        <v>346</v>
      </c>
      <c r="BR458815">
        <v>3.6</v>
      </c>
      <c r="BS458815">
        <v>3.6</v>
      </c>
      <c r="BT458815">
        <v>1.8</v>
      </c>
      <c r="CL458815">
        <v>3.6</v>
      </c>
      <c r="CM458815">
        <v>3.6</v>
      </c>
      <c r="CN458815">
        <v>3.6</v>
      </c>
    </row>
    <row r="458816" spans="2:134">
      <c r="B458816">
        <v>302</v>
      </c>
      <c r="BR458816">
        <v>3.28</v>
      </c>
      <c r="BS458816">
        <v>3.28</v>
      </c>
      <c r="BT458816">
        <v>1.64</v>
      </c>
      <c r="BU458816">
        <v>1.64</v>
      </c>
      <c r="CL458816">
        <v>3.28</v>
      </c>
      <c r="CM458816">
        <v>3.28</v>
      </c>
      <c r="CN458816">
        <v>3.28</v>
      </c>
    </row>
    <row r="458817" spans="2:146">
      <c r="B458817">
        <v>204</v>
      </c>
      <c r="BR458817">
        <v>2.12</v>
      </c>
      <c r="BS458817">
        <v>2.12</v>
      </c>
      <c r="BT458817">
        <v>1.06</v>
      </c>
      <c r="CL458817">
        <v>2.12</v>
      </c>
      <c r="CM458817">
        <v>2.12</v>
      </c>
      <c r="CN458817">
        <v>2.12</v>
      </c>
    </row>
    <row r="458819" spans="2:146">
      <c r="B458819">
        <v>26358.800000000003</v>
      </c>
      <c r="BQ458819">
        <v>0</v>
      </c>
      <c r="BR458819">
        <v>9</v>
      </c>
      <c r="BS458819">
        <v>9</v>
      </c>
      <c r="BT458819">
        <v>5.93</v>
      </c>
      <c r="BU458819">
        <v>1.64</v>
      </c>
      <c r="BV458819">
        <v>6.5299999999999994</v>
      </c>
      <c r="BW458819">
        <v>6.5299999999999994</v>
      </c>
      <c r="BX458819">
        <v>1.43</v>
      </c>
      <c r="BY458819">
        <v>14.61</v>
      </c>
      <c r="BZ458819">
        <v>14.61</v>
      </c>
      <c r="CA458819">
        <v>5.25</v>
      </c>
      <c r="CB458819">
        <v>3.01</v>
      </c>
      <c r="CC458819">
        <v>3.01</v>
      </c>
      <c r="CD458819">
        <v>3.01</v>
      </c>
      <c r="CE458819">
        <v>3.8</v>
      </c>
      <c r="CF458819">
        <v>3.8</v>
      </c>
      <c r="CG458819">
        <v>3.34</v>
      </c>
      <c r="CH458819">
        <v>3.34</v>
      </c>
      <c r="CI458819">
        <v>6.02</v>
      </c>
      <c r="CJ458819">
        <v>6.02</v>
      </c>
      <c r="CK458819">
        <v>6.02</v>
      </c>
      <c r="CL458819">
        <v>9</v>
      </c>
      <c r="CM458819">
        <v>9</v>
      </c>
      <c r="CN458819">
        <v>9</v>
      </c>
      <c r="CO458819">
        <v>2.86</v>
      </c>
      <c r="CP458819">
        <v>2.86</v>
      </c>
      <c r="CQ458819">
        <v>2.86</v>
      </c>
      <c r="CR458819">
        <v>2.86</v>
      </c>
      <c r="CS458819">
        <v>2.86</v>
      </c>
      <c r="CT458819">
        <v>2.5</v>
      </c>
      <c r="CU458819">
        <v>2.5</v>
      </c>
      <c r="CV458819">
        <v>2.5</v>
      </c>
      <c r="CW458819">
        <v>5.76</v>
      </c>
      <c r="CX458819">
        <v>5.76</v>
      </c>
      <c r="CY458819">
        <v>3.98</v>
      </c>
      <c r="CZ458819">
        <v>3.98</v>
      </c>
      <c r="DA458819">
        <v>3.98</v>
      </c>
      <c r="DB458819">
        <v>10.210000000000001</v>
      </c>
      <c r="DC458819">
        <v>10.210000000000001</v>
      </c>
      <c r="DD458819">
        <v>10.210000000000001</v>
      </c>
      <c r="DE458819">
        <v>10.210000000000001</v>
      </c>
      <c r="DF458819">
        <v>10.210000000000001</v>
      </c>
      <c r="DG458819">
        <v>10.210000000000001</v>
      </c>
      <c r="DH458819">
        <v>10.210000000000001</v>
      </c>
      <c r="DI458819">
        <v>47.860000000000007</v>
      </c>
      <c r="DJ458819">
        <v>47.860000000000007</v>
      </c>
      <c r="DK458819">
        <v>10.66</v>
      </c>
      <c r="DL458819">
        <v>14.18</v>
      </c>
      <c r="DM458819">
        <v>10.66</v>
      </c>
      <c r="DN458819">
        <v>10.66</v>
      </c>
      <c r="DO458819">
        <v>3.52</v>
      </c>
      <c r="DP458819">
        <v>0</v>
      </c>
      <c r="DQ458819">
        <v>26.18</v>
      </c>
      <c r="DR458819">
        <v>9.77</v>
      </c>
      <c r="DS458819">
        <v>6.15</v>
      </c>
      <c r="DT458819">
        <v>26.18</v>
      </c>
      <c r="DU458819">
        <v>3.62</v>
      </c>
      <c r="DV458819">
        <v>7.5</v>
      </c>
      <c r="DW458819">
        <v>23.91</v>
      </c>
      <c r="DX458819">
        <v>4.74</v>
      </c>
      <c r="DY458819">
        <v>4.74</v>
      </c>
      <c r="DZ458819">
        <v>1.62</v>
      </c>
      <c r="EA458819">
        <v>1.62</v>
      </c>
      <c r="EB458819">
        <v>1.62</v>
      </c>
      <c r="EC458819">
        <v>0.81</v>
      </c>
      <c r="ED458819">
        <v>0.81</v>
      </c>
      <c r="EE458819">
        <v>8.15</v>
      </c>
      <c r="EF458819">
        <v>8.15</v>
      </c>
      <c r="EG458819">
        <v>8.15</v>
      </c>
      <c r="EH458819">
        <v>8.15</v>
      </c>
      <c r="EI458819">
        <v>8.15</v>
      </c>
      <c r="EJ458819">
        <v>8.15</v>
      </c>
      <c r="EK458819">
        <v>8.15</v>
      </c>
      <c r="EL458819">
        <v>0.66</v>
      </c>
      <c r="EM458819">
        <v>0.66</v>
      </c>
      <c r="EN458819">
        <v>0.66</v>
      </c>
      <c r="EO458819">
        <v>0.66</v>
      </c>
      <c r="EP458819">
        <v>0.66</v>
      </c>
    </row>
    <row r="458820" spans="2:146">
      <c r="B458820" t="s">
        <v>265</v>
      </c>
      <c r="BQ458820" t="s">
        <v>345</v>
      </c>
      <c r="BR458820" t="s">
        <v>131</v>
      </c>
      <c r="BS458820" t="s">
        <v>131</v>
      </c>
      <c r="BT458820" t="s">
        <v>357</v>
      </c>
      <c r="BU458820" t="s">
        <v>131</v>
      </c>
      <c r="BV458820" t="s">
        <v>360</v>
      </c>
      <c r="BW458820" t="s">
        <v>360</v>
      </c>
      <c r="BX458820" t="s">
        <v>360</v>
      </c>
      <c r="BY458820" t="s">
        <v>364</v>
      </c>
      <c r="BZ458820" t="s">
        <v>364</v>
      </c>
      <c r="CA458820" t="s">
        <v>364</v>
      </c>
      <c r="CB458820" t="s">
        <v>368</v>
      </c>
      <c r="CC458820" t="s">
        <v>368</v>
      </c>
      <c r="CD458820" t="s">
        <v>368</v>
      </c>
      <c r="CE458820" t="s">
        <v>352</v>
      </c>
      <c r="CF458820" t="s">
        <v>352</v>
      </c>
      <c r="CG458820" t="s">
        <v>372</v>
      </c>
      <c r="CH458820" t="s">
        <v>372</v>
      </c>
      <c r="CI458820" t="s">
        <v>375</v>
      </c>
      <c r="CJ458820" t="s">
        <v>375</v>
      </c>
      <c r="CK458820" t="s">
        <v>375</v>
      </c>
      <c r="CL458820" t="s">
        <v>379</v>
      </c>
      <c r="CM458820" t="s">
        <v>379</v>
      </c>
      <c r="CN458820" t="s">
        <v>379</v>
      </c>
      <c r="CO458820" t="s">
        <v>383</v>
      </c>
      <c r="CP458820" t="s">
        <v>383</v>
      </c>
      <c r="CQ458820" t="s">
        <v>383</v>
      </c>
      <c r="CR458820" t="s">
        <v>383</v>
      </c>
      <c r="CS458820" t="s">
        <v>383</v>
      </c>
      <c r="CT458820" t="s">
        <v>389</v>
      </c>
      <c r="CU458820" t="s">
        <v>389</v>
      </c>
      <c r="CV458820" t="s">
        <v>389</v>
      </c>
      <c r="CW458820" t="s">
        <v>393</v>
      </c>
      <c r="CX458820" t="s">
        <v>393</v>
      </c>
      <c r="CY458820" t="s">
        <v>396</v>
      </c>
      <c r="CZ458820" t="s">
        <v>396</v>
      </c>
      <c r="DA458820" t="s">
        <v>396</v>
      </c>
      <c r="DB458820" t="s">
        <v>400</v>
      </c>
      <c r="DC458820" t="s">
        <v>400</v>
      </c>
      <c r="DD458820" t="s">
        <v>400</v>
      </c>
      <c r="DE458820" t="s">
        <v>400</v>
      </c>
      <c r="DF458820" t="s">
        <v>400</v>
      </c>
      <c r="DG458820" t="s">
        <v>400</v>
      </c>
      <c r="DH458820" t="s">
        <v>400</v>
      </c>
      <c r="DI458820" t="s">
        <v>121</v>
      </c>
      <c r="DJ458820" t="s">
        <v>121</v>
      </c>
      <c r="DK458820" t="s">
        <v>121</v>
      </c>
      <c r="DL458820" t="s">
        <v>121</v>
      </c>
      <c r="DM458820" t="s">
        <v>121</v>
      </c>
      <c r="DN458820" t="s">
        <v>121</v>
      </c>
      <c r="DO458820" t="s">
        <v>121</v>
      </c>
      <c r="DP458820" t="s">
        <v>121</v>
      </c>
      <c r="DQ458820" t="s">
        <v>121</v>
      </c>
      <c r="DR458820" t="s">
        <v>121</v>
      </c>
      <c r="DS458820" t="s">
        <v>121</v>
      </c>
      <c r="DT458820" t="s">
        <v>121</v>
      </c>
      <c r="DU458820" t="s">
        <v>121</v>
      </c>
      <c r="DV458820" t="s">
        <v>121</v>
      </c>
      <c r="DW458820" t="s">
        <v>121</v>
      </c>
      <c r="DX458820" t="s">
        <v>423</v>
      </c>
      <c r="DY458820" t="s">
        <v>423</v>
      </c>
      <c r="DZ458820" t="s">
        <v>426</v>
      </c>
      <c r="EA458820" t="s">
        <v>426</v>
      </c>
      <c r="EB458820" t="s">
        <v>426</v>
      </c>
      <c r="EC458820" t="s">
        <v>426</v>
      </c>
      <c r="ED458820" t="s">
        <v>426</v>
      </c>
      <c r="EE458820" t="s">
        <v>432</v>
      </c>
      <c r="EF458820" t="s">
        <v>432</v>
      </c>
      <c r="EG458820" t="s">
        <v>432</v>
      </c>
      <c r="EH458820" t="s">
        <v>432</v>
      </c>
      <c r="EI458820" t="s">
        <v>432</v>
      </c>
      <c r="EJ458820" t="s">
        <v>432</v>
      </c>
      <c r="EK458820" t="s">
        <v>432</v>
      </c>
      <c r="EL458820" t="s">
        <v>440</v>
      </c>
      <c r="EM458820" t="s">
        <v>440</v>
      </c>
      <c r="EN458820" t="s">
        <v>440</v>
      </c>
      <c r="EO458820" t="s">
        <v>440</v>
      </c>
      <c r="EP458820" t="s">
        <v>440</v>
      </c>
    </row>
    <row r="458821" spans="2:146">
      <c r="BQ458821" t="s">
        <v>351</v>
      </c>
      <c r="BR458821" t="s">
        <v>355</v>
      </c>
      <c r="BS458821" t="s">
        <v>356</v>
      </c>
      <c r="BT458821" t="s">
        <v>358</v>
      </c>
      <c r="BU458821" t="s">
        <v>359</v>
      </c>
      <c r="BV458821" t="s">
        <v>361</v>
      </c>
      <c r="BW458821" t="s">
        <v>362</v>
      </c>
      <c r="BX458821" t="s">
        <v>363</v>
      </c>
      <c r="BY458821" t="s">
        <v>365</v>
      </c>
      <c r="BZ458821" t="s">
        <v>366</v>
      </c>
      <c r="CA458821" t="s">
        <v>367</v>
      </c>
      <c r="CB458821" t="s">
        <v>369</v>
      </c>
      <c r="CC458821" t="s">
        <v>370</v>
      </c>
      <c r="CD458821" t="s">
        <v>371</v>
      </c>
      <c r="CE458821" t="s">
        <v>353</v>
      </c>
      <c r="CF458821" t="s">
        <v>354</v>
      </c>
      <c r="CG458821" t="s">
        <v>373</v>
      </c>
      <c r="CH458821" t="s">
        <v>374</v>
      </c>
      <c r="CI458821" t="s">
        <v>376</v>
      </c>
      <c r="CJ458821" t="s">
        <v>377</v>
      </c>
      <c r="CK458821" t="s">
        <v>378</v>
      </c>
      <c r="CL458821" t="s">
        <v>380</v>
      </c>
      <c r="CM458821" t="s">
        <v>381</v>
      </c>
      <c r="CN458821" t="s">
        <v>382</v>
      </c>
      <c r="CO458821" t="s">
        <v>384</v>
      </c>
      <c r="CP458821" t="s">
        <v>385</v>
      </c>
      <c r="CQ458821" t="s">
        <v>386</v>
      </c>
      <c r="CR458821" t="s">
        <v>387</v>
      </c>
      <c r="CS458821" t="s">
        <v>388</v>
      </c>
      <c r="CT458821" t="s">
        <v>390</v>
      </c>
      <c r="CU458821" t="s">
        <v>391</v>
      </c>
      <c r="CV458821" t="s">
        <v>392</v>
      </c>
      <c r="CW458821" t="s">
        <v>394</v>
      </c>
      <c r="CX458821" t="s">
        <v>395</v>
      </c>
      <c r="CY458821" t="s">
        <v>397</v>
      </c>
      <c r="CZ458821" t="s">
        <v>398</v>
      </c>
      <c r="DA458821" t="s">
        <v>399</v>
      </c>
      <c r="DB458821" t="s">
        <v>401</v>
      </c>
      <c r="DC458821" t="s">
        <v>402</v>
      </c>
      <c r="DD458821" t="s">
        <v>403</v>
      </c>
      <c r="DE458821" t="s">
        <v>404</v>
      </c>
      <c r="DF458821" t="s">
        <v>405</v>
      </c>
      <c r="DG458821" t="s">
        <v>406</v>
      </c>
      <c r="DH458821" t="s">
        <v>407</v>
      </c>
      <c r="DI458821" t="s">
        <v>408</v>
      </c>
      <c r="DJ458821" t="s">
        <v>409</v>
      </c>
      <c r="DK458821" t="s">
        <v>410</v>
      </c>
      <c r="DL458821" t="s">
        <v>411</v>
      </c>
      <c r="DM458821" t="s">
        <v>412</v>
      </c>
      <c r="DN458821" t="s">
        <v>413</v>
      </c>
      <c r="DO458821" t="s">
        <v>414</v>
      </c>
      <c r="DP458821" t="s">
        <v>415</v>
      </c>
      <c r="DQ458821" t="s">
        <v>416</v>
      </c>
      <c r="DR458821" t="s">
        <v>417</v>
      </c>
      <c r="DS458821" t="s">
        <v>418</v>
      </c>
      <c r="DT458821" t="s">
        <v>419</v>
      </c>
      <c r="DU458821" t="s">
        <v>420</v>
      </c>
      <c r="DV458821" t="s">
        <v>421</v>
      </c>
      <c r="DW458821" t="s">
        <v>422</v>
      </c>
      <c r="DX458821" t="s">
        <v>424</v>
      </c>
      <c r="DY458821" t="s">
        <v>425</v>
      </c>
      <c r="DZ458821" t="s">
        <v>427</v>
      </c>
      <c r="EA458821" t="s">
        <v>428</v>
      </c>
      <c r="EB458821" t="s">
        <v>429</v>
      </c>
      <c r="EC458821" t="s">
        <v>430</v>
      </c>
      <c r="ED458821" t="s">
        <v>431</v>
      </c>
      <c r="EE458821" t="s">
        <v>433</v>
      </c>
      <c r="EF458821" t="s">
        <v>434</v>
      </c>
      <c r="EG458821" t="s">
        <v>435</v>
      </c>
      <c r="EH458821" t="s">
        <v>436</v>
      </c>
      <c r="EI458821" t="s">
        <v>437</v>
      </c>
      <c r="EJ458821" t="s">
        <v>438</v>
      </c>
      <c r="EK458821" t="s">
        <v>439</v>
      </c>
      <c r="EL458821" t="s">
        <v>441</v>
      </c>
      <c r="EM458821" t="s">
        <v>442</v>
      </c>
      <c r="EN458821" t="s">
        <v>443</v>
      </c>
      <c r="EO458821" t="s">
        <v>444</v>
      </c>
      <c r="EP458821" t="s">
        <v>445</v>
      </c>
    </row>
    <row r="458822" spans="2:146">
      <c r="BQ458822">
        <v>67</v>
      </c>
      <c r="BR458822">
        <v>68</v>
      </c>
      <c r="BS458822">
        <v>69</v>
      </c>
      <c r="BT458822">
        <v>70</v>
      </c>
      <c r="BU458822">
        <v>71</v>
      </c>
      <c r="BV458822">
        <v>72</v>
      </c>
      <c r="BW458822">
        <v>73</v>
      </c>
      <c r="BX458822">
        <v>74</v>
      </c>
      <c r="BY458822">
        <v>75</v>
      </c>
      <c r="BZ458822">
        <v>76</v>
      </c>
      <c r="CA458822">
        <v>77</v>
      </c>
      <c r="CB458822">
        <v>78</v>
      </c>
      <c r="CC458822">
        <v>79</v>
      </c>
      <c r="CD458822">
        <v>80</v>
      </c>
      <c r="CE458822">
        <v>81</v>
      </c>
      <c r="CF458822">
        <v>82</v>
      </c>
      <c r="CG458822">
        <v>83</v>
      </c>
      <c r="CH458822">
        <v>84</v>
      </c>
      <c r="CI458822">
        <v>85</v>
      </c>
      <c r="CJ458822">
        <v>86</v>
      </c>
      <c r="CK458822">
        <v>87</v>
      </c>
      <c r="CL458822">
        <v>88</v>
      </c>
      <c r="CM458822">
        <v>89</v>
      </c>
      <c r="CN458822">
        <v>90</v>
      </c>
      <c r="CO458822">
        <v>91</v>
      </c>
      <c r="CP458822">
        <v>92</v>
      </c>
      <c r="CQ458822">
        <v>93</v>
      </c>
      <c r="CR458822">
        <v>94</v>
      </c>
      <c r="CS458822">
        <v>95</v>
      </c>
      <c r="CT458822">
        <v>96</v>
      </c>
      <c r="CU458822">
        <v>97</v>
      </c>
      <c r="CV458822">
        <v>98</v>
      </c>
      <c r="CW458822">
        <v>99</v>
      </c>
      <c r="CX458822">
        <v>100</v>
      </c>
      <c r="CY458822">
        <v>101</v>
      </c>
      <c r="CZ458822">
        <v>102</v>
      </c>
      <c r="DA458822">
        <v>103</v>
      </c>
      <c r="DB458822">
        <v>104</v>
      </c>
      <c r="DC458822">
        <v>105</v>
      </c>
      <c r="DD458822">
        <v>106</v>
      </c>
      <c r="DE458822">
        <v>107</v>
      </c>
      <c r="DF458822">
        <v>108</v>
      </c>
      <c r="DG458822">
        <v>109</v>
      </c>
      <c r="DH458822">
        <v>110</v>
      </c>
      <c r="DI458822">
        <v>111</v>
      </c>
      <c r="DJ458822">
        <v>112</v>
      </c>
      <c r="DK458822">
        <v>113</v>
      </c>
      <c r="DL458822">
        <v>114</v>
      </c>
      <c r="DM458822">
        <v>115</v>
      </c>
      <c r="DN458822">
        <v>116</v>
      </c>
      <c r="DO458822">
        <v>117</v>
      </c>
      <c r="DP458822">
        <v>118</v>
      </c>
      <c r="DQ458822">
        <v>119</v>
      </c>
      <c r="DR458822">
        <v>120</v>
      </c>
      <c r="DS458822">
        <v>121</v>
      </c>
      <c r="DT458822">
        <v>122</v>
      </c>
      <c r="DU458822">
        <v>123</v>
      </c>
      <c r="DV458822">
        <v>124</v>
      </c>
      <c r="DW458822">
        <v>125</v>
      </c>
      <c r="DX458822">
        <v>126</v>
      </c>
      <c r="DY458822">
        <v>127</v>
      </c>
      <c r="DZ458822">
        <v>128</v>
      </c>
      <c r="EA458822">
        <v>129</v>
      </c>
      <c r="EB458822">
        <v>130</v>
      </c>
      <c r="EC458822">
        <v>131</v>
      </c>
      <c r="ED458822">
        <v>132</v>
      </c>
      <c r="EE458822">
        <v>133</v>
      </c>
      <c r="EF458822">
        <v>134</v>
      </c>
      <c r="EG458822">
        <v>135</v>
      </c>
      <c r="EH458822">
        <v>136</v>
      </c>
      <c r="EI458822">
        <v>137</v>
      </c>
      <c r="EJ458822">
        <v>138</v>
      </c>
      <c r="EK458822">
        <v>139</v>
      </c>
      <c r="EL458822">
        <v>140</v>
      </c>
      <c r="EM458822">
        <v>141</v>
      </c>
      <c r="EN458822">
        <v>142</v>
      </c>
      <c r="EO458822">
        <v>143</v>
      </c>
      <c r="EP458822">
        <v>144</v>
      </c>
    </row>
    <row r="458823" spans="2:146">
      <c r="CE458823" t="s">
        <v>451</v>
      </c>
    </row>
    <row r="475138" spans="2:2">
      <c r="B475138">
        <v>200</v>
      </c>
    </row>
    <row r="475139" spans="2:2">
      <c r="B475139">
        <v>200</v>
      </c>
    </row>
    <row r="475140" spans="2:2">
      <c r="B475140">
        <v>800</v>
      </c>
    </row>
    <row r="475141" spans="2:2">
      <c r="B475141">
        <v>200</v>
      </c>
    </row>
    <row r="475142" spans="2:2">
      <c r="B475142">
        <v>1044</v>
      </c>
    </row>
    <row r="475143" spans="2:2">
      <c r="B475143">
        <v>998.40000000000009</v>
      </c>
    </row>
    <row r="475144" spans="2:2">
      <c r="B475144">
        <v>272</v>
      </c>
    </row>
    <row r="475145" spans="2:2">
      <c r="B475145">
        <v>200</v>
      </c>
    </row>
    <row r="475146" spans="2:2">
      <c r="B475146">
        <v>214</v>
      </c>
    </row>
    <row r="475147" spans="2:2">
      <c r="B475147">
        <v>200</v>
      </c>
    </row>
    <row r="475148" spans="2:2">
      <c r="B475148">
        <v>152</v>
      </c>
    </row>
    <row r="475149" spans="2:2">
      <c r="B475149">
        <v>200</v>
      </c>
    </row>
    <row r="475150" spans="2:2">
      <c r="B475150">
        <v>300</v>
      </c>
    </row>
    <row r="475151" spans="2:2">
      <c r="B475151">
        <v>104</v>
      </c>
    </row>
    <row r="475152" spans="2:2">
      <c r="B475152">
        <v>162</v>
      </c>
    </row>
    <row r="475153" spans="2:2">
      <c r="B475153">
        <v>200</v>
      </c>
    </row>
    <row r="475154" spans="2:2">
      <c r="B475154">
        <v>200</v>
      </c>
    </row>
    <row r="475155" spans="2:2">
      <c r="B475155">
        <v>200</v>
      </c>
    </row>
    <row r="475156" spans="2:2">
      <c r="B475156">
        <v>200</v>
      </c>
    </row>
    <row r="475157" spans="2:2">
      <c r="B475157">
        <v>200</v>
      </c>
    </row>
    <row r="475158" spans="2:2">
      <c r="B475158">
        <v>200</v>
      </c>
    </row>
    <row r="475159" spans="2:2">
      <c r="B475159">
        <v>200</v>
      </c>
    </row>
    <row r="475160" spans="2:2">
      <c r="B475160">
        <v>200</v>
      </c>
    </row>
    <row r="475161" spans="2:2">
      <c r="B475161">
        <v>800</v>
      </c>
    </row>
    <row r="475162" spans="2:2">
      <c r="B475162">
        <v>300</v>
      </c>
    </row>
    <row r="475163" spans="2:2">
      <c r="B475163">
        <v>778</v>
      </c>
    </row>
    <row r="475164" spans="2:2">
      <c r="B475164">
        <v>614</v>
      </c>
    </row>
    <row r="475165" spans="2:2">
      <c r="B475165">
        <v>444</v>
      </c>
    </row>
    <row r="475166" spans="2:2">
      <c r="B475166">
        <v>800</v>
      </c>
    </row>
    <row r="475167" spans="2:2">
      <c r="B475167">
        <v>200</v>
      </c>
    </row>
    <row r="475168" spans="2:2">
      <c r="B475168">
        <v>780</v>
      </c>
    </row>
    <row r="475169" spans="2:146">
      <c r="B475169">
        <v>174</v>
      </c>
    </row>
    <row r="475170" spans="2:146">
      <c r="B475170">
        <v>194</v>
      </c>
    </row>
    <row r="475171" spans="2:146">
      <c r="B475171">
        <v>782</v>
      </c>
    </row>
    <row r="475172" spans="2:146">
      <c r="B475172">
        <v>236</v>
      </c>
    </row>
    <row r="475173" spans="2:146">
      <c r="B475173">
        <v>144</v>
      </c>
    </row>
    <row r="475174" spans="2:146">
      <c r="B475174">
        <v>200</v>
      </c>
    </row>
    <row r="475175" spans="2:146">
      <c r="B475175">
        <v>240</v>
      </c>
    </row>
    <row r="475176" spans="2:146">
      <c r="B475176">
        <v>200</v>
      </c>
    </row>
    <row r="475177" spans="2:146">
      <c r="B475177">
        <v>612</v>
      </c>
    </row>
    <row r="475178" spans="2:146">
      <c r="B475178">
        <v>156</v>
      </c>
    </row>
    <row r="475179" spans="2:146">
      <c r="B475179">
        <v>116</v>
      </c>
    </row>
    <row r="475180" spans="2:146">
      <c r="B475180">
        <v>160</v>
      </c>
    </row>
    <row r="475181" spans="2:146">
      <c r="B475181">
        <v>80</v>
      </c>
      <c r="EL475181">
        <v>0.66</v>
      </c>
      <c r="EM475181">
        <v>0.66</v>
      </c>
      <c r="EN475181">
        <v>0.66</v>
      </c>
      <c r="EO475181">
        <v>0.66</v>
      </c>
      <c r="EP475181">
        <v>0.66</v>
      </c>
    </row>
    <row r="475182" spans="2:146">
      <c r="B475182">
        <v>1144</v>
      </c>
      <c r="BV475182">
        <v>5.0999999999999996</v>
      </c>
      <c r="BW475182">
        <v>5.0999999999999996</v>
      </c>
      <c r="DB475182">
        <v>10.210000000000001</v>
      </c>
      <c r="DC475182">
        <v>10.210000000000001</v>
      </c>
      <c r="DD475182">
        <v>10.210000000000001</v>
      </c>
      <c r="DE475182">
        <v>10.210000000000001</v>
      </c>
      <c r="DF475182">
        <v>10.210000000000001</v>
      </c>
      <c r="DG475182">
        <v>10.210000000000001</v>
      </c>
      <c r="DH475182">
        <v>10.210000000000001</v>
      </c>
    </row>
    <row r="475183" spans="2:146">
      <c r="B475183">
        <v>1240</v>
      </c>
      <c r="EE475183">
        <v>8.15</v>
      </c>
      <c r="EF475183">
        <v>8.15</v>
      </c>
      <c r="EG475183">
        <v>8.15</v>
      </c>
      <c r="EH475183">
        <v>8.15</v>
      </c>
      <c r="EI475183">
        <v>8.15</v>
      </c>
      <c r="EJ475183">
        <v>8.15</v>
      </c>
      <c r="EK475183">
        <v>8.15</v>
      </c>
    </row>
    <row r="475184" spans="2:146">
      <c r="B475184">
        <v>2083.2000000000003</v>
      </c>
      <c r="DI475184">
        <v>20.03</v>
      </c>
      <c r="DJ475184">
        <v>20.03</v>
      </c>
      <c r="DQ475184">
        <v>20.03</v>
      </c>
      <c r="DT475184">
        <v>20.03</v>
      </c>
      <c r="DW475184">
        <v>20.03</v>
      </c>
    </row>
    <row r="475185" spans="2:134">
      <c r="B475185">
        <v>357.20000000000005</v>
      </c>
      <c r="DI475185">
        <v>3.88</v>
      </c>
      <c r="DJ475185">
        <v>3.88</v>
      </c>
      <c r="DV475185">
        <v>3.88</v>
      </c>
      <c r="DW475185">
        <v>3.88</v>
      </c>
    </row>
    <row r="475186" spans="2:134">
      <c r="B475186">
        <v>391.20000000000005</v>
      </c>
      <c r="DI475186">
        <v>3.62</v>
      </c>
      <c r="DJ475186">
        <v>3.62</v>
      </c>
      <c r="DR475186">
        <v>3.62</v>
      </c>
      <c r="DU475186">
        <v>3.62</v>
      </c>
      <c r="DV475186">
        <v>3.62</v>
      </c>
    </row>
    <row r="475187" spans="2:134">
      <c r="B475187">
        <v>762.80000000000007</v>
      </c>
      <c r="DI475187">
        <v>6.15</v>
      </c>
      <c r="DJ475187">
        <v>6.15</v>
      </c>
      <c r="DQ475187">
        <v>6.15</v>
      </c>
      <c r="DR475187">
        <v>6.15</v>
      </c>
      <c r="DS475187">
        <v>6.15</v>
      </c>
      <c r="DT475187">
        <v>6.15</v>
      </c>
    </row>
    <row r="475188" spans="2:134">
      <c r="B475188">
        <v>1280</v>
      </c>
      <c r="DI475188">
        <v>10.66</v>
      </c>
      <c r="DJ475188">
        <v>10.66</v>
      </c>
      <c r="DK475188">
        <v>10.66</v>
      </c>
      <c r="DL475188">
        <v>10.66</v>
      </c>
      <c r="DM475188">
        <v>10.66</v>
      </c>
      <c r="DN475188">
        <v>10.66</v>
      </c>
    </row>
    <row r="475189" spans="2:134">
      <c r="B475189">
        <v>234</v>
      </c>
      <c r="CT475189">
        <v>2.5</v>
      </c>
      <c r="CU475189">
        <v>2.5</v>
      </c>
      <c r="CV475189">
        <v>2.5</v>
      </c>
    </row>
    <row r="475190" spans="2:134">
      <c r="B475190">
        <v>354</v>
      </c>
      <c r="CY475190">
        <v>3.98</v>
      </c>
      <c r="CZ475190">
        <v>3.98</v>
      </c>
      <c r="DA475190">
        <v>3.98</v>
      </c>
    </row>
    <row r="475191" spans="2:134">
      <c r="B475191">
        <v>392</v>
      </c>
      <c r="DI475191">
        <v>3.52</v>
      </c>
      <c r="DJ475191">
        <v>3.52</v>
      </c>
      <c r="DL475191">
        <v>3.52</v>
      </c>
      <c r="DO475191">
        <v>3.52</v>
      </c>
    </row>
    <row r="475192" spans="2:134">
      <c r="B475192">
        <v>304</v>
      </c>
      <c r="CE475192">
        <v>3.8</v>
      </c>
      <c r="CF475192">
        <v>3.8</v>
      </c>
    </row>
    <row r="475193" spans="2:134">
      <c r="B475193">
        <v>144</v>
      </c>
      <c r="DZ475193">
        <v>1.62</v>
      </c>
      <c r="EA475193">
        <v>1.62</v>
      </c>
      <c r="EB475193">
        <v>1.62</v>
      </c>
      <c r="EC475193">
        <v>0.81</v>
      </c>
      <c r="ED475193">
        <v>0.81</v>
      </c>
    </row>
    <row r="475194" spans="2:134">
      <c r="B475194">
        <v>602.40000000000009</v>
      </c>
      <c r="BY475194">
        <v>6.02</v>
      </c>
      <c r="BZ475194">
        <v>6.02</v>
      </c>
      <c r="CB475194">
        <v>3.01</v>
      </c>
      <c r="CC475194">
        <v>3.01</v>
      </c>
      <c r="CD475194">
        <v>3.01</v>
      </c>
      <c r="CI475194">
        <v>6.02</v>
      </c>
      <c r="CJ475194">
        <v>6.02</v>
      </c>
      <c r="CK475194">
        <v>6.02</v>
      </c>
    </row>
    <row r="475195" spans="2:134">
      <c r="B475195">
        <v>307.60000000000002</v>
      </c>
      <c r="BY475195">
        <v>3.34</v>
      </c>
      <c r="BZ475195">
        <v>3.34</v>
      </c>
      <c r="CG475195">
        <v>3.34</v>
      </c>
      <c r="CH475195">
        <v>3.34</v>
      </c>
    </row>
    <row r="475196" spans="2:134">
      <c r="B475196">
        <v>358</v>
      </c>
      <c r="BY475196">
        <v>2.37</v>
      </c>
      <c r="BZ475196">
        <v>2.37</v>
      </c>
      <c r="CA475196">
        <v>2.37</v>
      </c>
      <c r="DX475196">
        <v>4.74</v>
      </c>
      <c r="DY475196">
        <v>4.74</v>
      </c>
    </row>
    <row r="475197" spans="2:134">
      <c r="B475197">
        <v>286</v>
      </c>
      <c r="BT475197">
        <v>1.43</v>
      </c>
      <c r="BV475197">
        <v>1.43</v>
      </c>
      <c r="BW475197">
        <v>1.43</v>
      </c>
      <c r="BX475197">
        <v>1.43</v>
      </c>
      <c r="CO475197">
        <v>2.86</v>
      </c>
      <c r="CP475197">
        <v>2.86</v>
      </c>
      <c r="CQ475197">
        <v>2.86</v>
      </c>
      <c r="CR475197">
        <v>2.86</v>
      </c>
      <c r="CS475197">
        <v>2.86</v>
      </c>
    </row>
    <row r="475198" spans="2:134">
      <c r="B475198">
        <v>410</v>
      </c>
      <c r="BY475198">
        <v>2.88</v>
      </c>
      <c r="BZ475198">
        <v>2.88</v>
      </c>
      <c r="CA475198">
        <v>2.88</v>
      </c>
      <c r="CW475198">
        <v>5.76</v>
      </c>
      <c r="CX475198">
        <v>5.76</v>
      </c>
    </row>
    <row r="475199" spans="2:134">
      <c r="B475199">
        <v>346</v>
      </c>
      <c r="BR475199">
        <v>3.6</v>
      </c>
      <c r="BS475199">
        <v>3.6</v>
      </c>
      <c r="BT475199">
        <v>1.8</v>
      </c>
      <c r="CL475199">
        <v>3.6</v>
      </c>
      <c r="CM475199">
        <v>3.6</v>
      </c>
      <c r="CN475199">
        <v>3.6</v>
      </c>
    </row>
    <row r="475200" spans="2:134">
      <c r="B475200">
        <v>302</v>
      </c>
      <c r="BR475200">
        <v>3.28</v>
      </c>
      <c r="BS475200">
        <v>3.28</v>
      </c>
      <c r="BT475200">
        <v>1.64</v>
      </c>
      <c r="BU475200">
        <v>1.64</v>
      </c>
      <c r="CL475200">
        <v>3.28</v>
      </c>
      <c r="CM475200">
        <v>3.28</v>
      </c>
      <c r="CN475200">
        <v>3.28</v>
      </c>
    </row>
    <row r="475201" spans="2:146">
      <c r="B475201">
        <v>204</v>
      </c>
      <c r="BR475201">
        <v>2.12</v>
      </c>
      <c r="BS475201">
        <v>2.12</v>
      </c>
      <c r="BT475201">
        <v>1.06</v>
      </c>
      <c r="CL475201">
        <v>2.12</v>
      </c>
      <c r="CM475201">
        <v>2.12</v>
      </c>
      <c r="CN475201">
        <v>2.12</v>
      </c>
    </row>
    <row r="475203" spans="2:146">
      <c r="B475203">
        <v>26358.800000000003</v>
      </c>
      <c r="BQ475203">
        <v>0</v>
      </c>
      <c r="BR475203">
        <v>9</v>
      </c>
      <c r="BS475203">
        <v>9</v>
      </c>
      <c r="BT475203">
        <v>5.93</v>
      </c>
      <c r="BU475203">
        <v>1.64</v>
      </c>
      <c r="BV475203">
        <v>6.5299999999999994</v>
      </c>
      <c r="BW475203">
        <v>6.5299999999999994</v>
      </c>
      <c r="BX475203">
        <v>1.43</v>
      </c>
      <c r="BY475203">
        <v>14.61</v>
      </c>
      <c r="BZ475203">
        <v>14.61</v>
      </c>
      <c r="CA475203">
        <v>5.25</v>
      </c>
      <c r="CB475203">
        <v>3.01</v>
      </c>
      <c r="CC475203">
        <v>3.01</v>
      </c>
      <c r="CD475203">
        <v>3.01</v>
      </c>
      <c r="CE475203">
        <v>3.8</v>
      </c>
      <c r="CF475203">
        <v>3.8</v>
      </c>
      <c r="CG475203">
        <v>3.34</v>
      </c>
      <c r="CH475203">
        <v>3.34</v>
      </c>
      <c r="CI475203">
        <v>6.02</v>
      </c>
      <c r="CJ475203">
        <v>6.02</v>
      </c>
      <c r="CK475203">
        <v>6.02</v>
      </c>
      <c r="CL475203">
        <v>9</v>
      </c>
      <c r="CM475203">
        <v>9</v>
      </c>
      <c r="CN475203">
        <v>9</v>
      </c>
      <c r="CO475203">
        <v>2.86</v>
      </c>
      <c r="CP475203">
        <v>2.86</v>
      </c>
      <c r="CQ475203">
        <v>2.86</v>
      </c>
      <c r="CR475203">
        <v>2.86</v>
      </c>
      <c r="CS475203">
        <v>2.86</v>
      </c>
      <c r="CT475203">
        <v>2.5</v>
      </c>
      <c r="CU475203">
        <v>2.5</v>
      </c>
      <c r="CV475203">
        <v>2.5</v>
      </c>
      <c r="CW475203">
        <v>5.76</v>
      </c>
      <c r="CX475203">
        <v>5.76</v>
      </c>
      <c r="CY475203">
        <v>3.98</v>
      </c>
      <c r="CZ475203">
        <v>3.98</v>
      </c>
      <c r="DA475203">
        <v>3.98</v>
      </c>
      <c r="DB475203">
        <v>10.210000000000001</v>
      </c>
      <c r="DC475203">
        <v>10.210000000000001</v>
      </c>
      <c r="DD475203">
        <v>10.210000000000001</v>
      </c>
      <c r="DE475203">
        <v>10.210000000000001</v>
      </c>
      <c r="DF475203">
        <v>10.210000000000001</v>
      </c>
      <c r="DG475203">
        <v>10.210000000000001</v>
      </c>
      <c r="DH475203">
        <v>10.210000000000001</v>
      </c>
      <c r="DI475203">
        <v>47.860000000000007</v>
      </c>
      <c r="DJ475203">
        <v>47.860000000000007</v>
      </c>
      <c r="DK475203">
        <v>10.66</v>
      </c>
      <c r="DL475203">
        <v>14.18</v>
      </c>
      <c r="DM475203">
        <v>10.66</v>
      </c>
      <c r="DN475203">
        <v>10.66</v>
      </c>
      <c r="DO475203">
        <v>3.52</v>
      </c>
      <c r="DP475203">
        <v>0</v>
      </c>
      <c r="DQ475203">
        <v>26.18</v>
      </c>
      <c r="DR475203">
        <v>9.77</v>
      </c>
      <c r="DS475203">
        <v>6.15</v>
      </c>
      <c r="DT475203">
        <v>26.18</v>
      </c>
      <c r="DU475203">
        <v>3.62</v>
      </c>
      <c r="DV475203">
        <v>7.5</v>
      </c>
      <c r="DW475203">
        <v>23.91</v>
      </c>
      <c r="DX475203">
        <v>4.74</v>
      </c>
      <c r="DY475203">
        <v>4.74</v>
      </c>
      <c r="DZ475203">
        <v>1.62</v>
      </c>
      <c r="EA475203">
        <v>1.62</v>
      </c>
      <c r="EB475203">
        <v>1.62</v>
      </c>
      <c r="EC475203">
        <v>0.81</v>
      </c>
      <c r="ED475203">
        <v>0.81</v>
      </c>
      <c r="EE475203">
        <v>8.15</v>
      </c>
      <c r="EF475203">
        <v>8.15</v>
      </c>
      <c r="EG475203">
        <v>8.15</v>
      </c>
      <c r="EH475203">
        <v>8.15</v>
      </c>
      <c r="EI475203">
        <v>8.15</v>
      </c>
      <c r="EJ475203">
        <v>8.15</v>
      </c>
      <c r="EK475203">
        <v>8.15</v>
      </c>
      <c r="EL475203">
        <v>0.66</v>
      </c>
      <c r="EM475203">
        <v>0.66</v>
      </c>
      <c r="EN475203">
        <v>0.66</v>
      </c>
      <c r="EO475203">
        <v>0.66</v>
      </c>
      <c r="EP475203">
        <v>0.66</v>
      </c>
    </row>
    <row r="475204" spans="2:146">
      <c r="B475204" t="s">
        <v>265</v>
      </c>
      <c r="BQ475204" t="s">
        <v>345</v>
      </c>
      <c r="BR475204" t="s">
        <v>131</v>
      </c>
      <c r="BS475204" t="s">
        <v>131</v>
      </c>
      <c r="BT475204" t="s">
        <v>357</v>
      </c>
      <c r="BU475204" t="s">
        <v>131</v>
      </c>
      <c r="BV475204" t="s">
        <v>360</v>
      </c>
      <c r="BW475204" t="s">
        <v>360</v>
      </c>
      <c r="BX475204" t="s">
        <v>360</v>
      </c>
      <c r="BY475204" t="s">
        <v>364</v>
      </c>
      <c r="BZ475204" t="s">
        <v>364</v>
      </c>
      <c r="CA475204" t="s">
        <v>364</v>
      </c>
      <c r="CB475204" t="s">
        <v>368</v>
      </c>
      <c r="CC475204" t="s">
        <v>368</v>
      </c>
      <c r="CD475204" t="s">
        <v>368</v>
      </c>
      <c r="CE475204" t="s">
        <v>352</v>
      </c>
      <c r="CF475204" t="s">
        <v>352</v>
      </c>
      <c r="CG475204" t="s">
        <v>372</v>
      </c>
      <c r="CH475204" t="s">
        <v>372</v>
      </c>
      <c r="CI475204" t="s">
        <v>375</v>
      </c>
      <c r="CJ475204" t="s">
        <v>375</v>
      </c>
      <c r="CK475204" t="s">
        <v>375</v>
      </c>
      <c r="CL475204" t="s">
        <v>379</v>
      </c>
      <c r="CM475204" t="s">
        <v>379</v>
      </c>
      <c r="CN475204" t="s">
        <v>379</v>
      </c>
      <c r="CO475204" t="s">
        <v>383</v>
      </c>
      <c r="CP475204" t="s">
        <v>383</v>
      </c>
      <c r="CQ475204" t="s">
        <v>383</v>
      </c>
      <c r="CR475204" t="s">
        <v>383</v>
      </c>
      <c r="CS475204" t="s">
        <v>383</v>
      </c>
      <c r="CT475204" t="s">
        <v>389</v>
      </c>
      <c r="CU475204" t="s">
        <v>389</v>
      </c>
      <c r="CV475204" t="s">
        <v>389</v>
      </c>
      <c r="CW475204" t="s">
        <v>393</v>
      </c>
      <c r="CX475204" t="s">
        <v>393</v>
      </c>
      <c r="CY475204" t="s">
        <v>396</v>
      </c>
      <c r="CZ475204" t="s">
        <v>396</v>
      </c>
      <c r="DA475204" t="s">
        <v>396</v>
      </c>
      <c r="DB475204" t="s">
        <v>400</v>
      </c>
      <c r="DC475204" t="s">
        <v>400</v>
      </c>
      <c r="DD475204" t="s">
        <v>400</v>
      </c>
      <c r="DE475204" t="s">
        <v>400</v>
      </c>
      <c r="DF475204" t="s">
        <v>400</v>
      </c>
      <c r="DG475204" t="s">
        <v>400</v>
      </c>
      <c r="DH475204" t="s">
        <v>400</v>
      </c>
      <c r="DI475204" t="s">
        <v>121</v>
      </c>
      <c r="DJ475204" t="s">
        <v>121</v>
      </c>
      <c r="DK475204" t="s">
        <v>121</v>
      </c>
      <c r="DL475204" t="s">
        <v>121</v>
      </c>
      <c r="DM475204" t="s">
        <v>121</v>
      </c>
      <c r="DN475204" t="s">
        <v>121</v>
      </c>
      <c r="DO475204" t="s">
        <v>121</v>
      </c>
      <c r="DP475204" t="s">
        <v>121</v>
      </c>
      <c r="DQ475204" t="s">
        <v>121</v>
      </c>
      <c r="DR475204" t="s">
        <v>121</v>
      </c>
      <c r="DS475204" t="s">
        <v>121</v>
      </c>
      <c r="DT475204" t="s">
        <v>121</v>
      </c>
      <c r="DU475204" t="s">
        <v>121</v>
      </c>
      <c r="DV475204" t="s">
        <v>121</v>
      </c>
      <c r="DW475204" t="s">
        <v>121</v>
      </c>
      <c r="DX475204" t="s">
        <v>423</v>
      </c>
      <c r="DY475204" t="s">
        <v>423</v>
      </c>
      <c r="DZ475204" t="s">
        <v>426</v>
      </c>
      <c r="EA475204" t="s">
        <v>426</v>
      </c>
      <c r="EB475204" t="s">
        <v>426</v>
      </c>
      <c r="EC475204" t="s">
        <v>426</v>
      </c>
      <c r="ED475204" t="s">
        <v>426</v>
      </c>
      <c r="EE475204" t="s">
        <v>432</v>
      </c>
      <c r="EF475204" t="s">
        <v>432</v>
      </c>
      <c r="EG475204" t="s">
        <v>432</v>
      </c>
      <c r="EH475204" t="s">
        <v>432</v>
      </c>
      <c r="EI475204" t="s">
        <v>432</v>
      </c>
      <c r="EJ475204" t="s">
        <v>432</v>
      </c>
      <c r="EK475204" t="s">
        <v>432</v>
      </c>
      <c r="EL475204" t="s">
        <v>440</v>
      </c>
      <c r="EM475204" t="s">
        <v>440</v>
      </c>
      <c r="EN475204" t="s">
        <v>440</v>
      </c>
      <c r="EO475204" t="s">
        <v>440</v>
      </c>
      <c r="EP475204" t="s">
        <v>440</v>
      </c>
    </row>
    <row r="475205" spans="2:146">
      <c r="BQ475205" t="s">
        <v>351</v>
      </c>
      <c r="BR475205" t="s">
        <v>355</v>
      </c>
      <c r="BS475205" t="s">
        <v>356</v>
      </c>
      <c r="BT475205" t="s">
        <v>358</v>
      </c>
      <c r="BU475205" t="s">
        <v>359</v>
      </c>
      <c r="BV475205" t="s">
        <v>361</v>
      </c>
      <c r="BW475205" t="s">
        <v>362</v>
      </c>
      <c r="BX475205" t="s">
        <v>363</v>
      </c>
      <c r="BY475205" t="s">
        <v>365</v>
      </c>
      <c r="BZ475205" t="s">
        <v>366</v>
      </c>
      <c r="CA475205" t="s">
        <v>367</v>
      </c>
      <c r="CB475205" t="s">
        <v>369</v>
      </c>
      <c r="CC475205" t="s">
        <v>370</v>
      </c>
      <c r="CD475205" t="s">
        <v>371</v>
      </c>
      <c r="CE475205" t="s">
        <v>353</v>
      </c>
      <c r="CF475205" t="s">
        <v>354</v>
      </c>
      <c r="CG475205" t="s">
        <v>373</v>
      </c>
      <c r="CH475205" t="s">
        <v>374</v>
      </c>
      <c r="CI475205" t="s">
        <v>376</v>
      </c>
      <c r="CJ475205" t="s">
        <v>377</v>
      </c>
      <c r="CK475205" t="s">
        <v>378</v>
      </c>
      <c r="CL475205" t="s">
        <v>380</v>
      </c>
      <c r="CM475205" t="s">
        <v>381</v>
      </c>
      <c r="CN475205" t="s">
        <v>382</v>
      </c>
      <c r="CO475205" t="s">
        <v>384</v>
      </c>
      <c r="CP475205" t="s">
        <v>385</v>
      </c>
      <c r="CQ475205" t="s">
        <v>386</v>
      </c>
      <c r="CR475205" t="s">
        <v>387</v>
      </c>
      <c r="CS475205" t="s">
        <v>388</v>
      </c>
      <c r="CT475205" t="s">
        <v>390</v>
      </c>
      <c r="CU475205" t="s">
        <v>391</v>
      </c>
      <c r="CV475205" t="s">
        <v>392</v>
      </c>
      <c r="CW475205" t="s">
        <v>394</v>
      </c>
      <c r="CX475205" t="s">
        <v>395</v>
      </c>
      <c r="CY475205" t="s">
        <v>397</v>
      </c>
      <c r="CZ475205" t="s">
        <v>398</v>
      </c>
      <c r="DA475205" t="s">
        <v>399</v>
      </c>
      <c r="DB475205" t="s">
        <v>401</v>
      </c>
      <c r="DC475205" t="s">
        <v>402</v>
      </c>
      <c r="DD475205" t="s">
        <v>403</v>
      </c>
      <c r="DE475205" t="s">
        <v>404</v>
      </c>
      <c r="DF475205" t="s">
        <v>405</v>
      </c>
      <c r="DG475205" t="s">
        <v>406</v>
      </c>
      <c r="DH475205" t="s">
        <v>407</v>
      </c>
      <c r="DI475205" t="s">
        <v>408</v>
      </c>
      <c r="DJ475205" t="s">
        <v>409</v>
      </c>
      <c r="DK475205" t="s">
        <v>410</v>
      </c>
      <c r="DL475205" t="s">
        <v>411</v>
      </c>
      <c r="DM475205" t="s">
        <v>412</v>
      </c>
      <c r="DN475205" t="s">
        <v>413</v>
      </c>
      <c r="DO475205" t="s">
        <v>414</v>
      </c>
      <c r="DP475205" t="s">
        <v>415</v>
      </c>
      <c r="DQ475205" t="s">
        <v>416</v>
      </c>
      <c r="DR475205" t="s">
        <v>417</v>
      </c>
      <c r="DS475205" t="s">
        <v>418</v>
      </c>
      <c r="DT475205" t="s">
        <v>419</v>
      </c>
      <c r="DU475205" t="s">
        <v>420</v>
      </c>
      <c r="DV475205" t="s">
        <v>421</v>
      </c>
      <c r="DW475205" t="s">
        <v>422</v>
      </c>
      <c r="DX475205" t="s">
        <v>424</v>
      </c>
      <c r="DY475205" t="s">
        <v>425</v>
      </c>
      <c r="DZ475205" t="s">
        <v>427</v>
      </c>
      <c r="EA475205" t="s">
        <v>428</v>
      </c>
      <c r="EB475205" t="s">
        <v>429</v>
      </c>
      <c r="EC475205" t="s">
        <v>430</v>
      </c>
      <c r="ED475205" t="s">
        <v>431</v>
      </c>
      <c r="EE475205" t="s">
        <v>433</v>
      </c>
      <c r="EF475205" t="s">
        <v>434</v>
      </c>
      <c r="EG475205" t="s">
        <v>435</v>
      </c>
      <c r="EH475205" t="s">
        <v>436</v>
      </c>
      <c r="EI475205" t="s">
        <v>437</v>
      </c>
      <c r="EJ475205" t="s">
        <v>438</v>
      </c>
      <c r="EK475205" t="s">
        <v>439</v>
      </c>
      <c r="EL475205" t="s">
        <v>441</v>
      </c>
      <c r="EM475205" t="s">
        <v>442</v>
      </c>
      <c r="EN475205" t="s">
        <v>443</v>
      </c>
      <c r="EO475205" t="s">
        <v>444</v>
      </c>
      <c r="EP475205" t="s">
        <v>445</v>
      </c>
    </row>
    <row r="475206" spans="2:146">
      <c r="BQ475206">
        <v>67</v>
      </c>
      <c r="BR475206">
        <v>68</v>
      </c>
      <c r="BS475206">
        <v>69</v>
      </c>
      <c r="BT475206">
        <v>70</v>
      </c>
      <c r="BU475206">
        <v>71</v>
      </c>
      <c r="BV475206">
        <v>72</v>
      </c>
      <c r="BW475206">
        <v>73</v>
      </c>
      <c r="BX475206">
        <v>74</v>
      </c>
      <c r="BY475206">
        <v>75</v>
      </c>
      <c r="BZ475206">
        <v>76</v>
      </c>
      <c r="CA475206">
        <v>77</v>
      </c>
      <c r="CB475206">
        <v>78</v>
      </c>
      <c r="CC475206">
        <v>79</v>
      </c>
      <c r="CD475206">
        <v>80</v>
      </c>
      <c r="CE475206">
        <v>81</v>
      </c>
      <c r="CF475206">
        <v>82</v>
      </c>
      <c r="CG475206">
        <v>83</v>
      </c>
      <c r="CH475206">
        <v>84</v>
      </c>
      <c r="CI475206">
        <v>85</v>
      </c>
      <c r="CJ475206">
        <v>86</v>
      </c>
      <c r="CK475206">
        <v>87</v>
      </c>
      <c r="CL475206">
        <v>88</v>
      </c>
      <c r="CM475206">
        <v>89</v>
      </c>
      <c r="CN475206">
        <v>90</v>
      </c>
      <c r="CO475206">
        <v>91</v>
      </c>
      <c r="CP475206">
        <v>92</v>
      </c>
      <c r="CQ475206">
        <v>93</v>
      </c>
      <c r="CR475206">
        <v>94</v>
      </c>
      <c r="CS475206">
        <v>95</v>
      </c>
      <c r="CT475206">
        <v>96</v>
      </c>
      <c r="CU475206">
        <v>97</v>
      </c>
      <c r="CV475206">
        <v>98</v>
      </c>
      <c r="CW475206">
        <v>99</v>
      </c>
      <c r="CX475206">
        <v>100</v>
      </c>
      <c r="CY475206">
        <v>101</v>
      </c>
      <c r="CZ475206">
        <v>102</v>
      </c>
      <c r="DA475206">
        <v>103</v>
      </c>
      <c r="DB475206">
        <v>104</v>
      </c>
      <c r="DC475206">
        <v>105</v>
      </c>
      <c r="DD475206">
        <v>106</v>
      </c>
      <c r="DE475206">
        <v>107</v>
      </c>
      <c r="DF475206">
        <v>108</v>
      </c>
      <c r="DG475206">
        <v>109</v>
      </c>
      <c r="DH475206">
        <v>110</v>
      </c>
      <c r="DI475206">
        <v>111</v>
      </c>
      <c r="DJ475206">
        <v>112</v>
      </c>
      <c r="DK475206">
        <v>113</v>
      </c>
      <c r="DL475206">
        <v>114</v>
      </c>
      <c r="DM475206">
        <v>115</v>
      </c>
      <c r="DN475206">
        <v>116</v>
      </c>
      <c r="DO475206">
        <v>117</v>
      </c>
      <c r="DP475206">
        <v>118</v>
      </c>
      <c r="DQ475206">
        <v>119</v>
      </c>
      <c r="DR475206">
        <v>120</v>
      </c>
      <c r="DS475206">
        <v>121</v>
      </c>
      <c r="DT475206">
        <v>122</v>
      </c>
      <c r="DU475206">
        <v>123</v>
      </c>
      <c r="DV475206">
        <v>124</v>
      </c>
      <c r="DW475206">
        <v>125</v>
      </c>
      <c r="DX475206">
        <v>126</v>
      </c>
      <c r="DY475206">
        <v>127</v>
      </c>
      <c r="DZ475206">
        <v>128</v>
      </c>
      <c r="EA475206">
        <v>129</v>
      </c>
      <c r="EB475206">
        <v>130</v>
      </c>
      <c r="EC475206">
        <v>131</v>
      </c>
      <c r="ED475206">
        <v>132</v>
      </c>
      <c r="EE475206">
        <v>133</v>
      </c>
      <c r="EF475206">
        <v>134</v>
      </c>
      <c r="EG475206">
        <v>135</v>
      </c>
      <c r="EH475206">
        <v>136</v>
      </c>
      <c r="EI475206">
        <v>137</v>
      </c>
      <c r="EJ475206">
        <v>138</v>
      </c>
      <c r="EK475206">
        <v>139</v>
      </c>
      <c r="EL475206">
        <v>140</v>
      </c>
      <c r="EM475206">
        <v>141</v>
      </c>
      <c r="EN475206">
        <v>142</v>
      </c>
      <c r="EO475206">
        <v>143</v>
      </c>
      <c r="EP475206">
        <v>144</v>
      </c>
    </row>
    <row r="475207" spans="2:146">
      <c r="CE475207" t="s">
        <v>451</v>
      </c>
    </row>
    <row r="491522" spans="2:2">
      <c r="B491522">
        <v>200</v>
      </c>
    </row>
    <row r="491523" spans="2:2">
      <c r="B491523">
        <v>200</v>
      </c>
    </row>
    <row r="491524" spans="2:2">
      <c r="B491524">
        <v>800</v>
      </c>
    </row>
    <row r="491525" spans="2:2">
      <c r="B491525">
        <v>200</v>
      </c>
    </row>
    <row r="491526" spans="2:2">
      <c r="B491526">
        <v>1044</v>
      </c>
    </row>
    <row r="491527" spans="2:2">
      <c r="B491527">
        <v>998.40000000000009</v>
      </c>
    </row>
    <row r="491528" spans="2:2">
      <c r="B491528">
        <v>272</v>
      </c>
    </row>
    <row r="491529" spans="2:2">
      <c r="B491529">
        <v>200</v>
      </c>
    </row>
    <row r="491530" spans="2:2">
      <c r="B491530">
        <v>214</v>
      </c>
    </row>
    <row r="491531" spans="2:2">
      <c r="B491531">
        <v>200</v>
      </c>
    </row>
    <row r="491532" spans="2:2">
      <c r="B491532">
        <v>152</v>
      </c>
    </row>
    <row r="491533" spans="2:2">
      <c r="B491533">
        <v>200</v>
      </c>
    </row>
    <row r="491534" spans="2:2">
      <c r="B491534">
        <v>300</v>
      </c>
    </row>
    <row r="491535" spans="2:2">
      <c r="B491535">
        <v>104</v>
      </c>
    </row>
    <row r="491536" spans="2:2">
      <c r="B491536">
        <v>162</v>
      </c>
    </row>
    <row r="491537" spans="2:2">
      <c r="B491537">
        <v>200</v>
      </c>
    </row>
    <row r="491538" spans="2:2">
      <c r="B491538">
        <v>200</v>
      </c>
    </row>
    <row r="491539" spans="2:2">
      <c r="B491539">
        <v>200</v>
      </c>
    </row>
    <row r="491540" spans="2:2">
      <c r="B491540">
        <v>200</v>
      </c>
    </row>
    <row r="491541" spans="2:2">
      <c r="B491541">
        <v>200</v>
      </c>
    </row>
    <row r="491542" spans="2:2">
      <c r="B491542">
        <v>200</v>
      </c>
    </row>
    <row r="491543" spans="2:2">
      <c r="B491543">
        <v>200</v>
      </c>
    </row>
    <row r="491544" spans="2:2">
      <c r="B491544">
        <v>200</v>
      </c>
    </row>
    <row r="491545" spans="2:2">
      <c r="B491545">
        <v>800</v>
      </c>
    </row>
    <row r="491546" spans="2:2">
      <c r="B491546">
        <v>300</v>
      </c>
    </row>
    <row r="491547" spans="2:2">
      <c r="B491547">
        <v>778</v>
      </c>
    </row>
    <row r="491548" spans="2:2">
      <c r="B491548">
        <v>614</v>
      </c>
    </row>
    <row r="491549" spans="2:2">
      <c r="B491549">
        <v>444</v>
      </c>
    </row>
    <row r="491550" spans="2:2">
      <c r="B491550">
        <v>800</v>
      </c>
    </row>
    <row r="491551" spans="2:2">
      <c r="B491551">
        <v>200</v>
      </c>
    </row>
    <row r="491552" spans="2:2">
      <c r="B491552">
        <v>780</v>
      </c>
    </row>
    <row r="491553" spans="2:146">
      <c r="B491553">
        <v>174</v>
      </c>
    </row>
    <row r="491554" spans="2:146">
      <c r="B491554">
        <v>194</v>
      </c>
    </row>
    <row r="491555" spans="2:146">
      <c r="B491555">
        <v>782</v>
      </c>
    </row>
    <row r="491556" spans="2:146">
      <c r="B491556">
        <v>236</v>
      </c>
    </row>
    <row r="491557" spans="2:146">
      <c r="B491557">
        <v>144</v>
      </c>
    </row>
    <row r="491558" spans="2:146">
      <c r="B491558">
        <v>200</v>
      </c>
    </row>
    <row r="491559" spans="2:146">
      <c r="B491559">
        <v>240</v>
      </c>
    </row>
    <row r="491560" spans="2:146">
      <c r="B491560">
        <v>200</v>
      </c>
    </row>
    <row r="491561" spans="2:146">
      <c r="B491561">
        <v>612</v>
      </c>
    </row>
    <row r="491562" spans="2:146">
      <c r="B491562">
        <v>156</v>
      </c>
    </row>
    <row r="491563" spans="2:146">
      <c r="B491563">
        <v>116</v>
      </c>
    </row>
    <row r="491564" spans="2:146">
      <c r="B491564">
        <v>160</v>
      </c>
    </row>
    <row r="491565" spans="2:146">
      <c r="B491565">
        <v>80</v>
      </c>
      <c r="EL491565">
        <v>0.66</v>
      </c>
      <c r="EM491565">
        <v>0.66</v>
      </c>
      <c r="EN491565">
        <v>0.66</v>
      </c>
      <c r="EO491565">
        <v>0.66</v>
      </c>
      <c r="EP491565">
        <v>0.66</v>
      </c>
    </row>
    <row r="491566" spans="2:146">
      <c r="B491566">
        <v>1144</v>
      </c>
      <c r="BV491566">
        <v>5.0999999999999996</v>
      </c>
      <c r="BW491566">
        <v>5.0999999999999996</v>
      </c>
      <c r="DB491566">
        <v>10.210000000000001</v>
      </c>
      <c r="DC491566">
        <v>10.210000000000001</v>
      </c>
      <c r="DD491566">
        <v>10.210000000000001</v>
      </c>
      <c r="DE491566">
        <v>10.210000000000001</v>
      </c>
      <c r="DF491566">
        <v>10.210000000000001</v>
      </c>
      <c r="DG491566">
        <v>10.210000000000001</v>
      </c>
      <c r="DH491566">
        <v>10.210000000000001</v>
      </c>
    </row>
    <row r="491567" spans="2:146">
      <c r="B491567">
        <v>1240</v>
      </c>
      <c r="EE491567">
        <v>8.15</v>
      </c>
      <c r="EF491567">
        <v>8.15</v>
      </c>
      <c r="EG491567">
        <v>8.15</v>
      </c>
      <c r="EH491567">
        <v>8.15</v>
      </c>
      <c r="EI491567">
        <v>8.15</v>
      </c>
      <c r="EJ491567">
        <v>8.15</v>
      </c>
      <c r="EK491567">
        <v>8.15</v>
      </c>
    </row>
    <row r="491568" spans="2:146">
      <c r="B491568">
        <v>2083.2000000000003</v>
      </c>
      <c r="DI491568">
        <v>20.03</v>
      </c>
      <c r="DJ491568">
        <v>20.03</v>
      </c>
      <c r="DQ491568">
        <v>20.03</v>
      </c>
      <c r="DT491568">
        <v>20.03</v>
      </c>
      <c r="DW491568">
        <v>20.03</v>
      </c>
    </row>
    <row r="491569" spans="2:134">
      <c r="B491569">
        <v>357.20000000000005</v>
      </c>
      <c r="DI491569">
        <v>3.88</v>
      </c>
      <c r="DJ491569">
        <v>3.88</v>
      </c>
      <c r="DV491569">
        <v>3.88</v>
      </c>
      <c r="DW491569">
        <v>3.88</v>
      </c>
    </row>
    <row r="491570" spans="2:134">
      <c r="B491570">
        <v>391.20000000000005</v>
      </c>
      <c r="DI491570">
        <v>3.62</v>
      </c>
      <c r="DJ491570">
        <v>3.62</v>
      </c>
      <c r="DR491570">
        <v>3.62</v>
      </c>
      <c r="DU491570">
        <v>3.62</v>
      </c>
      <c r="DV491570">
        <v>3.62</v>
      </c>
    </row>
    <row r="491571" spans="2:134">
      <c r="B491571">
        <v>762.80000000000007</v>
      </c>
      <c r="DI491571">
        <v>6.15</v>
      </c>
      <c r="DJ491571">
        <v>6.15</v>
      </c>
      <c r="DQ491571">
        <v>6.15</v>
      </c>
      <c r="DR491571">
        <v>6.15</v>
      </c>
      <c r="DS491571">
        <v>6.15</v>
      </c>
      <c r="DT491571">
        <v>6.15</v>
      </c>
    </row>
    <row r="491572" spans="2:134">
      <c r="B491572">
        <v>1280</v>
      </c>
      <c r="DI491572">
        <v>10.66</v>
      </c>
      <c r="DJ491572">
        <v>10.66</v>
      </c>
      <c r="DK491572">
        <v>10.66</v>
      </c>
      <c r="DL491572">
        <v>10.66</v>
      </c>
      <c r="DM491572">
        <v>10.66</v>
      </c>
      <c r="DN491572">
        <v>10.66</v>
      </c>
    </row>
    <row r="491573" spans="2:134">
      <c r="B491573">
        <v>234</v>
      </c>
      <c r="CT491573">
        <v>2.5</v>
      </c>
      <c r="CU491573">
        <v>2.5</v>
      </c>
      <c r="CV491573">
        <v>2.5</v>
      </c>
    </row>
    <row r="491574" spans="2:134">
      <c r="B491574">
        <v>354</v>
      </c>
      <c r="CY491574">
        <v>3.98</v>
      </c>
      <c r="CZ491574">
        <v>3.98</v>
      </c>
      <c r="DA491574">
        <v>3.98</v>
      </c>
    </row>
    <row r="491575" spans="2:134">
      <c r="B491575">
        <v>392</v>
      </c>
      <c r="DI491575">
        <v>3.52</v>
      </c>
      <c r="DJ491575">
        <v>3.52</v>
      </c>
      <c r="DL491575">
        <v>3.52</v>
      </c>
      <c r="DO491575">
        <v>3.52</v>
      </c>
    </row>
    <row r="491576" spans="2:134">
      <c r="B491576">
        <v>304</v>
      </c>
      <c r="CE491576">
        <v>3.8</v>
      </c>
      <c r="CF491576">
        <v>3.8</v>
      </c>
    </row>
    <row r="491577" spans="2:134">
      <c r="B491577">
        <v>144</v>
      </c>
      <c r="DZ491577">
        <v>1.62</v>
      </c>
      <c r="EA491577">
        <v>1.62</v>
      </c>
      <c r="EB491577">
        <v>1.62</v>
      </c>
      <c r="EC491577">
        <v>0.81</v>
      </c>
      <c r="ED491577">
        <v>0.81</v>
      </c>
    </row>
    <row r="491578" spans="2:134">
      <c r="B491578">
        <v>602.40000000000009</v>
      </c>
      <c r="BY491578">
        <v>6.02</v>
      </c>
      <c r="BZ491578">
        <v>6.02</v>
      </c>
      <c r="CB491578">
        <v>3.01</v>
      </c>
      <c r="CC491578">
        <v>3.01</v>
      </c>
      <c r="CD491578">
        <v>3.01</v>
      </c>
      <c r="CI491578">
        <v>6.02</v>
      </c>
      <c r="CJ491578">
        <v>6.02</v>
      </c>
      <c r="CK491578">
        <v>6.02</v>
      </c>
    </row>
    <row r="491579" spans="2:134">
      <c r="B491579">
        <v>307.60000000000002</v>
      </c>
      <c r="BY491579">
        <v>3.34</v>
      </c>
      <c r="BZ491579">
        <v>3.34</v>
      </c>
      <c r="CG491579">
        <v>3.34</v>
      </c>
      <c r="CH491579">
        <v>3.34</v>
      </c>
    </row>
    <row r="491580" spans="2:134">
      <c r="B491580">
        <v>358</v>
      </c>
      <c r="BY491580">
        <v>2.37</v>
      </c>
      <c r="BZ491580">
        <v>2.37</v>
      </c>
      <c r="CA491580">
        <v>2.37</v>
      </c>
      <c r="DX491580">
        <v>4.74</v>
      </c>
      <c r="DY491580">
        <v>4.74</v>
      </c>
    </row>
    <row r="491581" spans="2:134">
      <c r="B491581">
        <v>286</v>
      </c>
      <c r="BT491581">
        <v>1.43</v>
      </c>
      <c r="BV491581">
        <v>1.43</v>
      </c>
      <c r="BW491581">
        <v>1.43</v>
      </c>
      <c r="BX491581">
        <v>1.43</v>
      </c>
      <c r="CO491581">
        <v>2.86</v>
      </c>
      <c r="CP491581">
        <v>2.86</v>
      </c>
      <c r="CQ491581">
        <v>2.86</v>
      </c>
      <c r="CR491581">
        <v>2.86</v>
      </c>
      <c r="CS491581">
        <v>2.86</v>
      </c>
    </row>
    <row r="491582" spans="2:134">
      <c r="B491582">
        <v>410</v>
      </c>
      <c r="BY491582">
        <v>2.88</v>
      </c>
      <c r="BZ491582">
        <v>2.88</v>
      </c>
      <c r="CA491582">
        <v>2.88</v>
      </c>
      <c r="CW491582">
        <v>5.76</v>
      </c>
      <c r="CX491582">
        <v>5.76</v>
      </c>
    </row>
    <row r="491583" spans="2:134">
      <c r="B491583">
        <v>346</v>
      </c>
      <c r="BR491583">
        <v>3.6</v>
      </c>
      <c r="BS491583">
        <v>3.6</v>
      </c>
      <c r="BT491583">
        <v>1.8</v>
      </c>
      <c r="CL491583">
        <v>3.6</v>
      </c>
      <c r="CM491583">
        <v>3.6</v>
      </c>
      <c r="CN491583">
        <v>3.6</v>
      </c>
    </row>
    <row r="491584" spans="2:134">
      <c r="B491584">
        <v>302</v>
      </c>
      <c r="BR491584">
        <v>3.28</v>
      </c>
      <c r="BS491584">
        <v>3.28</v>
      </c>
      <c r="BT491584">
        <v>1.64</v>
      </c>
      <c r="BU491584">
        <v>1.64</v>
      </c>
      <c r="CL491584">
        <v>3.28</v>
      </c>
      <c r="CM491584">
        <v>3.28</v>
      </c>
      <c r="CN491584">
        <v>3.28</v>
      </c>
    </row>
    <row r="491585" spans="2:146">
      <c r="B491585">
        <v>204</v>
      </c>
      <c r="BR491585">
        <v>2.12</v>
      </c>
      <c r="BS491585">
        <v>2.12</v>
      </c>
      <c r="BT491585">
        <v>1.06</v>
      </c>
      <c r="CL491585">
        <v>2.12</v>
      </c>
      <c r="CM491585">
        <v>2.12</v>
      </c>
      <c r="CN491585">
        <v>2.12</v>
      </c>
    </row>
    <row r="491587" spans="2:146">
      <c r="B491587">
        <v>26358.800000000003</v>
      </c>
      <c r="BQ491587">
        <v>0</v>
      </c>
      <c r="BR491587">
        <v>9</v>
      </c>
      <c r="BS491587">
        <v>9</v>
      </c>
      <c r="BT491587">
        <v>5.93</v>
      </c>
      <c r="BU491587">
        <v>1.64</v>
      </c>
      <c r="BV491587">
        <v>6.5299999999999994</v>
      </c>
      <c r="BW491587">
        <v>6.5299999999999994</v>
      </c>
      <c r="BX491587">
        <v>1.43</v>
      </c>
      <c r="BY491587">
        <v>14.61</v>
      </c>
      <c r="BZ491587">
        <v>14.61</v>
      </c>
      <c r="CA491587">
        <v>5.25</v>
      </c>
      <c r="CB491587">
        <v>3.01</v>
      </c>
      <c r="CC491587">
        <v>3.01</v>
      </c>
      <c r="CD491587">
        <v>3.01</v>
      </c>
      <c r="CE491587">
        <v>3.8</v>
      </c>
      <c r="CF491587">
        <v>3.8</v>
      </c>
      <c r="CG491587">
        <v>3.34</v>
      </c>
      <c r="CH491587">
        <v>3.34</v>
      </c>
      <c r="CI491587">
        <v>6.02</v>
      </c>
      <c r="CJ491587">
        <v>6.02</v>
      </c>
      <c r="CK491587">
        <v>6.02</v>
      </c>
      <c r="CL491587">
        <v>9</v>
      </c>
      <c r="CM491587">
        <v>9</v>
      </c>
      <c r="CN491587">
        <v>9</v>
      </c>
      <c r="CO491587">
        <v>2.86</v>
      </c>
      <c r="CP491587">
        <v>2.86</v>
      </c>
      <c r="CQ491587">
        <v>2.86</v>
      </c>
      <c r="CR491587">
        <v>2.86</v>
      </c>
      <c r="CS491587">
        <v>2.86</v>
      </c>
      <c r="CT491587">
        <v>2.5</v>
      </c>
      <c r="CU491587">
        <v>2.5</v>
      </c>
      <c r="CV491587">
        <v>2.5</v>
      </c>
      <c r="CW491587">
        <v>5.76</v>
      </c>
      <c r="CX491587">
        <v>5.76</v>
      </c>
      <c r="CY491587">
        <v>3.98</v>
      </c>
      <c r="CZ491587">
        <v>3.98</v>
      </c>
      <c r="DA491587">
        <v>3.98</v>
      </c>
      <c r="DB491587">
        <v>10.210000000000001</v>
      </c>
      <c r="DC491587">
        <v>10.210000000000001</v>
      </c>
      <c r="DD491587">
        <v>10.210000000000001</v>
      </c>
      <c r="DE491587">
        <v>10.210000000000001</v>
      </c>
      <c r="DF491587">
        <v>10.210000000000001</v>
      </c>
      <c r="DG491587">
        <v>10.210000000000001</v>
      </c>
      <c r="DH491587">
        <v>10.210000000000001</v>
      </c>
      <c r="DI491587">
        <v>47.860000000000007</v>
      </c>
      <c r="DJ491587">
        <v>47.860000000000007</v>
      </c>
      <c r="DK491587">
        <v>10.66</v>
      </c>
      <c r="DL491587">
        <v>14.18</v>
      </c>
      <c r="DM491587">
        <v>10.66</v>
      </c>
      <c r="DN491587">
        <v>10.66</v>
      </c>
      <c r="DO491587">
        <v>3.52</v>
      </c>
      <c r="DP491587">
        <v>0</v>
      </c>
      <c r="DQ491587">
        <v>26.18</v>
      </c>
      <c r="DR491587">
        <v>9.77</v>
      </c>
      <c r="DS491587">
        <v>6.15</v>
      </c>
      <c r="DT491587">
        <v>26.18</v>
      </c>
      <c r="DU491587">
        <v>3.62</v>
      </c>
      <c r="DV491587">
        <v>7.5</v>
      </c>
      <c r="DW491587">
        <v>23.91</v>
      </c>
      <c r="DX491587">
        <v>4.74</v>
      </c>
      <c r="DY491587">
        <v>4.74</v>
      </c>
      <c r="DZ491587">
        <v>1.62</v>
      </c>
      <c r="EA491587">
        <v>1.62</v>
      </c>
      <c r="EB491587">
        <v>1.62</v>
      </c>
      <c r="EC491587">
        <v>0.81</v>
      </c>
      <c r="ED491587">
        <v>0.81</v>
      </c>
      <c r="EE491587">
        <v>8.15</v>
      </c>
      <c r="EF491587">
        <v>8.15</v>
      </c>
      <c r="EG491587">
        <v>8.15</v>
      </c>
      <c r="EH491587">
        <v>8.15</v>
      </c>
      <c r="EI491587">
        <v>8.15</v>
      </c>
      <c r="EJ491587">
        <v>8.15</v>
      </c>
      <c r="EK491587">
        <v>8.15</v>
      </c>
      <c r="EL491587">
        <v>0.66</v>
      </c>
      <c r="EM491587">
        <v>0.66</v>
      </c>
      <c r="EN491587">
        <v>0.66</v>
      </c>
      <c r="EO491587">
        <v>0.66</v>
      </c>
      <c r="EP491587">
        <v>0.66</v>
      </c>
    </row>
    <row r="491588" spans="2:146">
      <c r="B491588" t="s">
        <v>265</v>
      </c>
      <c r="BQ491588" t="s">
        <v>345</v>
      </c>
      <c r="BR491588" t="s">
        <v>131</v>
      </c>
      <c r="BS491588" t="s">
        <v>131</v>
      </c>
      <c r="BT491588" t="s">
        <v>357</v>
      </c>
      <c r="BU491588" t="s">
        <v>131</v>
      </c>
      <c r="BV491588" t="s">
        <v>360</v>
      </c>
      <c r="BW491588" t="s">
        <v>360</v>
      </c>
      <c r="BX491588" t="s">
        <v>360</v>
      </c>
      <c r="BY491588" t="s">
        <v>364</v>
      </c>
      <c r="BZ491588" t="s">
        <v>364</v>
      </c>
      <c r="CA491588" t="s">
        <v>364</v>
      </c>
      <c r="CB491588" t="s">
        <v>368</v>
      </c>
      <c r="CC491588" t="s">
        <v>368</v>
      </c>
      <c r="CD491588" t="s">
        <v>368</v>
      </c>
      <c r="CE491588" t="s">
        <v>352</v>
      </c>
      <c r="CF491588" t="s">
        <v>352</v>
      </c>
      <c r="CG491588" t="s">
        <v>372</v>
      </c>
      <c r="CH491588" t="s">
        <v>372</v>
      </c>
      <c r="CI491588" t="s">
        <v>375</v>
      </c>
      <c r="CJ491588" t="s">
        <v>375</v>
      </c>
      <c r="CK491588" t="s">
        <v>375</v>
      </c>
      <c r="CL491588" t="s">
        <v>379</v>
      </c>
      <c r="CM491588" t="s">
        <v>379</v>
      </c>
      <c r="CN491588" t="s">
        <v>379</v>
      </c>
      <c r="CO491588" t="s">
        <v>383</v>
      </c>
      <c r="CP491588" t="s">
        <v>383</v>
      </c>
      <c r="CQ491588" t="s">
        <v>383</v>
      </c>
      <c r="CR491588" t="s">
        <v>383</v>
      </c>
      <c r="CS491588" t="s">
        <v>383</v>
      </c>
      <c r="CT491588" t="s">
        <v>389</v>
      </c>
      <c r="CU491588" t="s">
        <v>389</v>
      </c>
      <c r="CV491588" t="s">
        <v>389</v>
      </c>
      <c r="CW491588" t="s">
        <v>393</v>
      </c>
      <c r="CX491588" t="s">
        <v>393</v>
      </c>
      <c r="CY491588" t="s">
        <v>396</v>
      </c>
      <c r="CZ491588" t="s">
        <v>396</v>
      </c>
      <c r="DA491588" t="s">
        <v>396</v>
      </c>
      <c r="DB491588" t="s">
        <v>400</v>
      </c>
      <c r="DC491588" t="s">
        <v>400</v>
      </c>
      <c r="DD491588" t="s">
        <v>400</v>
      </c>
      <c r="DE491588" t="s">
        <v>400</v>
      </c>
      <c r="DF491588" t="s">
        <v>400</v>
      </c>
      <c r="DG491588" t="s">
        <v>400</v>
      </c>
      <c r="DH491588" t="s">
        <v>400</v>
      </c>
      <c r="DI491588" t="s">
        <v>121</v>
      </c>
      <c r="DJ491588" t="s">
        <v>121</v>
      </c>
      <c r="DK491588" t="s">
        <v>121</v>
      </c>
      <c r="DL491588" t="s">
        <v>121</v>
      </c>
      <c r="DM491588" t="s">
        <v>121</v>
      </c>
      <c r="DN491588" t="s">
        <v>121</v>
      </c>
      <c r="DO491588" t="s">
        <v>121</v>
      </c>
      <c r="DP491588" t="s">
        <v>121</v>
      </c>
      <c r="DQ491588" t="s">
        <v>121</v>
      </c>
      <c r="DR491588" t="s">
        <v>121</v>
      </c>
      <c r="DS491588" t="s">
        <v>121</v>
      </c>
      <c r="DT491588" t="s">
        <v>121</v>
      </c>
      <c r="DU491588" t="s">
        <v>121</v>
      </c>
      <c r="DV491588" t="s">
        <v>121</v>
      </c>
      <c r="DW491588" t="s">
        <v>121</v>
      </c>
      <c r="DX491588" t="s">
        <v>423</v>
      </c>
      <c r="DY491588" t="s">
        <v>423</v>
      </c>
      <c r="DZ491588" t="s">
        <v>426</v>
      </c>
      <c r="EA491588" t="s">
        <v>426</v>
      </c>
      <c r="EB491588" t="s">
        <v>426</v>
      </c>
      <c r="EC491588" t="s">
        <v>426</v>
      </c>
      <c r="ED491588" t="s">
        <v>426</v>
      </c>
      <c r="EE491588" t="s">
        <v>432</v>
      </c>
      <c r="EF491588" t="s">
        <v>432</v>
      </c>
      <c r="EG491588" t="s">
        <v>432</v>
      </c>
      <c r="EH491588" t="s">
        <v>432</v>
      </c>
      <c r="EI491588" t="s">
        <v>432</v>
      </c>
      <c r="EJ491588" t="s">
        <v>432</v>
      </c>
      <c r="EK491588" t="s">
        <v>432</v>
      </c>
      <c r="EL491588" t="s">
        <v>440</v>
      </c>
      <c r="EM491588" t="s">
        <v>440</v>
      </c>
      <c r="EN491588" t="s">
        <v>440</v>
      </c>
      <c r="EO491588" t="s">
        <v>440</v>
      </c>
      <c r="EP491588" t="s">
        <v>440</v>
      </c>
    </row>
    <row r="491589" spans="2:146">
      <c r="BQ491589" t="s">
        <v>351</v>
      </c>
      <c r="BR491589" t="s">
        <v>355</v>
      </c>
      <c r="BS491589" t="s">
        <v>356</v>
      </c>
      <c r="BT491589" t="s">
        <v>358</v>
      </c>
      <c r="BU491589" t="s">
        <v>359</v>
      </c>
      <c r="BV491589" t="s">
        <v>361</v>
      </c>
      <c r="BW491589" t="s">
        <v>362</v>
      </c>
      <c r="BX491589" t="s">
        <v>363</v>
      </c>
      <c r="BY491589" t="s">
        <v>365</v>
      </c>
      <c r="BZ491589" t="s">
        <v>366</v>
      </c>
      <c r="CA491589" t="s">
        <v>367</v>
      </c>
      <c r="CB491589" t="s">
        <v>369</v>
      </c>
      <c r="CC491589" t="s">
        <v>370</v>
      </c>
      <c r="CD491589" t="s">
        <v>371</v>
      </c>
      <c r="CE491589" t="s">
        <v>353</v>
      </c>
      <c r="CF491589" t="s">
        <v>354</v>
      </c>
      <c r="CG491589" t="s">
        <v>373</v>
      </c>
      <c r="CH491589" t="s">
        <v>374</v>
      </c>
      <c r="CI491589" t="s">
        <v>376</v>
      </c>
      <c r="CJ491589" t="s">
        <v>377</v>
      </c>
      <c r="CK491589" t="s">
        <v>378</v>
      </c>
      <c r="CL491589" t="s">
        <v>380</v>
      </c>
      <c r="CM491589" t="s">
        <v>381</v>
      </c>
      <c r="CN491589" t="s">
        <v>382</v>
      </c>
      <c r="CO491589" t="s">
        <v>384</v>
      </c>
      <c r="CP491589" t="s">
        <v>385</v>
      </c>
      <c r="CQ491589" t="s">
        <v>386</v>
      </c>
      <c r="CR491589" t="s">
        <v>387</v>
      </c>
      <c r="CS491589" t="s">
        <v>388</v>
      </c>
      <c r="CT491589" t="s">
        <v>390</v>
      </c>
      <c r="CU491589" t="s">
        <v>391</v>
      </c>
      <c r="CV491589" t="s">
        <v>392</v>
      </c>
      <c r="CW491589" t="s">
        <v>394</v>
      </c>
      <c r="CX491589" t="s">
        <v>395</v>
      </c>
      <c r="CY491589" t="s">
        <v>397</v>
      </c>
      <c r="CZ491589" t="s">
        <v>398</v>
      </c>
      <c r="DA491589" t="s">
        <v>399</v>
      </c>
      <c r="DB491589" t="s">
        <v>401</v>
      </c>
      <c r="DC491589" t="s">
        <v>402</v>
      </c>
      <c r="DD491589" t="s">
        <v>403</v>
      </c>
      <c r="DE491589" t="s">
        <v>404</v>
      </c>
      <c r="DF491589" t="s">
        <v>405</v>
      </c>
      <c r="DG491589" t="s">
        <v>406</v>
      </c>
      <c r="DH491589" t="s">
        <v>407</v>
      </c>
      <c r="DI491589" t="s">
        <v>408</v>
      </c>
      <c r="DJ491589" t="s">
        <v>409</v>
      </c>
      <c r="DK491589" t="s">
        <v>410</v>
      </c>
      <c r="DL491589" t="s">
        <v>411</v>
      </c>
      <c r="DM491589" t="s">
        <v>412</v>
      </c>
      <c r="DN491589" t="s">
        <v>413</v>
      </c>
      <c r="DO491589" t="s">
        <v>414</v>
      </c>
      <c r="DP491589" t="s">
        <v>415</v>
      </c>
      <c r="DQ491589" t="s">
        <v>416</v>
      </c>
      <c r="DR491589" t="s">
        <v>417</v>
      </c>
      <c r="DS491589" t="s">
        <v>418</v>
      </c>
      <c r="DT491589" t="s">
        <v>419</v>
      </c>
      <c r="DU491589" t="s">
        <v>420</v>
      </c>
      <c r="DV491589" t="s">
        <v>421</v>
      </c>
      <c r="DW491589" t="s">
        <v>422</v>
      </c>
      <c r="DX491589" t="s">
        <v>424</v>
      </c>
      <c r="DY491589" t="s">
        <v>425</v>
      </c>
      <c r="DZ491589" t="s">
        <v>427</v>
      </c>
      <c r="EA491589" t="s">
        <v>428</v>
      </c>
      <c r="EB491589" t="s">
        <v>429</v>
      </c>
      <c r="EC491589" t="s">
        <v>430</v>
      </c>
      <c r="ED491589" t="s">
        <v>431</v>
      </c>
      <c r="EE491589" t="s">
        <v>433</v>
      </c>
      <c r="EF491589" t="s">
        <v>434</v>
      </c>
      <c r="EG491589" t="s">
        <v>435</v>
      </c>
      <c r="EH491589" t="s">
        <v>436</v>
      </c>
      <c r="EI491589" t="s">
        <v>437</v>
      </c>
      <c r="EJ491589" t="s">
        <v>438</v>
      </c>
      <c r="EK491589" t="s">
        <v>439</v>
      </c>
      <c r="EL491589" t="s">
        <v>441</v>
      </c>
      <c r="EM491589" t="s">
        <v>442</v>
      </c>
      <c r="EN491589" t="s">
        <v>443</v>
      </c>
      <c r="EO491589" t="s">
        <v>444</v>
      </c>
      <c r="EP491589" t="s">
        <v>445</v>
      </c>
    </row>
    <row r="491590" spans="2:146">
      <c r="BQ491590">
        <v>67</v>
      </c>
      <c r="BR491590">
        <v>68</v>
      </c>
      <c r="BS491590">
        <v>69</v>
      </c>
      <c r="BT491590">
        <v>70</v>
      </c>
      <c r="BU491590">
        <v>71</v>
      </c>
      <c r="BV491590">
        <v>72</v>
      </c>
      <c r="BW491590">
        <v>73</v>
      </c>
      <c r="BX491590">
        <v>74</v>
      </c>
      <c r="BY491590">
        <v>75</v>
      </c>
      <c r="BZ491590">
        <v>76</v>
      </c>
      <c r="CA491590">
        <v>77</v>
      </c>
      <c r="CB491590">
        <v>78</v>
      </c>
      <c r="CC491590">
        <v>79</v>
      </c>
      <c r="CD491590">
        <v>80</v>
      </c>
      <c r="CE491590">
        <v>81</v>
      </c>
      <c r="CF491590">
        <v>82</v>
      </c>
      <c r="CG491590">
        <v>83</v>
      </c>
      <c r="CH491590">
        <v>84</v>
      </c>
      <c r="CI491590">
        <v>85</v>
      </c>
      <c r="CJ491590">
        <v>86</v>
      </c>
      <c r="CK491590">
        <v>87</v>
      </c>
      <c r="CL491590">
        <v>88</v>
      </c>
      <c r="CM491590">
        <v>89</v>
      </c>
      <c r="CN491590">
        <v>90</v>
      </c>
      <c r="CO491590">
        <v>91</v>
      </c>
      <c r="CP491590">
        <v>92</v>
      </c>
      <c r="CQ491590">
        <v>93</v>
      </c>
      <c r="CR491590">
        <v>94</v>
      </c>
      <c r="CS491590">
        <v>95</v>
      </c>
      <c r="CT491590">
        <v>96</v>
      </c>
      <c r="CU491590">
        <v>97</v>
      </c>
      <c r="CV491590">
        <v>98</v>
      </c>
      <c r="CW491590">
        <v>99</v>
      </c>
      <c r="CX491590">
        <v>100</v>
      </c>
      <c r="CY491590">
        <v>101</v>
      </c>
      <c r="CZ491590">
        <v>102</v>
      </c>
      <c r="DA491590">
        <v>103</v>
      </c>
      <c r="DB491590">
        <v>104</v>
      </c>
      <c r="DC491590">
        <v>105</v>
      </c>
      <c r="DD491590">
        <v>106</v>
      </c>
      <c r="DE491590">
        <v>107</v>
      </c>
      <c r="DF491590">
        <v>108</v>
      </c>
      <c r="DG491590">
        <v>109</v>
      </c>
      <c r="DH491590">
        <v>110</v>
      </c>
      <c r="DI491590">
        <v>111</v>
      </c>
      <c r="DJ491590">
        <v>112</v>
      </c>
      <c r="DK491590">
        <v>113</v>
      </c>
      <c r="DL491590">
        <v>114</v>
      </c>
      <c r="DM491590">
        <v>115</v>
      </c>
      <c r="DN491590">
        <v>116</v>
      </c>
      <c r="DO491590">
        <v>117</v>
      </c>
      <c r="DP491590">
        <v>118</v>
      </c>
      <c r="DQ491590">
        <v>119</v>
      </c>
      <c r="DR491590">
        <v>120</v>
      </c>
      <c r="DS491590">
        <v>121</v>
      </c>
      <c r="DT491590">
        <v>122</v>
      </c>
      <c r="DU491590">
        <v>123</v>
      </c>
      <c r="DV491590">
        <v>124</v>
      </c>
      <c r="DW491590">
        <v>125</v>
      </c>
      <c r="DX491590">
        <v>126</v>
      </c>
      <c r="DY491590">
        <v>127</v>
      </c>
      <c r="DZ491590">
        <v>128</v>
      </c>
      <c r="EA491590">
        <v>129</v>
      </c>
      <c r="EB491590">
        <v>130</v>
      </c>
      <c r="EC491590">
        <v>131</v>
      </c>
      <c r="ED491590">
        <v>132</v>
      </c>
      <c r="EE491590">
        <v>133</v>
      </c>
      <c r="EF491590">
        <v>134</v>
      </c>
      <c r="EG491590">
        <v>135</v>
      </c>
      <c r="EH491590">
        <v>136</v>
      </c>
      <c r="EI491590">
        <v>137</v>
      </c>
      <c r="EJ491590">
        <v>138</v>
      </c>
      <c r="EK491590">
        <v>139</v>
      </c>
      <c r="EL491590">
        <v>140</v>
      </c>
      <c r="EM491590">
        <v>141</v>
      </c>
      <c r="EN491590">
        <v>142</v>
      </c>
      <c r="EO491590">
        <v>143</v>
      </c>
      <c r="EP491590">
        <v>144</v>
      </c>
    </row>
    <row r="491591" spans="2:146">
      <c r="CE491591" t="s">
        <v>451</v>
      </c>
    </row>
    <row r="507906" spans="2:2">
      <c r="B507906">
        <v>200</v>
      </c>
    </row>
    <row r="507907" spans="2:2">
      <c r="B507907">
        <v>200</v>
      </c>
    </row>
    <row r="507908" spans="2:2">
      <c r="B507908">
        <v>800</v>
      </c>
    </row>
    <row r="507909" spans="2:2">
      <c r="B507909">
        <v>200</v>
      </c>
    </row>
    <row r="507910" spans="2:2">
      <c r="B507910">
        <v>1044</v>
      </c>
    </row>
    <row r="507911" spans="2:2">
      <c r="B507911">
        <v>998.40000000000009</v>
      </c>
    </row>
    <row r="507912" spans="2:2">
      <c r="B507912">
        <v>272</v>
      </c>
    </row>
    <row r="507913" spans="2:2">
      <c r="B507913">
        <v>200</v>
      </c>
    </row>
    <row r="507914" spans="2:2">
      <c r="B507914">
        <v>214</v>
      </c>
    </row>
    <row r="507915" spans="2:2">
      <c r="B507915">
        <v>200</v>
      </c>
    </row>
    <row r="507916" spans="2:2">
      <c r="B507916">
        <v>152</v>
      </c>
    </row>
    <row r="507917" spans="2:2">
      <c r="B507917">
        <v>200</v>
      </c>
    </row>
    <row r="507918" spans="2:2">
      <c r="B507918">
        <v>300</v>
      </c>
    </row>
    <row r="507919" spans="2:2">
      <c r="B507919">
        <v>104</v>
      </c>
    </row>
    <row r="507920" spans="2:2">
      <c r="B507920">
        <v>162</v>
      </c>
    </row>
    <row r="507921" spans="2:2">
      <c r="B507921">
        <v>200</v>
      </c>
    </row>
    <row r="507922" spans="2:2">
      <c r="B507922">
        <v>200</v>
      </c>
    </row>
    <row r="507923" spans="2:2">
      <c r="B507923">
        <v>200</v>
      </c>
    </row>
    <row r="507924" spans="2:2">
      <c r="B507924">
        <v>200</v>
      </c>
    </row>
    <row r="507925" spans="2:2">
      <c r="B507925">
        <v>200</v>
      </c>
    </row>
    <row r="507926" spans="2:2">
      <c r="B507926">
        <v>200</v>
      </c>
    </row>
    <row r="507927" spans="2:2">
      <c r="B507927">
        <v>200</v>
      </c>
    </row>
    <row r="507928" spans="2:2">
      <c r="B507928">
        <v>200</v>
      </c>
    </row>
    <row r="507929" spans="2:2">
      <c r="B507929">
        <v>800</v>
      </c>
    </row>
    <row r="507930" spans="2:2">
      <c r="B507930">
        <v>300</v>
      </c>
    </row>
    <row r="507931" spans="2:2">
      <c r="B507931">
        <v>778</v>
      </c>
    </row>
    <row r="507932" spans="2:2">
      <c r="B507932">
        <v>614</v>
      </c>
    </row>
    <row r="507933" spans="2:2">
      <c r="B507933">
        <v>444</v>
      </c>
    </row>
    <row r="507934" spans="2:2">
      <c r="B507934">
        <v>800</v>
      </c>
    </row>
    <row r="507935" spans="2:2">
      <c r="B507935">
        <v>200</v>
      </c>
    </row>
    <row r="507936" spans="2:2">
      <c r="B507936">
        <v>780</v>
      </c>
    </row>
    <row r="507937" spans="2:146">
      <c r="B507937">
        <v>174</v>
      </c>
    </row>
    <row r="507938" spans="2:146">
      <c r="B507938">
        <v>194</v>
      </c>
    </row>
    <row r="507939" spans="2:146">
      <c r="B507939">
        <v>782</v>
      </c>
    </row>
    <row r="507940" spans="2:146">
      <c r="B507940">
        <v>236</v>
      </c>
    </row>
    <row r="507941" spans="2:146">
      <c r="B507941">
        <v>144</v>
      </c>
    </row>
    <row r="507942" spans="2:146">
      <c r="B507942">
        <v>200</v>
      </c>
    </row>
    <row r="507943" spans="2:146">
      <c r="B507943">
        <v>240</v>
      </c>
    </row>
    <row r="507944" spans="2:146">
      <c r="B507944">
        <v>200</v>
      </c>
    </row>
    <row r="507945" spans="2:146">
      <c r="B507945">
        <v>612</v>
      </c>
    </row>
    <row r="507946" spans="2:146">
      <c r="B507946">
        <v>156</v>
      </c>
    </row>
    <row r="507947" spans="2:146">
      <c r="B507947">
        <v>116</v>
      </c>
    </row>
    <row r="507948" spans="2:146">
      <c r="B507948">
        <v>160</v>
      </c>
    </row>
    <row r="507949" spans="2:146">
      <c r="B507949">
        <v>80</v>
      </c>
      <c r="EL507949">
        <v>0.66</v>
      </c>
      <c r="EM507949">
        <v>0.66</v>
      </c>
      <c r="EN507949">
        <v>0.66</v>
      </c>
      <c r="EO507949">
        <v>0.66</v>
      </c>
      <c r="EP507949">
        <v>0.66</v>
      </c>
    </row>
    <row r="507950" spans="2:146">
      <c r="B507950">
        <v>1144</v>
      </c>
      <c r="BV507950">
        <v>5.0999999999999996</v>
      </c>
      <c r="BW507950">
        <v>5.0999999999999996</v>
      </c>
      <c r="DB507950">
        <v>10.210000000000001</v>
      </c>
      <c r="DC507950">
        <v>10.210000000000001</v>
      </c>
      <c r="DD507950">
        <v>10.210000000000001</v>
      </c>
      <c r="DE507950">
        <v>10.210000000000001</v>
      </c>
      <c r="DF507950">
        <v>10.210000000000001</v>
      </c>
      <c r="DG507950">
        <v>10.210000000000001</v>
      </c>
      <c r="DH507950">
        <v>10.210000000000001</v>
      </c>
    </row>
    <row r="507951" spans="2:146">
      <c r="B507951">
        <v>1240</v>
      </c>
      <c r="EE507951">
        <v>8.15</v>
      </c>
      <c r="EF507951">
        <v>8.15</v>
      </c>
      <c r="EG507951">
        <v>8.15</v>
      </c>
      <c r="EH507951">
        <v>8.15</v>
      </c>
      <c r="EI507951">
        <v>8.15</v>
      </c>
      <c r="EJ507951">
        <v>8.15</v>
      </c>
      <c r="EK507951">
        <v>8.15</v>
      </c>
    </row>
    <row r="507952" spans="2:146">
      <c r="B507952">
        <v>2083.2000000000003</v>
      </c>
      <c r="DI507952">
        <v>20.03</v>
      </c>
      <c r="DJ507952">
        <v>20.03</v>
      </c>
      <c r="DQ507952">
        <v>20.03</v>
      </c>
      <c r="DT507952">
        <v>20.03</v>
      </c>
      <c r="DW507952">
        <v>20.03</v>
      </c>
    </row>
    <row r="507953" spans="2:134">
      <c r="B507953">
        <v>357.20000000000005</v>
      </c>
      <c r="DI507953">
        <v>3.88</v>
      </c>
      <c r="DJ507953">
        <v>3.88</v>
      </c>
      <c r="DV507953">
        <v>3.88</v>
      </c>
      <c r="DW507953">
        <v>3.88</v>
      </c>
    </row>
    <row r="507954" spans="2:134">
      <c r="B507954">
        <v>391.20000000000005</v>
      </c>
      <c r="DI507954">
        <v>3.62</v>
      </c>
      <c r="DJ507954">
        <v>3.62</v>
      </c>
      <c r="DR507954">
        <v>3.62</v>
      </c>
      <c r="DU507954">
        <v>3.62</v>
      </c>
      <c r="DV507954">
        <v>3.62</v>
      </c>
    </row>
    <row r="507955" spans="2:134">
      <c r="B507955">
        <v>762.80000000000007</v>
      </c>
      <c r="DI507955">
        <v>6.15</v>
      </c>
      <c r="DJ507955">
        <v>6.15</v>
      </c>
      <c r="DQ507955">
        <v>6.15</v>
      </c>
      <c r="DR507955">
        <v>6.15</v>
      </c>
      <c r="DS507955">
        <v>6.15</v>
      </c>
      <c r="DT507955">
        <v>6.15</v>
      </c>
    </row>
    <row r="507956" spans="2:134">
      <c r="B507956">
        <v>1280</v>
      </c>
      <c r="DI507956">
        <v>10.66</v>
      </c>
      <c r="DJ507956">
        <v>10.66</v>
      </c>
      <c r="DK507956">
        <v>10.66</v>
      </c>
      <c r="DL507956">
        <v>10.66</v>
      </c>
      <c r="DM507956">
        <v>10.66</v>
      </c>
      <c r="DN507956">
        <v>10.66</v>
      </c>
    </row>
    <row r="507957" spans="2:134">
      <c r="B507957">
        <v>234</v>
      </c>
      <c r="CT507957">
        <v>2.5</v>
      </c>
      <c r="CU507957">
        <v>2.5</v>
      </c>
      <c r="CV507957">
        <v>2.5</v>
      </c>
    </row>
    <row r="507958" spans="2:134">
      <c r="B507958">
        <v>354</v>
      </c>
      <c r="CY507958">
        <v>3.98</v>
      </c>
      <c r="CZ507958">
        <v>3.98</v>
      </c>
      <c r="DA507958">
        <v>3.98</v>
      </c>
    </row>
    <row r="507959" spans="2:134">
      <c r="B507959">
        <v>392</v>
      </c>
      <c r="DI507959">
        <v>3.52</v>
      </c>
      <c r="DJ507959">
        <v>3.52</v>
      </c>
      <c r="DL507959">
        <v>3.52</v>
      </c>
      <c r="DO507959">
        <v>3.52</v>
      </c>
    </row>
    <row r="507960" spans="2:134">
      <c r="B507960">
        <v>304</v>
      </c>
      <c r="CE507960">
        <v>3.8</v>
      </c>
      <c r="CF507960">
        <v>3.8</v>
      </c>
    </row>
    <row r="507961" spans="2:134">
      <c r="B507961">
        <v>144</v>
      </c>
      <c r="DZ507961">
        <v>1.62</v>
      </c>
      <c r="EA507961">
        <v>1.62</v>
      </c>
      <c r="EB507961">
        <v>1.62</v>
      </c>
      <c r="EC507961">
        <v>0.81</v>
      </c>
      <c r="ED507961">
        <v>0.81</v>
      </c>
    </row>
    <row r="507962" spans="2:134">
      <c r="B507962">
        <v>602.40000000000009</v>
      </c>
      <c r="BY507962">
        <v>6.02</v>
      </c>
      <c r="BZ507962">
        <v>6.02</v>
      </c>
      <c r="CB507962">
        <v>3.01</v>
      </c>
      <c r="CC507962">
        <v>3.01</v>
      </c>
      <c r="CD507962">
        <v>3.01</v>
      </c>
      <c r="CI507962">
        <v>6.02</v>
      </c>
      <c r="CJ507962">
        <v>6.02</v>
      </c>
      <c r="CK507962">
        <v>6.02</v>
      </c>
    </row>
    <row r="507963" spans="2:134">
      <c r="B507963">
        <v>307.60000000000002</v>
      </c>
      <c r="BY507963">
        <v>3.34</v>
      </c>
      <c r="BZ507963">
        <v>3.34</v>
      </c>
      <c r="CG507963">
        <v>3.34</v>
      </c>
      <c r="CH507963">
        <v>3.34</v>
      </c>
    </row>
    <row r="507964" spans="2:134">
      <c r="B507964">
        <v>358</v>
      </c>
      <c r="BY507964">
        <v>2.37</v>
      </c>
      <c r="BZ507964">
        <v>2.37</v>
      </c>
      <c r="CA507964">
        <v>2.37</v>
      </c>
      <c r="DX507964">
        <v>4.74</v>
      </c>
      <c r="DY507964">
        <v>4.74</v>
      </c>
    </row>
    <row r="507965" spans="2:134">
      <c r="B507965">
        <v>286</v>
      </c>
      <c r="BT507965">
        <v>1.43</v>
      </c>
      <c r="BV507965">
        <v>1.43</v>
      </c>
      <c r="BW507965">
        <v>1.43</v>
      </c>
      <c r="BX507965">
        <v>1.43</v>
      </c>
      <c r="CO507965">
        <v>2.86</v>
      </c>
      <c r="CP507965">
        <v>2.86</v>
      </c>
      <c r="CQ507965">
        <v>2.86</v>
      </c>
      <c r="CR507965">
        <v>2.86</v>
      </c>
      <c r="CS507965">
        <v>2.86</v>
      </c>
    </row>
    <row r="507966" spans="2:134">
      <c r="B507966">
        <v>410</v>
      </c>
      <c r="BY507966">
        <v>2.88</v>
      </c>
      <c r="BZ507966">
        <v>2.88</v>
      </c>
      <c r="CA507966">
        <v>2.88</v>
      </c>
      <c r="CW507966">
        <v>5.76</v>
      </c>
      <c r="CX507966">
        <v>5.76</v>
      </c>
    </row>
    <row r="507967" spans="2:134">
      <c r="B507967">
        <v>346</v>
      </c>
      <c r="BR507967">
        <v>3.6</v>
      </c>
      <c r="BS507967">
        <v>3.6</v>
      </c>
      <c r="BT507967">
        <v>1.8</v>
      </c>
      <c r="CL507967">
        <v>3.6</v>
      </c>
      <c r="CM507967">
        <v>3.6</v>
      </c>
      <c r="CN507967">
        <v>3.6</v>
      </c>
    </row>
    <row r="507968" spans="2:134">
      <c r="B507968">
        <v>302</v>
      </c>
      <c r="BR507968">
        <v>3.28</v>
      </c>
      <c r="BS507968">
        <v>3.28</v>
      </c>
      <c r="BT507968">
        <v>1.64</v>
      </c>
      <c r="BU507968">
        <v>1.64</v>
      </c>
      <c r="CL507968">
        <v>3.28</v>
      </c>
      <c r="CM507968">
        <v>3.28</v>
      </c>
      <c r="CN507968">
        <v>3.28</v>
      </c>
    </row>
    <row r="507969" spans="2:146">
      <c r="B507969">
        <v>204</v>
      </c>
      <c r="BR507969">
        <v>2.12</v>
      </c>
      <c r="BS507969">
        <v>2.12</v>
      </c>
      <c r="BT507969">
        <v>1.06</v>
      </c>
      <c r="CL507969">
        <v>2.12</v>
      </c>
      <c r="CM507969">
        <v>2.12</v>
      </c>
      <c r="CN507969">
        <v>2.12</v>
      </c>
    </row>
    <row r="507971" spans="2:146">
      <c r="B507971">
        <v>26358.800000000003</v>
      </c>
      <c r="BQ507971">
        <v>0</v>
      </c>
      <c r="BR507971">
        <v>9</v>
      </c>
      <c r="BS507971">
        <v>9</v>
      </c>
      <c r="BT507971">
        <v>5.93</v>
      </c>
      <c r="BU507971">
        <v>1.64</v>
      </c>
      <c r="BV507971">
        <v>6.5299999999999994</v>
      </c>
      <c r="BW507971">
        <v>6.5299999999999994</v>
      </c>
      <c r="BX507971">
        <v>1.43</v>
      </c>
      <c r="BY507971">
        <v>14.61</v>
      </c>
      <c r="BZ507971">
        <v>14.61</v>
      </c>
      <c r="CA507971">
        <v>5.25</v>
      </c>
      <c r="CB507971">
        <v>3.01</v>
      </c>
      <c r="CC507971">
        <v>3.01</v>
      </c>
      <c r="CD507971">
        <v>3.01</v>
      </c>
      <c r="CE507971">
        <v>3.8</v>
      </c>
      <c r="CF507971">
        <v>3.8</v>
      </c>
      <c r="CG507971">
        <v>3.34</v>
      </c>
      <c r="CH507971">
        <v>3.34</v>
      </c>
      <c r="CI507971">
        <v>6.02</v>
      </c>
      <c r="CJ507971">
        <v>6.02</v>
      </c>
      <c r="CK507971">
        <v>6.02</v>
      </c>
      <c r="CL507971">
        <v>9</v>
      </c>
      <c r="CM507971">
        <v>9</v>
      </c>
      <c r="CN507971">
        <v>9</v>
      </c>
      <c r="CO507971">
        <v>2.86</v>
      </c>
      <c r="CP507971">
        <v>2.86</v>
      </c>
      <c r="CQ507971">
        <v>2.86</v>
      </c>
      <c r="CR507971">
        <v>2.86</v>
      </c>
      <c r="CS507971">
        <v>2.86</v>
      </c>
      <c r="CT507971">
        <v>2.5</v>
      </c>
      <c r="CU507971">
        <v>2.5</v>
      </c>
      <c r="CV507971">
        <v>2.5</v>
      </c>
      <c r="CW507971">
        <v>5.76</v>
      </c>
      <c r="CX507971">
        <v>5.76</v>
      </c>
      <c r="CY507971">
        <v>3.98</v>
      </c>
      <c r="CZ507971">
        <v>3.98</v>
      </c>
      <c r="DA507971">
        <v>3.98</v>
      </c>
      <c r="DB507971">
        <v>10.210000000000001</v>
      </c>
      <c r="DC507971">
        <v>10.210000000000001</v>
      </c>
      <c r="DD507971">
        <v>10.210000000000001</v>
      </c>
      <c r="DE507971">
        <v>10.210000000000001</v>
      </c>
      <c r="DF507971">
        <v>10.210000000000001</v>
      </c>
      <c r="DG507971">
        <v>10.210000000000001</v>
      </c>
      <c r="DH507971">
        <v>10.210000000000001</v>
      </c>
      <c r="DI507971">
        <v>47.860000000000007</v>
      </c>
      <c r="DJ507971">
        <v>47.860000000000007</v>
      </c>
      <c r="DK507971">
        <v>10.66</v>
      </c>
      <c r="DL507971">
        <v>14.18</v>
      </c>
      <c r="DM507971">
        <v>10.66</v>
      </c>
      <c r="DN507971">
        <v>10.66</v>
      </c>
      <c r="DO507971">
        <v>3.52</v>
      </c>
      <c r="DP507971">
        <v>0</v>
      </c>
      <c r="DQ507971">
        <v>26.18</v>
      </c>
      <c r="DR507971">
        <v>9.77</v>
      </c>
      <c r="DS507971">
        <v>6.15</v>
      </c>
      <c r="DT507971">
        <v>26.18</v>
      </c>
      <c r="DU507971">
        <v>3.62</v>
      </c>
      <c r="DV507971">
        <v>7.5</v>
      </c>
      <c r="DW507971">
        <v>23.91</v>
      </c>
      <c r="DX507971">
        <v>4.74</v>
      </c>
      <c r="DY507971">
        <v>4.74</v>
      </c>
      <c r="DZ507971">
        <v>1.62</v>
      </c>
      <c r="EA507971">
        <v>1.62</v>
      </c>
      <c r="EB507971">
        <v>1.62</v>
      </c>
      <c r="EC507971">
        <v>0.81</v>
      </c>
      <c r="ED507971">
        <v>0.81</v>
      </c>
      <c r="EE507971">
        <v>8.15</v>
      </c>
      <c r="EF507971">
        <v>8.15</v>
      </c>
      <c r="EG507971">
        <v>8.15</v>
      </c>
      <c r="EH507971">
        <v>8.15</v>
      </c>
      <c r="EI507971">
        <v>8.15</v>
      </c>
      <c r="EJ507971">
        <v>8.15</v>
      </c>
      <c r="EK507971">
        <v>8.15</v>
      </c>
      <c r="EL507971">
        <v>0.66</v>
      </c>
      <c r="EM507971">
        <v>0.66</v>
      </c>
      <c r="EN507971">
        <v>0.66</v>
      </c>
      <c r="EO507971">
        <v>0.66</v>
      </c>
      <c r="EP507971">
        <v>0.66</v>
      </c>
    </row>
    <row r="507972" spans="2:146">
      <c r="B507972" t="s">
        <v>265</v>
      </c>
      <c r="BQ507972" t="s">
        <v>345</v>
      </c>
      <c r="BR507972" t="s">
        <v>131</v>
      </c>
      <c r="BS507972" t="s">
        <v>131</v>
      </c>
      <c r="BT507972" t="s">
        <v>357</v>
      </c>
      <c r="BU507972" t="s">
        <v>131</v>
      </c>
      <c r="BV507972" t="s">
        <v>360</v>
      </c>
      <c r="BW507972" t="s">
        <v>360</v>
      </c>
      <c r="BX507972" t="s">
        <v>360</v>
      </c>
      <c r="BY507972" t="s">
        <v>364</v>
      </c>
      <c r="BZ507972" t="s">
        <v>364</v>
      </c>
      <c r="CA507972" t="s">
        <v>364</v>
      </c>
      <c r="CB507972" t="s">
        <v>368</v>
      </c>
      <c r="CC507972" t="s">
        <v>368</v>
      </c>
      <c r="CD507972" t="s">
        <v>368</v>
      </c>
      <c r="CE507972" t="s">
        <v>352</v>
      </c>
      <c r="CF507972" t="s">
        <v>352</v>
      </c>
      <c r="CG507972" t="s">
        <v>372</v>
      </c>
      <c r="CH507972" t="s">
        <v>372</v>
      </c>
      <c r="CI507972" t="s">
        <v>375</v>
      </c>
      <c r="CJ507972" t="s">
        <v>375</v>
      </c>
      <c r="CK507972" t="s">
        <v>375</v>
      </c>
      <c r="CL507972" t="s">
        <v>379</v>
      </c>
      <c r="CM507972" t="s">
        <v>379</v>
      </c>
      <c r="CN507972" t="s">
        <v>379</v>
      </c>
      <c r="CO507972" t="s">
        <v>383</v>
      </c>
      <c r="CP507972" t="s">
        <v>383</v>
      </c>
      <c r="CQ507972" t="s">
        <v>383</v>
      </c>
      <c r="CR507972" t="s">
        <v>383</v>
      </c>
      <c r="CS507972" t="s">
        <v>383</v>
      </c>
      <c r="CT507972" t="s">
        <v>389</v>
      </c>
      <c r="CU507972" t="s">
        <v>389</v>
      </c>
      <c r="CV507972" t="s">
        <v>389</v>
      </c>
      <c r="CW507972" t="s">
        <v>393</v>
      </c>
      <c r="CX507972" t="s">
        <v>393</v>
      </c>
      <c r="CY507972" t="s">
        <v>396</v>
      </c>
      <c r="CZ507972" t="s">
        <v>396</v>
      </c>
      <c r="DA507972" t="s">
        <v>396</v>
      </c>
      <c r="DB507972" t="s">
        <v>400</v>
      </c>
      <c r="DC507972" t="s">
        <v>400</v>
      </c>
      <c r="DD507972" t="s">
        <v>400</v>
      </c>
      <c r="DE507972" t="s">
        <v>400</v>
      </c>
      <c r="DF507972" t="s">
        <v>400</v>
      </c>
      <c r="DG507972" t="s">
        <v>400</v>
      </c>
      <c r="DH507972" t="s">
        <v>400</v>
      </c>
      <c r="DI507972" t="s">
        <v>121</v>
      </c>
      <c r="DJ507972" t="s">
        <v>121</v>
      </c>
      <c r="DK507972" t="s">
        <v>121</v>
      </c>
      <c r="DL507972" t="s">
        <v>121</v>
      </c>
      <c r="DM507972" t="s">
        <v>121</v>
      </c>
      <c r="DN507972" t="s">
        <v>121</v>
      </c>
      <c r="DO507972" t="s">
        <v>121</v>
      </c>
      <c r="DP507972" t="s">
        <v>121</v>
      </c>
      <c r="DQ507972" t="s">
        <v>121</v>
      </c>
      <c r="DR507972" t="s">
        <v>121</v>
      </c>
      <c r="DS507972" t="s">
        <v>121</v>
      </c>
      <c r="DT507972" t="s">
        <v>121</v>
      </c>
      <c r="DU507972" t="s">
        <v>121</v>
      </c>
      <c r="DV507972" t="s">
        <v>121</v>
      </c>
      <c r="DW507972" t="s">
        <v>121</v>
      </c>
      <c r="DX507972" t="s">
        <v>423</v>
      </c>
      <c r="DY507972" t="s">
        <v>423</v>
      </c>
      <c r="DZ507972" t="s">
        <v>426</v>
      </c>
      <c r="EA507972" t="s">
        <v>426</v>
      </c>
      <c r="EB507972" t="s">
        <v>426</v>
      </c>
      <c r="EC507972" t="s">
        <v>426</v>
      </c>
      <c r="ED507972" t="s">
        <v>426</v>
      </c>
      <c r="EE507972" t="s">
        <v>432</v>
      </c>
      <c r="EF507972" t="s">
        <v>432</v>
      </c>
      <c r="EG507972" t="s">
        <v>432</v>
      </c>
      <c r="EH507972" t="s">
        <v>432</v>
      </c>
      <c r="EI507972" t="s">
        <v>432</v>
      </c>
      <c r="EJ507972" t="s">
        <v>432</v>
      </c>
      <c r="EK507972" t="s">
        <v>432</v>
      </c>
      <c r="EL507972" t="s">
        <v>440</v>
      </c>
      <c r="EM507972" t="s">
        <v>440</v>
      </c>
      <c r="EN507972" t="s">
        <v>440</v>
      </c>
      <c r="EO507972" t="s">
        <v>440</v>
      </c>
      <c r="EP507972" t="s">
        <v>440</v>
      </c>
    </row>
    <row r="507973" spans="2:146">
      <c r="BQ507973" t="s">
        <v>351</v>
      </c>
      <c r="BR507973" t="s">
        <v>355</v>
      </c>
      <c r="BS507973" t="s">
        <v>356</v>
      </c>
      <c r="BT507973" t="s">
        <v>358</v>
      </c>
      <c r="BU507973" t="s">
        <v>359</v>
      </c>
      <c r="BV507973" t="s">
        <v>361</v>
      </c>
      <c r="BW507973" t="s">
        <v>362</v>
      </c>
      <c r="BX507973" t="s">
        <v>363</v>
      </c>
      <c r="BY507973" t="s">
        <v>365</v>
      </c>
      <c r="BZ507973" t="s">
        <v>366</v>
      </c>
      <c r="CA507973" t="s">
        <v>367</v>
      </c>
      <c r="CB507973" t="s">
        <v>369</v>
      </c>
      <c r="CC507973" t="s">
        <v>370</v>
      </c>
      <c r="CD507973" t="s">
        <v>371</v>
      </c>
      <c r="CE507973" t="s">
        <v>353</v>
      </c>
      <c r="CF507973" t="s">
        <v>354</v>
      </c>
      <c r="CG507973" t="s">
        <v>373</v>
      </c>
      <c r="CH507973" t="s">
        <v>374</v>
      </c>
      <c r="CI507973" t="s">
        <v>376</v>
      </c>
      <c r="CJ507973" t="s">
        <v>377</v>
      </c>
      <c r="CK507973" t="s">
        <v>378</v>
      </c>
      <c r="CL507973" t="s">
        <v>380</v>
      </c>
      <c r="CM507973" t="s">
        <v>381</v>
      </c>
      <c r="CN507973" t="s">
        <v>382</v>
      </c>
      <c r="CO507973" t="s">
        <v>384</v>
      </c>
      <c r="CP507973" t="s">
        <v>385</v>
      </c>
      <c r="CQ507973" t="s">
        <v>386</v>
      </c>
      <c r="CR507973" t="s">
        <v>387</v>
      </c>
      <c r="CS507973" t="s">
        <v>388</v>
      </c>
      <c r="CT507973" t="s">
        <v>390</v>
      </c>
      <c r="CU507973" t="s">
        <v>391</v>
      </c>
      <c r="CV507973" t="s">
        <v>392</v>
      </c>
      <c r="CW507973" t="s">
        <v>394</v>
      </c>
      <c r="CX507973" t="s">
        <v>395</v>
      </c>
      <c r="CY507973" t="s">
        <v>397</v>
      </c>
      <c r="CZ507973" t="s">
        <v>398</v>
      </c>
      <c r="DA507973" t="s">
        <v>399</v>
      </c>
      <c r="DB507973" t="s">
        <v>401</v>
      </c>
      <c r="DC507973" t="s">
        <v>402</v>
      </c>
      <c r="DD507973" t="s">
        <v>403</v>
      </c>
      <c r="DE507973" t="s">
        <v>404</v>
      </c>
      <c r="DF507973" t="s">
        <v>405</v>
      </c>
      <c r="DG507973" t="s">
        <v>406</v>
      </c>
      <c r="DH507973" t="s">
        <v>407</v>
      </c>
      <c r="DI507973" t="s">
        <v>408</v>
      </c>
      <c r="DJ507973" t="s">
        <v>409</v>
      </c>
      <c r="DK507973" t="s">
        <v>410</v>
      </c>
      <c r="DL507973" t="s">
        <v>411</v>
      </c>
      <c r="DM507973" t="s">
        <v>412</v>
      </c>
      <c r="DN507973" t="s">
        <v>413</v>
      </c>
      <c r="DO507973" t="s">
        <v>414</v>
      </c>
      <c r="DP507973" t="s">
        <v>415</v>
      </c>
      <c r="DQ507973" t="s">
        <v>416</v>
      </c>
      <c r="DR507973" t="s">
        <v>417</v>
      </c>
      <c r="DS507973" t="s">
        <v>418</v>
      </c>
      <c r="DT507973" t="s">
        <v>419</v>
      </c>
      <c r="DU507973" t="s">
        <v>420</v>
      </c>
      <c r="DV507973" t="s">
        <v>421</v>
      </c>
      <c r="DW507973" t="s">
        <v>422</v>
      </c>
      <c r="DX507973" t="s">
        <v>424</v>
      </c>
      <c r="DY507973" t="s">
        <v>425</v>
      </c>
      <c r="DZ507973" t="s">
        <v>427</v>
      </c>
      <c r="EA507973" t="s">
        <v>428</v>
      </c>
      <c r="EB507973" t="s">
        <v>429</v>
      </c>
      <c r="EC507973" t="s">
        <v>430</v>
      </c>
      <c r="ED507973" t="s">
        <v>431</v>
      </c>
      <c r="EE507973" t="s">
        <v>433</v>
      </c>
      <c r="EF507973" t="s">
        <v>434</v>
      </c>
      <c r="EG507973" t="s">
        <v>435</v>
      </c>
      <c r="EH507973" t="s">
        <v>436</v>
      </c>
      <c r="EI507973" t="s">
        <v>437</v>
      </c>
      <c r="EJ507973" t="s">
        <v>438</v>
      </c>
      <c r="EK507973" t="s">
        <v>439</v>
      </c>
      <c r="EL507973" t="s">
        <v>441</v>
      </c>
      <c r="EM507973" t="s">
        <v>442</v>
      </c>
      <c r="EN507973" t="s">
        <v>443</v>
      </c>
      <c r="EO507973" t="s">
        <v>444</v>
      </c>
      <c r="EP507973" t="s">
        <v>445</v>
      </c>
    </row>
    <row r="507974" spans="2:146">
      <c r="BQ507974">
        <v>67</v>
      </c>
      <c r="BR507974">
        <v>68</v>
      </c>
      <c r="BS507974">
        <v>69</v>
      </c>
      <c r="BT507974">
        <v>70</v>
      </c>
      <c r="BU507974">
        <v>71</v>
      </c>
      <c r="BV507974">
        <v>72</v>
      </c>
      <c r="BW507974">
        <v>73</v>
      </c>
      <c r="BX507974">
        <v>74</v>
      </c>
      <c r="BY507974">
        <v>75</v>
      </c>
      <c r="BZ507974">
        <v>76</v>
      </c>
      <c r="CA507974">
        <v>77</v>
      </c>
      <c r="CB507974">
        <v>78</v>
      </c>
      <c r="CC507974">
        <v>79</v>
      </c>
      <c r="CD507974">
        <v>80</v>
      </c>
      <c r="CE507974">
        <v>81</v>
      </c>
      <c r="CF507974">
        <v>82</v>
      </c>
      <c r="CG507974">
        <v>83</v>
      </c>
      <c r="CH507974">
        <v>84</v>
      </c>
      <c r="CI507974">
        <v>85</v>
      </c>
      <c r="CJ507974">
        <v>86</v>
      </c>
      <c r="CK507974">
        <v>87</v>
      </c>
      <c r="CL507974">
        <v>88</v>
      </c>
      <c r="CM507974">
        <v>89</v>
      </c>
      <c r="CN507974">
        <v>90</v>
      </c>
      <c r="CO507974">
        <v>91</v>
      </c>
      <c r="CP507974">
        <v>92</v>
      </c>
      <c r="CQ507974">
        <v>93</v>
      </c>
      <c r="CR507974">
        <v>94</v>
      </c>
      <c r="CS507974">
        <v>95</v>
      </c>
      <c r="CT507974">
        <v>96</v>
      </c>
      <c r="CU507974">
        <v>97</v>
      </c>
      <c r="CV507974">
        <v>98</v>
      </c>
      <c r="CW507974">
        <v>99</v>
      </c>
      <c r="CX507974">
        <v>100</v>
      </c>
      <c r="CY507974">
        <v>101</v>
      </c>
      <c r="CZ507974">
        <v>102</v>
      </c>
      <c r="DA507974">
        <v>103</v>
      </c>
      <c r="DB507974">
        <v>104</v>
      </c>
      <c r="DC507974">
        <v>105</v>
      </c>
      <c r="DD507974">
        <v>106</v>
      </c>
      <c r="DE507974">
        <v>107</v>
      </c>
      <c r="DF507974">
        <v>108</v>
      </c>
      <c r="DG507974">
        <v>109</v>
      </c>
      <c r="DH507974">
        <v>110</v>
      </c>
      <c r="DI507974">
        <v>111</v>
      </c>
      <c r="DJ507974">
        <v>112</v>
      </c>
      <c r="DK507974">
        <v>113</v>
      </c>
      <c r="DL507974">
        <v>114</v>
      </c>
      <c r="DM507974">
        <v>115</v>
      </c>
      <c r="DN507974">
        <v>116</v>
      </c>
      <c r="DO507974">
        <v>117</v>
      </c>
      <c r="DP507974">
        <v>118</v>
      </c>
      <c r="DQ507974">
        <v>119</v>
      </c>
      <c r="DR507974">
        <v>120</v>
      </c>
      <c r="DS507974">
        <v>121</v>
      </c>
      <c r="DT507974">
        <v>122</v>
      </c>
      <c r="DU507974">
        <v>123</v>
      </c>
      <c r="DV507974">
        <v>124</v>
      </c>
      <c r="DW507974">
        <v>125</v>
      </c>
      <c r="DX507974">
        <v>126</v>
      </c>
      <c r="DY507974">
        <v>127</v>
      </c>
      <c r="DZ507974">
        <v>128</v>
      </c>
      <c r="EA507974">
        <v>129</v>
      </c>
      <c r="EB507974">
        <v>130</v>
      </c>
      <c r="EC507974">
        <v>131</v>
      </c>
      <c r="ED507974">
        <v>132</v>
      </c>
      <c r="EE507974">
        <v>133</v>
      </c>
      <c r="EF507974">
        <v>134</v>
      </c>
      <c r="EG507974">
        <v>135</v>
      </c>
      <c r="EH507974">
        <v>136</v>
      </c>
      <c r="EI507974">
        <v>137</v>
      </c>
      <c r="EJ507974">
        <v>138</v>
      </c>
      <c r="EK507974">
        <v>139</v>
      </c>
      <c r="EL507974">
        <v>140</v>
      </c>
      <c r="EM507974">
        <v>141</v>
      </c>
      <c r="EN507974">
        <v>142</v>
      </c>
      <c r="EO507974">
        <v>143</v>
      </c>
      <c r="EP507974">
        <v>144</v>
      </c>
    </row>
    <row r="507975" spans="2:146">
      <c r="CE507975" t="s">
        <v>451</v>
      </c>
    </row>
    <row r="524290" spans="2:2">
      <c r="B524290">
        <v>200</v>
      </c>
    </row>
    <row r="524291" spans="2:2">
      <c r="B524291">
        <v>200</v>
      </c>
    </row>
    <row r="524292" spans="2:2">
      <c r="B524292">
        <v>800</v>
      </c>
    </row>
    <row r="524293" spans="2:2">
      <c r="B524293">
        <v>200</v>
      </c>
    </row>
    <row r="524294" spans="2:2">
      <c r="B524294">
        <v>1044</v>
      </c>
    </row>
    <row r="524295" spans="2:2">
      <c r="B524295">
        <v>998.40000000000009</v>
      </c>
    </row>
    <row r="524296" spans="2:2">
      <c r="B524296">
        <v>272</v>
      </c>
    </row>
    <row r="524297" spans="2:2">
      <c r="B524297">
        <v>200</v>
      </c>
    </row>
    <row r="524298" spans="2:2">
      <c r="B524298">
        <v>214</v>
      </c>
    </row>
    <row r="524299" spans="2:2">
      <c r="B524299">
        <v>200</v>
      </c>
    </row>
    <row r="524300" spans="2:2">
      <c r="B524300">
        <v>152</v>
      </c>
    </row>
    <row r="524301" spans="2:2">
      <c r="B524301">
        <v>200</v>
      </c>
    </row>
    <row r="524302" spans="2:2">
      <c r="B524302">
        <v>300</v>
      </c>
    </row>
    <row r="524303" spans="2:2">
      <c r="B524303">
        <v>104</v>
      </c>
    </row>
    <row r="524304" spans="2:2">
      <c r="B524304">
        <v>162</v>
      </c>
    </row>
    <row r="524305" spans="2:2">
      <c r="B524305">
        <v>200</v>
      </c>
    </row>
    <row r="524306" spans="2:2">
      <c r="B524306">
        <v>200</v>
      </c>
    </row>
    <row r="524307" spans="2:2">
      <c r="B524307">
        <v>200</v>
      </c>
    </row>
    <row r="524308" spans="2:2">
      <c r="B524308">
        <v>200</v>
      </c>
    </row>
    <row r="524309" spans="2:2">
      <c r="B524309">
        <v>200</v>
      </c>
    </row>
    <row r="524310" spans="2:2">
      <c r="B524310">
        <v>200</v>
      </c>
    </row>
    <row r="524311" spans="2:2">
      <c r="B524311">
        <v>200</v>
      </c>
    </row>
    <row r="524312" spans="2:2">
      <c r="B524312">
        <v>200</v>
      </c>
    </row>
    <row r="524313" spans="2:2">
      <c r="B524313">
        <v>800</v>
      </c>
    </row>
    <row r="524314" spans="2:2">
      <c r="B524314">
        <v>300</v>
      </c>
    </row>
    <row r="524315" spans="2:2">
      <c r="B524315">
        <v>778</v>
      </c>
    </row>
    <row r="524316" spans="2:2">
      <c r="B524316">
        <v>614</v>
      </c>
    </row>
    <row r="524317" spans="2:2">
      <c r="B524317">
        <v>444</v>
      </c>
    </row>
    <row r="524318" spans="2:2">
      <c r="B524318">
        <v>800</v>
      </c>
    </row>
    <row r="524319" spans="2:2">
      <c r="B524319">
        <v>200</v>
      </c>
    </row>
    <row r="524320" spans="2:2">
      <c r="B524320">
        <v>780</v>
      </c>
    </row>
    <row r="524321" spans="2:146">
      <c r="B524321">
        <v>174</v>
      </c>
    </row>
    <row r="524322" spans="2:146">
      <c r="B524322">
        <v>194</v>
      </c>
    </row>
    <row r="524323" spans="2:146">
      <c r="B524323">
        <v>782</v>
      </c>
    </row>
    <row r="524324" spans="2:146">
      <c r="B524324">
        <v>236</v>
      </c>
    </row>
    <row r="524325" spans="2:146">
      <c r="B524325">
        <v>144</v>
      </c>
    </row>
    <row r="524326" spans="2:146">
      <c r="B524326">
        <v>200</v>
      </c>
    </row>
    <row r="524327" spans="2:146">
      <c r="B524327">
        <v>240</v>
      </c>
    </row>
    <row r="524328" spans="2:146">
      <c r="B524328">
        <v>200</v>
      </c>
    </row>
    <row r="524329" spans="2:146">
      <c r="B524329">
        <v>612</v>
      </c>
    </row>
    <row r="524330" spans="2:146">
      <c r="B524330">
        <v>156</v>
      </c>
    </row>
    <row r="524331" spans="2:146">
      <c r="B524331">
        <v>116</v>
      </c>
    </row>
    <row r="524332" spans="2:146">
      <c r="B524332">
        <v>160</v>
      </c>
    </row>
    <row r="524333" spans="2:146">
      <c r="B524333">
        <v>80</v>
      </c>
      <c r="EL524333">
        <v>0.66</v>
      </c>
      <c r="EM524333">
        <v>0.66</v>
      </c>
      <c r="EN524333">
        <v>0.66</v>
      </c>
      <c r="EO524333">
        <v>0.66</v>
      </c>
      <c r="EP524333">
        <v>0.66</v>
      </c>
    </row>
    <row r="524334" spans="2:146">
      <c r="B524334">
        <v>1144</v>
      </c>
      <c r="BV524334">
        <v>5.0999999999999996</v>
      </c>
      <c r="BW524334">
        <v>5.0999999999999996</v>
      </c>
      <c r="DB524334">
        <v>10.210000000000001</v>
      </c>
      <c r="DC524334">
        <v>10.210000000000001</v>
      </c>
      <c r="DD524334">
        <v>10.210000000000001</v>
      </c>
      <c r="DE524334">
        <v>10.210000000000001</v>
      </c>
      <c r="DF524334">
        <v>10.210000000000001</v>
      </c>
      <c r="DG524334">
        <v>10.210000000000001</v>
      </c>
      <c r="DH524334">
        <v>10.210000000000001</v>
      </c>
    </row>
    <row r="524335" spans="2:146">
      <c r="B524335">
        <v>1240</v>
      </c>
      <c r="EE524335">
        <v>8.15</v>
      </c>
      <c r="EF524335">
        <v>8.15</v>
      </c>
      <c r="EG524335">
        <v>8.15</v>
      </c>
      <c r="EH524335">
        <v>8.15</v>
      </c>
      <c r="EI524335">
        <v>8.15</v>
      </c>
      <c r="EJ524335">
        <v>8.15</v>
      </c>
      <c r="EK524335">
        <v>8.15</v>
      </c>
    </row>
    <row r="524336" spans="2:146">
      <c r="B524336">
        <v>2083.2000000000003</v>
      </c>
      <c r="DI524336">
        <v>20.03</v>
      </c>
      <c r="DJ524336">
        <v>20.03</v>
      </c>
      <c r="DQ524336">
        <v>20.03</v>
      </c>
      <c r="DT524336">
        <v>20.03</v>
      </c>
      <c r="DW524336">
        <v>20.03</v>
      </c>
    </row>
    <row r="524337" spans="2:134">
      <c r="B524337">
        <v>357.20000000000005</v>
      </c>
      <c r="DI524337">
        <v>3.88</v>
      </c>
      <c r="DJ524337">
        <v>3.88</v>
      </c>
      <c r="DV524337">
        <v>3.88</v>
      </c>
      <c r="DW524337">
        <v>3.88</v>
      </c>
    </row>
    <row r="524338" spans="2:134">
      <c r="B524338">
        <v>391.20000000000005</v>
      </c>
      <c r="DI524338">
        <v>3.62</v>
      </c>
      <c r="DJ524338">
        <v>3.62</v>
      </c>
      <c r="DR524338">
        <v>3.62</v>
      </c>
      <c r="DU524338">
        <v>3.62</v>
      </c>
      <c r="DV524338">
        <v>3.62</v>
      </c>
    </row>
    <row r="524339" spans="2:134">
      <c r="B524339">
        <v>762.80000000000007</v>
      </c>
      <c r="DI524339">
        <v>6.15</v>
      </c>
      <c r="DJ524339">
        <v>6.15</v>
      </c>
      <c r="DQ524339">
        <v>6.15</v>
      </c>
      <c r="DR524339">
        <v>6.15</v>
      </c>
      <c r="DS524339">
        <v>6.15</v>
      </c>
      <c r="DT524339">
        <v>6.15</v>
      </c>
    </row>
    <row r="524340" spans="2:134">
      <c r="B524340">
        <v>1280</v>
      </c>
      <c r="DI524340">
        <v>10.66</v>
      </c>
      <c r="DJ524340">
        <v>10.66</v>
      </c>
      <c r="DK524340">
        <v>10.66</v>
      </c>
      <c r="DL524340">
        <v>10.66</v>
      </c>
      <c r="DM524340">
        <v>10.66</v>
      </c>
      <c r="DN524340">
        <v>10.66</v>
      </c>
    </row>
    <row r="524341" spans="2:134">
      <c r="B524341">
        <v>234</v>
      </c>
      <c r="CT524341">
        <v>2.5</v>
      </c>
      <c r="CU524341">
        <v>2.5</v>
      </c>
      <c r="CV524341">
        <v>2.5</v>
      </c>
    </row>
    <row r="524342" spans="2:134">
      <c r="B524342">
        <v>354</v>
      </c>
      <c r="CY524342">
        <v>3.98</v>
      </c>
      <c r="CZ524342">
        <v>3.98</v>
      </c>
      <c r="DA524342">
        <v>3.98</v>
      </c>
    </row>
    <row r="524343" spans="2:134">
      <c r="B524343">
        <v>392</v>
      </c>
      <c r="DI524343">
        <v>3.52</v>
      </c>
      <c r="DJ524343">
        <v>3.52</v>
      </c>
      <c r="DL524343">
        <v>3.52</v>
      </c>
      <c r="DO524343">
        <v>3.52</v>
      </c>
    </row>
    <row r="524344" spans="2:134">
      <c r="B524344">
        <v>304</v>
      </c>
      <c r="CE524344">
        <v>3.8</v>
      </c>
      <c r="CF524344">
        <v>3.8</v>
      </c>
    </row>
    <row r="524345" spans="2:134">
      <c r="B524345">
        <v>144</v>
      </c>
      <c r="DZ524345">
        <v>1.62</v>
      </c>
      <c r="EA524345">
        <v>1.62</v>
      </c>
      <c r="EB524345">
        <v>1.62</v>
      </c>
      <c r="EC524345">
        <v>0.81</v>
      </c>
      <c r="ED524345">
        <v>0.81</v>
      </c>
    </row>
    <row r="524346" spans="2:134">
      <c r="B524346">
        <v>602.40000000000009</v>
      </c>
      <c r="BY524346">
        <v>6.02</v>
      </c>
      <c r="BZ524346">
        <v>6.02</v>
      </c>
      <c r="CB524346">
        <v>3.01</v>
      </c>
      <c r="CC524346">
        <v>3.01</v>
      </c>
      <c r="CD524346">
        <v>3.01</v>
      </c>
      <c r="CI524346">
        <v>6.02</v>
      </c>
      <c r="CJ524346">
        <v>6.02</v>
      </c>
      <c r="CK524346">
        <v>6.02</v>
      </c>
    </row>
    <row r="524347" spans="2:134">
      <c r="B524347">
        <v>307.60000000000002</v>
      </c>
      <c r="BY524347">
        <v>3.34</v>
      </c>
      <c r="BZ524347">
        <v>3.34</v>
      </c>
      <c r="CG524347">
        <v>3.34</v>
      </c>
      <c r="CH524347">
        <v>3.34</v>
      </c>
    </row>
    <row r="524348" spans="2:134">
      <c r="B524348">
        <v>358</v>
      </c>
      <c r="BY524348">
        <v>2.37</v>
      </c>
      <c r="BZ524348">
        <v>2.37</v>
      </c>
      <c r="CA524348">
        <v>2.37</v>
      </c>
      <c r="DX524348">
        <v>4.74</v>
      </c>
      <c r="DY524348">
        <v>4.74</v>
      </c>
    </row>
    <row r="524349" spans="2:134">
      <c r="B524349">
        <v>286</v>
      </c>
      <c r="BT524349">
        <v>1.43</v>
      </c>
      <c r="BV524349">
        <v>1.43</v>
      </c>
      <c r="BW524349">
        <v>1.43</v>
      </c>
      <c r="BX524349">
        <v>1.43</v>
      </c>
      <c r="CO524349">
        <v>2.86</v>
      </c>
      <c r="CP524349">
        <v>2.86</v>
      </c>
      <c r="CQ524349">
        <v>2.86</v>
      </c>
      <c r="CR524349">
        <v>2.86</v>
      </c>
      <c r="CS524349">
        <v>2.86</v>
      </c>
    </row>
    <row r="524350" spans="2:134">
      <c r="B524350">
        <v>410</v>
      </c>
      <c r="BY524350">
        <v>2.88</v>
      </c>
      <c r="BZ524350">
        <v>2.88</v>
      </c>
      <c r="CA524350">
        <v>2.88</v>
      </c>
      <c r="CW524350">
        <v>5.76</v>
      </c>
      <c r="CX524350">
        <v>5.76</v>
      </c>
    </row>
    <row r="524351" spans="2:134">
      <c r="B524351">
        <v>346</v>
      </c>
      <c r="BR524351">
        <v>3.6</v>
      </c>
      <c r="BS524351">
        <v>3.6</v>
      </c>
      <c r="BT524351">
        <v>1.8</v>
      </c>
      <c r="CL524351">
        <v>3.6</v>
      </c>
      <c r="CM524351">
        <v>3.6</v>
      </c>
      <c r="CN524351">
        <v>3.6</v>
      </c>
    </row>
    <row r="524352" spans="2:134">
      <c r="B524352">
        <v>302</v>
      </c>
      <c r="BR524352">
        <v>3.28</v>
      </c>
      <c r="BS524352">
        <v>3.28</v>
      </c>
      <c r="BT524352">
        <v>1.64</v>
      </c>
      <c r="BU524352">
        <v>1.64</v>
      </c>
      <c r="CL524352">
        <v>3.28</v>
      </c>
      <c r="CM524352">
        <v>3.28</v>
      </c>
      <c r="CN524352">
        <v>3.28</v>
      </c>
    </row>
    <row r="524353" spans="2:146">
      <c r="B524353">
        <v>204</v>
      </c>
      <c r="BR524353">
        <v>2.12</v>
      </c>
      <c r="BS524353">
        <v>2.12</v>
      </c>
      <c r="BT524353">
        <v>1.06</v>
      </c>
      <c r="CL524353">
        <v>2.12</v>
      </c>
      <c r="CM524353">
        <v>2.12</v>
      </c>
      <c r="CN524353">
        <v>2.12</v>
      </c>
    </row>
    <row r="524355" spans="2:146">
      <c r="B524355">
        <v>26358.800000000003</v>
      </c>
      <c r="BQ524355">
        <v>0</v>
      </c>
      <c r="BR524355">
        <v>9</v>
      </c>
      <c r="BS524355">
        <v>9</v>
      </c>
      <c r="BT524355">
        <v>5.93</v>
      </c>
      <c r="BU524355">
        <v>1.64</v>
      </c>
      <c r="BV524355">
        <v>6.5299999999999994</v>
      </c>
      <c r="BW524355">
        <v>6.5299999999999994</v>
      </c>
      <c r="BX524355">
        <v>1.43</v>
      </c>
      <c r="BY524355">
        <v>14.61</v>
      </c>
      <c r="BZ524355">
        <v>14.61</v>
      </c>
      <c r="CA524355">
        <v>5.25</v>
      </c>
      <c r="CB524355">
        <v>3.01</v>
      </c>
      <c r="CC524355">
        <v>3.01</v>
      </c>
      <c r="CD524355">
        <v>3.01</v>
      </c>
      <c r="CE524355">
        <v>3.8</v>
      </c>
      <c r="CF524355">
        <v>3.8</v>
      </c>
      <c r="CG524355">
        <v>3.34</v>
      </c>
      <c r="CH524355">
        <v>3.34</v>
      </c>
      <c r="CI524355">
        <v>6.02</v>
      </c>
      <c r="CJ524355">
        <v>6.02</v>
      </c>
      <c r="CK524355">
        <v>6.02</v>
      </c>
      <c r="CL524355">
        <v>9</v>
      </c>
      <c r="CM524355">
        <v>9</v>
      </c>
      <c r="CN524355">
        <v>9</v>
      </c>
      <c r="CO524355">
        <v>2.86</v>
      </c>
      <c r="CP524355">
        <v>2.86</v>
      </c>
      <c r="CQ524355">
        <v>2.86</v>
      </c>
      <c r="CR524355">
        <v>2.86</v>
      </c>
      <c r="CS524355">
        <v>2.86</v>
      </c>
      <c r="CT524355">
        <v>2.5</v>
      </c>
      <c r="CU524355">
        <v>2.5</v>
      </c>
      <c r="CV524355">
        <v>2.5</v>
      </c>
      <c r="CW524355">
        <v>5.76</v>
      </c>
      <c r="CX524355">
        <v>5.76</v>
      </c>
      <c r="CY524355">
        <v>3.98</v>
      </c>
      <c r="CZ524355">
        <v>3.98</v>
      </c>
      <c r="DA524355">
        <v>3.98</v>
      </c>
      <c r="DB524355">
        <v>10.210000000000001</v>
      </c>
      <c r="DC524355">
        <v>10.210000000000001</v>
      </c>
      <c r="DD524355">
        <v>10.210000000000001</v>
      </c>
      <c r="DE524355">
        <v>10.210000000000001</v>
      </c>
      <c r="DF524355">
        <v>10.210000000000001</v>
      </c>
      <c r="DG524355">
        <v>10.210000000000001</v>
      </c>
      <c r="DH524355">
        <v>10.210000000000001</v>
      </c>
      <c r="DI524355">
        <v>47.860000000000007</v>
      </c>
      <c r="DJ524355">
        <v>47.860000000000007</v>
      </c>
      <c r="DK524355">
        <v>10.66</v>
      </c>
      <c r="DL524355">
        <v>14.18</v>
      </c>
      <c r="DM524355">
        <v>10.66</v>
      </c>
      <c r="DN524355">
        <v>10.66</v>
      </c>
      <c r="DO524355">
        <v>3.52</v>
      </c>
      <c r="DP524355">
        <v>0</v>
      </c>
      <c r="DQ524355">
        <v>26.18</v>
      </c>
      <c r="DR524355">
        <v>9.77</v>
      </c>
      <c r="DS524355">
        <v>6.15</v>
      </c>
      <c r="DT524355">
        <v>26.18</v>
      </c>
      <c r="DU524355">
        <v>3.62</v>
      </c>
      <c r="DV524355">
        <v>7.5</v>
      </c>
      <c r="DW524355">
        <v>23.91</v>
      </c>
      <c r="DX524355">
        <v>4.74</v>
      </c>
      <c r="DY524355">
        <v>4.74</v>
      </c>
      <c r="DZ524355">
        <v>1.62</v>
      </c>
      <c r="EA524355">
        <v>1.62</v>
      </c>
      <c r="EB524355">
        <v>1.62</v>
      </c>
      <c r="EC524355">
        <v>0.81</v>
      </c>
      <c r="ED524355">
        <v>0.81</v>
      </c>
      <c r="EE524355">
        <v>8.15</v>
      </c>
      <c r="EF524355">
        <v>8.15</v>
      </c>
      <c r="EG524355">
        <v>8.15</v>
      </c>
      <c r="EH524355">
        <v>8.15</v>
      </c>
      <c r="EI524355">
        <v>8.15</v>
      </c>
      <c r="EJ524355">
        <v>8.15</v>
      </c>
      <c r="EK524355">
        <v>8.15</v>
      </c>
      <c r="EL524355">
        <v>0.66</v>
      </c>
      <c r="EM524355">
        <v>0.66</v>
      </c>
      <c r="EN524355">
        <v>0.66</v>
      </c>
      <c r="EO524355">
        <v>0.66</v>
      </c>
      <c r="EP524355">
        <v>0.66</v>
      </c>
    </row>
    <row r="524356" spans="2:146">
      <c r="B524356" t="s">
        <v>265</v>
      </c>
      <c r="BQ524356" t="s">
        <v>345</v>
      </c>
      <c r="BR524356" t="s">
        <v>131</v>
      </c>
      <c r="BS524356" t="s">
        <v>131</v>
      </c>
      <c r="BT524356" t="s">
        <v>357</v>
      </c>
      <c r="BU524356" t="s">
        <v>131</v>
      </c>
      <c r="BV524356" t="s">
        <v>360</v>
      </c>
      <c r="BW524356" t="s">
        <v>360</v>
      </c>
      <c r="BX524356" t="s">
        <v>360</v>
      </c>
      <c r="BY524356" t="s">
        <v>364</v>
      </c>
      <c r="BZ524356" t="s">
        <v>364</v>
      </c>
      <c r="CA524356" t="s">
        <v>364</v>
      </c>
      <c r="CB524356" t="s">
        <v>368</v>
      </c>
      <c r="CC524356" t="s">
        <v>368</v>
      </c>
      <c r="CD524356" t="s">
        <v>368</v>
      </c>
      <c r="CE524356" t="s">
        <v>352</v>
      </c>
      <c r="CF524356" t="s">
        <v>352</v>
      </c>
      <c r="CG524356" t="s">
        <v>372</v>
      </c>
      <c r="CH524356" t="s">
        <v>372</v>
      </c>
      <c r="CI524356" t="s">
        <v>375</v>
      </c>
      <c r="CJ524356" t="s">
        <v>375</v>
      </c>
      <c r="CK524356" t="s">
        <v>375</v>
      </c>
      <c r="CL524356" t="s">
        <v>379</v>
      </c>
      <c r="CM524356" t="s">
        <v>379</v>
      </c>
      <c r="CN524356" t="s">
        <v>379</v>
      </c>
      <c r="CO524356" t="s">
        <v>383</v>
      </c>
      <c r="CP524356" t="s">
        <v>383</v>
      </c>
      <c r="CQ524356" t="s">
        <v>383</v>
      </c>
      <c r="CR524356" t="s">
        <v>383</v>
      </c>
      <c r="CS524356" t="s">
        <v>383</v>
      </c>
      <c r="CT524356" t="s">
        <v>389</v>
      </c>
      <c r="CU524356" t="s">
        <v>389</v>
      </c>
      <c r="CV524356" t="s">
        <v>389</v>
      </c>
      <c r="CW524356" t="s">
        <v>393</v>
      </c>
      <c r="CX524356" t="s">
        <v>393</v>
      </c>
      <c r="CY524356" t="s">
        <v>396</v>
      </c>
      <c r="CZ524356" t="s">
        <v>396</v>
      </c>
      <c r="DA524356" t="s">
        <v>396</v>
      </c>
      <c r="DB524356" t="s">
        <v>400</v>
      </c>
      <c r="DC524356" t="s">
        <v>400</v>
      </c>
      <c r="DD524356" t="s">
        <v>400</v>
      </c>
      <c r="DE524356" t="s">
        <v>400</v>
      </c>
      <c r="DF524356" t="s">
        <v>400</v>
      </c>
      <c r="DG524356" t="s">
        <v>400</v>
      </c>
      <c r="DH524356" t="s">
        <v>400</v>
      </c>
      <c r="DI524356" t="s">
        <v>121</v>
      </c>
      <c r="DJ524356" t="s">
        <v>121</v>
      </c>
      <c r="DK524356" t="s">
        <v>121</v>
      </c>
      <c r="DL524356" t="s">
        <v>121</v>
      </c>
      <c r="DM524356" t="s">
        <v>121</v>
      </c>
      <c r="DN524356" t="s">
        <v>121</v>
      </c>
      <c r="DO524356" t="s">
        <v>121</v>
      </c>
      <c r="DP524356" t="s">
        <v>121</v>
      </c>
      <c r="DQ524356" t="s">
        <v>121</v>
      </c>
      <c r="DR524356" t="s">
        <v>121</v>
      </c>
      <c r="DS524356" t="s">
        <v>121</v>
      </c>
      <c r="DT524356" t="s">
        <v>121</v>
      </c>
      <c r="DU524356" t="s">
        <v>121</v>
      </c>
      <c r="DV524356" t="s">
        <v>121</v>
      </c>
      <c r="DW524356" t="s">
        <v>121</v>
      </c>
      <c r="DX524356" t="s">
        <v>423</v>
      </c>
      <c r="DY524356" t="s">
        <v>423</v>
      </c>
      <c r="DZ524356" t="s">
        <v>426</v>
      </c>
      <c r="EA524356" t="s">
        <v>426</v>
      </c>
      <c r="EB524356" t="s">
        <v>426</v>
      </c>
      <c r="EC524356" t="s">
        <v>426</v>
      </c>
      <c r="ED524356" t="s">
        <v>426</v>
      </c>
      <c r="EE524356" t="s">
        <v>432</v>
      </c>
      <c r="EF524356" t="s">
        <v>432</v>
      </c>
      <c r="EG524356" t="s">
        <v>432</v>
      </c>
      <c r="EH524356" t="s">
        <v>432</v>
      </c>
      <c r="EI524356" t="s">
        <v>432</v>
      </c>
      <c r="EJ524356" t="s">
        <v>432</v>
      </c>
      <c r="EK524356" t="s">
        <v>432</v>
      </c>
      <c r="EL524356" t="s">
        <v>440</v>
      </c>
      <c r="EM524356" t="s">
        <v>440</v>
      </c>
      <c r="EN524356" t="s">
        <v>440</v>
      </c>
      <c r="EO524356" t="s">
        <v>440</v>
      </c>
      <c r="EP524356" t="s">
        <v>440</v>
      </c>
    </row>
    <row r="524357" spans="2:146">
      <c r="BQ524357" t="s">
        <v>351</v>
      </c>
      <c r="BR524357" t="s">
        <v>355</v>
      </c>
      <c r="BS524357" t="s">
        <v>356</v>
      </c>
      <c r="BT524357" t="s">
        <v>358</v>
      </c>
      <c r="BU524357" t="s">
        <v>359</v>
      </c>
      <c r="BV524357" t="s">
        <v>361</v>
      </c>
      <c r="BW524357" t="s">
        <v>362</v>
      </c>
      <c r="BX524357" t="s">
        <v>363</v>
      </c>
      <c r="BY524357" t="s">
        <v>365</v>
      </c>
      <c r="BZ524357" t="s">
        <v>366</v>
      </c>
      <c r="CA524357" t="s">
        <v>367</v>
      </c>
      <c r="CB524357" t="s">
        <v>369</v>
      </c>
      <c r="CC524357" t="s">
        <v>370</v>
      </c>
      <c r="CD524357" t="s">
        <v>371</v>
      </c>
      <c r="CE524357" t="s">
        <v>353</v>
      </c>
      <c r="CF524357" t="s">
        <v>354</v>
      </c>
      <c r="CG524357" t="s">
        <v>373</v>
      </c>
      <c r="CH524357" t="s">
        <v>374</v>
      </c>
      <c r="CI524357" t="s">
        <v>376</v>
      </c>
      <c r="CJ524357" t="s">
        <v>377</v>
      </c>
      <c r="CK524357" t="s">
        <v>378</v>
      </c>
      <c r="CL524357" t="s">
        <v>380</v>
      </c>
      <c r="CM524357" t="s">
        <v>381</v>
      </c>
      <c r="CN524357" t="s">
        <v>382</v>
      </c>
      <c r="CO524357" t="s">
        <v>384</v>
      </c>
      <c r="CP524357" t="s">
        <v>385</v>
      </c>
      <c r="CQ524357" t="s">
        <v>386</v>
      </c>
      <c r="CR524357" t="s">
        <v>387</v>
      </c>
      <c r="CS524357" t="s">
        <v>388</v>
      </c>
      <c r="CT524357" t="s">
        <v>390</v>
      </c>
      <c r="CU524357" t="s">
        <v>391</v>
      </c>
      <c r="CV524357" t="s">
        <v>392</v>
      </c>
      <c r="CW524357" t="s">
        <v>394</v>
      </c>
      <c r="CX524357" t="s">
        <v>395</v>
      </c>
      <c r="CY524357" t="s">
        <v>397</v>
      </c>
      <c r="CZ524357" t="s">
        <v>398</v>
      </c>
      <c r="DA524357" t="s">
        <v>399</v>
      </c>
      <c r="DB524357" t="s">
        <v>401</v>
      </c>
      <c r="DC524357" t="s">
        <v>402</v>
      </c>
      <c r="DD524357" t="s">
        <v>403</v>
      </c>
      <c r="DE524357" t="s">
        <v>404</v>
      </c>
      <c r="DF524357" t="s">
        <v>405</v>
      </c>
      <c r="DG524357" t="s">
        <v>406</v>
      </c>
      <c r="DH524357" t="s">
        <v>407</v>
      </c>
      <c r="DI524357" t="s">
        <v>408</v>
      </c>
      <c r="DJ524357" t="s">
        <v>409</v>
      </c>
      <c r="DK524357" t="s">
        <v>410</v>
      </c>
      <c r="DL524357" t="s">
        <v>411</v>
      </c>
      <c r="DM524357" t="s">
        <v>412</v>
      </c>
      <c r="DN524357" t="s">
        <v>413</v>
      </c>
      <c r="DO524357" t="s">
        <v>414</v>
      </c>
      <c r="DP524357" t="s">
        <v>415</v>
      </c>
      <c r="DQ524357" t="s">
        <v>416</v>
      </c>
      <c r="DR524357" t="s">
        <v>417</v>
      </c>
      <c r="DS524357" t="s">
        <v>418</v>
      </c>
      <c r="DT524357" t="s">
        <v>419</v>
      </c>
      <c r="DU524357" t="s">
        <v>420</v>
      </c>
      <c r="DV524357" t="s">
        <v>421</v>
      </c>
      <c r="DW524357" t="s">
        <v>422</v>
      </c>
      <c r="DX524357" t="s">
        <v>424</v>
      </c>
      <c r="DY524357" t="s">
        <v>425</v>
      </c>
      <c r="DZ524357" t="s">
        <v>427</v>
      </c>
      <c r="EA524357" t="s">
        <v>428</v>
      </c>
      <c r="EB524357" t="s">
        <v>429</v>
      </c>
      <c r="EC524357" t="s">
        <v>430</v>
      </c>
      <c r="ED524357" t="s">
        <v>431</v>
      </c>
      <c r="EE524357" t="s">
        <v>433</v>
      </c>
      <c r="EF524357" t="s">
        <v>434</v>
      </c>
      <c r="EG524357" t="s">
        <v>435</v>
      </c>
      <c r="EH524357" t="s">
        <v>436</v>
      </c>
      <c r="EI524357" t="s">
        <v>437</v>
      </c>
      <c r="EJ524357" t="s">
        <v>438</v>
      </c>
      <c r="EK524357" t="s">
        <v>439</v>
      </c>
      <c r="EL524357" t="s">
        <v>441</v>
      </c>
      <c r="EM524357" t="s">
        <v>442</v>
      </c>
      <c r="EN524357" t="s">
        <v>443</v>
      </c>
      <c r="EO524357" t="s">
        <v>444</v>
      </c>
      <c r="EP524357" t="s">
        <v>445</v>
      </c>
    </row>
    <row r="524358" spans="2:146">
      <c r="BQ524358">
        <v>67</v>
      </c>
      <c r="BR524358">
        <v>68</v>
      </c>
      <c r="BS524358">
        <v>69</v>
      </c>
      <c r="BT524358">
        <v>70</v>
      </c>
      <c r="BU524358">
        <v>71</v>
      </c>
      <c r="BV524358">
        <v>72</v>
      </c>
      <c r="BW524358">
        <v>73</v>
      </c>
      <c r="BX524358">
        <v>74</v>
      </c>
      <c r="BY524358">
        <v>75</v>
      </c>
      <c r="BZ524358">
        <v>76</v>
      </c>
      <c r="CA524358">
        <v>77</v>
      </c>
      <c r="CB524358">
        <v>78</v>
      </c>
      <c r="CC524358">
        <v>79</v>
      </c>
      <c r="CD524358">
        <v>80</v>
      </c>
      <c r="CE524358">
        <v>81</v>
      </c>
      <c r="CF524358">
        <v>82</v>
      </c>
      <c r="CG524358">
        <v>83</v>
      </c>
      <c r="CH524358">
        <v>84</v>
      </c>
      <c r="CI524358">
        <v>85</v>
      </c>
      <c r="CJ524358">
        <v>86</v>
      </c>
      <c r="CK524358">
        <v>87</v>
      </c>
      <c r="CL524358">
        <v>88</v>
      </c>
      <c r="CM524358">
        <v>89</v>
      </c>
      <c r="CN524358">
        <v>90</v>
      </c>
      <c r="CO524358">
        <v>91</v>
      </c>
      <c r="CP524358">
        <v>92</v>
      </c>
      <c r="CQ524358">
        <v>93</v>
      </c>
      <c r="CR524358">
        <v>94</v>
      </c>
      <c r="CS524358">
        <v>95</v>
      </c>
      <c r="CT524358">
        <v>96</v>
      </c>
      <c r="CU524358">
        <v>97</v>
      </c>
      <c r="CV524358">
        <v>98</v>
      </c>
      <c r="CW524358">
        <v>99</v>
      </c>
      <c r="CX524358">
        <v>100</v>
      </c>
      <c r="CY524358">
        <v>101</v>
      </c>
      <c r="CZ524358">
        <v>102</v>
      </c>
      <c r="DA524358">
        <v>103</v>
      </c>
      <c r="DB524358">
        <v>104</v>
      </c>
      <c r="DC524358">
        <v>105</v>
      </c>
      <c r="DD524358">
        <v>106</v>
      </c>
      <c r="DE524358">
        <v>107</v>
      </c>
      <c r="DF524358">
        <v>108</v>
      </c>
      <c r="DG524358">
        <v>109</v>
      </c>
      <c r="DH524358">
        <v>110</v>
      </c>
      <c r="DI524358">
        <v>111</v>
      </c>
      <c r="DJ524358">
        <v>112</v>
      </c>
      <c r="DK524358">
        <v>113</v>
      </c>
      <c r="DL524358">
        <v>114</v>
      </c>
      <c r="DM524358">
        <v>115</v>
      </c>
      <c r="DN524358">
        <v>116</v>
      </c>
      <c r="DO524358">
        <v>117</v>
      </c>
      <c r="DP524358">
        <v>118</v>
      </c>
      <c r="DQ524358">
        <v>119</v>
      </c>
      <c r="DR524358">
        <v>120</v>
      </c>
      <c r="DS524358">
        <v>121</v>
      </c>
      <c r="DT524358">
        <v>122</v>
      </c>
      <c r="DU524358">
        <v>123</v>
      </c>
      <c r="DV524358">
        <v>124</v>
      </c>
      <c r="DW524358">
        <v>125</v>
      </c>
      <c r="DX524358">
        <v>126</v>
      </c>
      <c r="DY524358">
        <v>127</v>
      </c>
      <c r="DZ524358">
        <v>128</v>
      </c>
      <c r="EA524358">
        <v>129</v>
      </c>
      <c r="EB524358">
        <v>130</v>
      </c>
      <c r="EC524358">
        <v>131</v>
      </c>
      <c r="ED524358">
        <v>132</v>
      </c>
      <c r="EE524358">
        <v>133</v>
      </c>
      <c r="EF524358">
        <v>134</v>
      </c>
      <c r="EG524358">
        <v>135</v>
      </c>
      <c r="EH524358">
        <v>136</v>
      </c>
      <c r="EI524358">
        <v>137</v>
      </c>
      <c r="EJ524358">
        <v>138</v>
      </c>
      <c r="EK524358">
        <v>139</v>
      </c>
      <c r="EL524358">
        <v>140</v>
      </c>
      <c r="EM524358">
        <v>141</v>
      </c>
      <c r="EN524358">
        <v>142</v>
      </c>
      <c r="EO524358">
        <v>143</v>
      </c>
      <c r="EP524358">
        <v>144</v>
      </c>
    </row>
    <row r="524359" spans="2:146">
      <c r="CE524359" t="s">
        <v>451</v>
      </c>
    </row>
    <row r="540674" spans="2:2">
      <c r="B540674">
        <v>200</v>
      </c>
    </row>
    <row r="540675" spans="2:2">
      <c r="B540675">
        <v>200</v>
      </c>
    </row>
    <row r="540676" spans="2:2">
      <c r="B540676">
        <v>800</v>
      </c>
    </row>
    <row r="540677" spans="2:2">
      <c r="B540677">
        <v>200</v>
      </c>
    </row>
    <row r="540678" spans="2:2">
      <c r="B540678">
        <v>1044</v>
      </c>
    </row>
    <row r="540679" spans="2:2">
      <c r="B540679">
        <v>998.40000000000009</v>
      </c>
    </row>
    <row r="540680" spans="2:2">
      <c r="B540680">
        <v>272</v>
      </c>
    </row>
    <row r="540681" spans="2:2">
      <c r="B540681">
        <v>200</v>
      </c>
    </row>
    <row r="540682" spans="2:2">
      <c r="B540682">
        <v>214</v>
      </c>
    </row>
    <row r="540683" spans="2:2">
      <c r="B540683">
        <v>200</v>
      </c>
    </row>
    <row r="540684" spans="2:2">
      <c r="B540684">
        <v>152</v>
      </c>
    </row>
    <row r="540685" spans="2:2">
      <c r="B540685">
        <v>200</v>
      </c>
    </row>
    <row r="540686" spans="2:2">
      <c r="B540686">
        <v>300</v>
      </c>
    </row>
    <row r="540687" spans="2:2">
      <c r="B540687">
        <v>104</v>
      </c>
    </row>
    <row r="540688" spans="2:2">
      <c r="B540688">
        <v>162</v>
      </c>
    </row>
    <row r="540689" spans="2:2">
      <c r="B540689">
        <v>200</v>
      </c>
    </row>
    <row r="540690" spans="2:2">
      <c r="B540690">
        <v>200</v>
      </c>
    </row>
    <row r="540691" spans="2:2">
      <c r="B540691">
        <v>200</v>
      </c>
    </row>
    <row r="540692" spans="2:2">
      <c r="B540692">
        <v>200</v>
      </c>
    </row>
    <row r="540693" spans="2:2">
      <c r="B540693">
        <v>200</v>
      </c>
    </row>
    <row r="540694" spans="2:2">
      <c r="B540694">
        <v>200</v>
      </c>
    </row>
    <row r="540695" spans="2:2">
      <c r="B540695">
        <v>200</v>
      </c>
    </row>
    <row r="540696" spans="2:2">
      <c r="B540696">
        <v>200</v>
      </c>
    </row>
    <row r="540697" spans="2:2">
      <c r="B540697">
        <v>800</v>
      </c>
    </row>
    <row r="540698" spans="2:2">
      <c r="B540698">
        <v>300</v>
      </c>
    </row>
    <row r="540699" spans="2:2">
      <c r="B540699">
        <v>778</v>
      </c>
    </row>
    <row r="540700" spans="2:2">
      <c r="B540700">
        <v>614</v>
      </c>
    </row>
    <row r="540701" spans="2:2">
      <c r="B540701">
        <v>444</v>
      </c>
    </row>
    <row r="540702" spans="2:2">
      <c r="B540702">
        <v>800</v>
      </c>
    </row>
    <row r="540703" spans="2:2">
      <c r="B540703">
        <v>200</v>
      </c>
    </row>
    <row r="540704" spans="2:2">
      <c r="B540704">
        <v>780</v>
      </c>
    </row>
    <row r="540705" spans="2:146">
      <c r="B540705">
        <v>174</v>
      </c>
    </row>
    <row r="540706" spans="2:146">
      <c r="B540706">
        <v>194</v>
      </c>
    </row>
    <row r="540707" spans="2:146">
      <c r="B540707">
        <v>782</v>
      </c>
    </row>
    <row r="540708" spans="2:146">
      <c r="B540708">
        <v>236</v>
      </c>
    </row>
    <row r="540709" spans="2:146">
      <c r="B540709">
        <v>144</v>
      </c>
    </row>
    <row r="540710" spans="2:146">
      <c r="B540710">
        <v>200</v>
      </c>
    </row>
    <row r="540711" spans="2:146">
      <c r="B540711">
        <v>240</v>
      </c>
    </row>
    <row r="540712" spans="2:146">
      <c r="B540712">
        <v>200</v>
      </c>
    </row>
    <row r="540713" spans="2:146">
      <c r="B540713">
        <v>612</v>
      </c>
    </row>
    <row r="540714" spans="2:146">
      <c r="B540714">
        <v>156</v>
      </c>
    </row>
    <row r="540715" spans="2:146">
      <c r="B540715">
        <v>116</v>
      </c>
    </row>
    <row r="540716" spans="2:146">
      <c r="B540716">
        <v>160</v>
      </c>
    </row>
    <row r="540717" spans="2:146">
      <c r="B540717">
        <v>80</v>
      </c>
      <c r="EL540717">
        <v>0.66</v>
      </c>
      <c r="EM540717">
        <v>0.66</v>
      </c>
      <c r="EN540717">
        <v>0.66</v>
      </c>
      <c r="EO540717">
        <v>0.66</v>
      </c>
      <c r="EP540717">
        <v>0.66</v>
      </c>
    </row>
    <row r="540718" spans="2:146">
      <c r="B540718">
        <v>1144</v>
      </c>
      <c r="BV540718">
        <v>5.0999999999999996</v>
      </c>
      <c r="BW540718">
        <v>5.0999999999999996</v>
      </c>
      <c r="DB540718">
        <v>10.210000000000001</v>
      </c>
      <c r="DC540718">
        <v>10.210000000000001</v>
      </c>
      <c r="DD540718">
        <v>10.210000000000001</v>
      </c>
      <c r="DE540718">
        <v>10.210000000000001</v>
      </c>
      <c r="DF540718">
        <v>10.210000000000001</v>
      </c>
      <c r="DG540718">
        <v>10.210000000000001</v>
      </c>
      <c r="DH540718">
        <v>10.210000000000001</v>
      </c>
    </row>
    <row r="540719" spans="2:146">
      <c r="B540719">
        <v>1240</v>
      </c>
      <c r="EE540719">
        <v>8.15</v>
      </c>
      <c r="EF540719">
        <v>8.15</v>
      </c>
      <c r="EG540719">
        <v>8.15</v>
      </c>
      <c r="EH540719">
        <v>8.15</v>
      </c>
      <c r="EI540719">
        <v>8.15</v>
      </c>
      <c r="EJ540719">
        <v>8.15</v>
      </c>
      <c r="EK540719">
        <v>8.15</v>
      </c>
    </row>
    <row r="540720" spans="2:146">
      <c r="B540720">
        <v>2083.2000000000003</v>
      </c>
      <c r="DI540720">
        <v>20.03</v>
      </c>
      <c r="DJ540720">
        <v>20.03</v>
      </c>
      <c r="DQ540720">
        <v>20.03</v>
      </c>
      <c r="DT540720">
        <v>20.03</v>
      </c>
      <c r="DW540720">
        <v>20.03</v>
      </c>
    </row>
    <row r="540721" spans="2:134">
      <c r="B540721">
        <v>357.20000000000005</v>
      </c>
      <c r="DI540721">
        <v>3.88</v>
      </c>
      <c r="DJ540721">
        <v>3.88</v>
      </c>
      <c r="DV540721">
        <v>3.88</v>
      </c>
      <c r="DW540721">
        <v>3.88</v>
      </c>
    </row>
    <row r="540722" spans="2:134">
      <c r="B540722">
        <v>391.20000000000005</v>
      </c>
      <c r="DI540722">
        <v>3.62</v>
      </c>
      <c r="DJ540722">
        <v>3.62</v>
      </c>
      <c r="DR540722">
        <v>3.62</v>
      </c>
      <c r="DU540722">
        <v>3.62</v>
      </c>
      <c r="DV540722">
        <v>3.62</v>
      </c>
    </row>
    <row r="540723" spans="2:134">
      <c r="B540723">
        <v>762.80000000000007</v>
      </c>
      <c r="DI540723">
        <v>6.15</v>
      </c>
      <c r="DJ540723">
        <v>6.15</v>
      </c>
      <c r="DQ540723">
        <v>6.15</v>
      </c>
      <c r="DR540723">
        <v>6.15</v>
      </c>
      <c r="DS540723">
        <v>6.15</v>
      </c>
      <c r="DT540723">
        <v>6.15</v>
      </c>
    </row>
    <row r="540724" spans="2:134">
      <c r="B540724">
        <v>1280</v>
      </c>
      <c r="DI540724">
        <v>10.66</v>
      </c>
      <c r="DJ540724">
        <v>10.66</v>
      </c>
      <c r="DK540724">
        <v>10.66</v>
      </c>
      <c r="DL540724">
        <v>10.66</v>
      </c>
      <c r="DM540724">
        <v>10.66</v>
      </c>
      <c r="DN540724">
        <v>10.66</v>
      </c>
    </row>
    <row r="540725" spans="2:134">
      <c r="B540725">
        <v>234</v>
      </c>
      <c r="CT540725">
        <v>2.5</v>
      </c>
      <c r="CU540725">
        <v>2.5</v>
      </c>
      <c r="CV540725">
        <v>2.5</v>
      </c>
    </row>
    <row r="540726" spans="2:134">
      <c r="B540726">
        <v>354</v>
      </c>
      <c r="CY540726">
        <v>3.98</v>
      </c>
      <c r="CZ540726">
        <v>3.98</v>
      </c>
      <c r="DA540726">
        <v>3.98</v>
      </c>
    </row>
    <row r="540727" spans="2:134">
      <c r="B540727">
        <v>392</v>
      </c>
      <c r="DI540727">
        <v>3.52</v>
      </c>
      <c r="DJ540727">
        <v>3.52</v>
      </c>
      <c r="DL540727">
        <v>3.52</v>
      </c>
      <c r="DO540727">
        <v>3.52</v>
      </c>
    </row>
    <row r="540728" spans="2:134">
      <c r="B540728">
        <v>304</v>
      </c>
      <c r="CE540728">
        <v>3.8</v>
      </c>
      <c r="CF540728">
        <v>3.8</v>
      </c>
    </row>
    <row r="540729" spans="2:134">
      <c r="B540729">
        <v>144</v>
      </c>
      <c r="DZ540729">
        <v>1.62</v>
      </c>
      <c r="EA540729">
        <v>1.62</v>
      </c>
      <c r="EB540729">
        <v>1.62</v>
      </c>
      <c r="EC540729">
        <v>0.81</v>
      </c>
      <c r="ED540729">
        <v>0.81</v>
      </c>
    </row>
    <row r="540730" spans="2:134">
      <c r="B540730">
        <v>602.40000000000009</v>
      </c>
      <c r="BY540730">
        <v>6.02</v>
      </c>
      <c r="BZ540730">
        <v>6.02</v>
      </c>
      <c r="CB540730">
        <v>3.01</v>
      </c>
      <c r="CC540730">
        <v>3.01</v>
      </c>
      <c r="CD540730">
        <v>3.01</v>
      </c>
      <c r="CI540730">
        <v>6.02</v>
      </c>
      <c r="CJ540730">
        <v>6.02</v>
      </c>
      <c r="CK540730">
        <v>6.02</v>
      </c>
    </row>
    <row r="540731" spans="2:134">
      <c r="B540731">
        <v>307.60000000000002</v>
      </c>
      <c r="BY540731">
        <v>3.34</v>
      </c>
      <c r="BZ540731">
        <v>3.34</v>
      </c>
      <c r="CG540731">
        <v>3.34</v>
      </c>
      <c r="CH540731">
        <v>3.34</v>
      </c>
    </row>
    <row r="540732" spans="2:134">
      <c r="B540732">
        <v>358</v>
      </c>
      <c r="BY540732">
        <v>2.37</v>
      </c>
      <c r="BZ540732">
        <v>2.37</v>
      </c>
      <c r="CA540732">
        <v>2.37</v>
      </c>
      <c r="DX540732">
        <v>4.74</v>
      </c>
      <c r="DY540732">
        <v>4.74</v>
      </c>
    </row>
    <row r="540733" spans="2:134">
      <c r="B540733">
        <v>286</v>
      </c>
      <c r="BT540733">
        <v>1.43</v>
      </c>
      <c r="BV540733">
        <v>1.43</v>
      </c>
      <c r="BW540733">
        <v>1.43</v>
      </c>
      <c r="BX540733">
        <v>1.43</v>
      </c>
      <c r="CO540733">
        <v>2.86</v>
      </c>
      <c r="CP540733">
        <v>2.86</v>
      </c>
      <c r="CQ540733">
        <v>2.86</v>
      </c>
      <c r="CR540733">
        <v>2.86</v>
      </c>
      <c r="CS540733">
        <v>2.86</v>
      </c>
    </row>
    <row r="540734" spans="2:134">
      <c r="B540734">
        <v>410</v>
      </c>
      <c r="BY540734">
        <v>2.88</v>
      </c>
      <c r="BZ540734">
        <v>2.88</v>
      </c>
      <c r="CA540734">
        <v>2.88</v>
      </c>
      <c r="CW540734">
        <v>5.76</v>
      </c>
      <c r="CX540734">
        <v>5.76</v>
      </c>
    </row>
    <row r="540735" spans="2:134">
      <c r="B540735">
        <v>346</v>
      </c>
      <c r="BR540735">
        <v>3.6</v>
      </c>
      <c r="BS540735">
        <v>3.6</v>
      </c>
      <c r="BT540735">
        <v>1.8</v>
      </c>
      <c r="CL540735">
        <v>3.6</v>
      </c>
      <c r="CM540735">
        <v>3.6</v>
      </c>
      <c r="CN540735">
        <v>3.6</v>
      </c>
    </row>
    <row r="540736" spans="2:134">
      <c r="B540736">
        <v>302</v>
      </c>
      <c r="BR540736">
        <v>3.28</v>
      </c>
      <c r="BS540736">
        <v>3.28</v>
      </c>
      <c r="BT540736">
        <v>1.64</v>
      </c>
      <c r="BU540736">
        <v>1.64</v>
      </c>
      <c r="CL540736">
        <v>3.28</v>
      </c>
      <c r="CM540736">
        <v>3.28</v>
      </c>
      <c r="CN540736">
        <v>3.28</v>
      </c>
    </row>
    <row r="540737" spans="2:146">
      <c r="B540737">
        <v>204</v>
      </c>
      <c r="BR540737">
        <v>2.12</v>
      </c>
      <c r="BS540737">
        <v>2.12</v>
      </c>
      <c r="BT540737">
        <v>1.06</v>
      </c>
      <c r="CL540737">
        <v>2.12</v>
      </c>
      <c r="CM540737">
        <v>2.12</v>
      </c>
      <c r="CN540737">
        <v>2.12</v>
      </c>
    </row>
    <row r="540739" spans="2:146">
      <c r="B540739">
        <v>26358.800000000003</v>
      </c>
      <c r="BQ540739">
        <v>0</v>
      </c>
      <c r="BR540739">
        <v>9</v>
      </c>
      <c r="BS540739">
        <v>9</v>
      </c>
      <c r="BT540739">
        <v>5.93</v>
      </c>
      <c r="BU540739">
        <v>1.64</v>
      </c>
      <c r="BV540739">
        <v>6.5299999999999994</v>
      </c>
      <c r="BW540739">
        <v>6.5299999999999994</v>
      </c>
      <c r="BX540739">
        <v>1.43</v>
      </c>
      <c r="BY540739">
        <v>14.61</v>
      </c>
      <c r="BZ540739">
        <v>14.61</v>
      </c>
      <c r="CA540739">
        <v>5.25</v>
      </c>
      <c r="CB540739">
        <v>3.01</v>
      </c>
      <c r="CC540739">
        <v>3.01</v>
      </c>
      <c r="CD540739">
        <v>3.01</v>
      </c>
      <c r="CE540739">
        <v>3.8</v>
      </c>
      <c r="CF540739">
        <v>3.8</v>
      </c>
      <c r="CG540739">
        <v>3.34</v>
      </c>
      <c r="CH540739">
        <v>3.34</v>
      </c>
      <c r="CI540739">
        <v>6.02</v>
      </c>
      <c r="CJ540739">
        <v>6.02</v>
      </c>
      <c r="CK540739">
        <v>6.02</v>
      </c>
      <c r="CL540739">
        <v>9</v>
      </c>
      <c r="CM540739">
        <v>9</v>
      </c>
      <c r="CN540739">
        <v>9</v>
      </c>
      <c r="CO540739">
        <v>2.86</v>
      </c>
      <c r="CP540739">
        <v>2.86</v>
      </c>
      <c r="CQ540739">
        <v>2.86</v>
      </c>
      <c r="CR540739">
        <v>2.86</v>
      </c>
      <c r="CS540739">
        <v>2.86</v>
      </c>
      <c r="CT540739">
        <v>2.5</v>
      </c>
      <c r="CU540739">
        <v>2.5</v>
      </c>
      <c r="CV540739">
        <v>2.5</v>
      </c>
      <c r="CW540739">
        <v>5.76</v>
      </c>
      <c r="CX540739">
        <v>5.76</v>
      </c>
      <c r="CY540739">
        <v>3.98</v>
      </c>
      <c r="CZ540739">
        <v>3.98</v>
      </c>
      <c r="DA540739">
        <v>3.98</v>
      </c>
      <c r="DB540739">
        <v>10.210000000000001</v>
      </c>
      <c r="DC540739">
        <v>10.210000000000001</v>
      </c>
      <c r="DD540739">
        <v>10.210000000000001</v>
      </c>
      <c r="DE540739">
        <v>10.210000000000001</v>
      </c>
      <c r="DF540739">
        <v>10.210000000000001</v>
      </c>
      <c r="DG540739">
        <v>10.210000000000001</v>
      </c>
      <c r="DH540739">
        <v>10.210000000000001</v>
      </c>
      <c r="DI540739">
        <v>47.860000000000007</v>
      </c>
      <c r="DJ540739">
        <v>47.860000000000007</v>
      </c>
      <c r="DK540739">
        <v>10.66</v>
      </c>
      <c r="DL540739">
        <v>14.18</v>
      </c>
      <c r="DM540739">
        <v>10.66</v>
      </c>
      <c r="DN540739">
        <v>10.66</v>
      </c>
      <c r="DO540739">
        <v>3.52</v>
      </c>
      <c r="DP540739">
        <v>0</v>
      </c>
      <c r="DQ540739">
        <v>26.18</v>
      </c>
      <c r="DR540739">
        <v>9.77</v>
      </c>
      <c r="DS540739">
        <v>6.15</v>
      </c>
      <c r="DT540739">
        <v>26.18</v>
      </c>
      <c r="DU540739">
        <v>3.62</v>
      </c>
      <c r="DV540739">
        <v>7.5</v>
      </c>
      <c r="DW540739">
        <v>23.91</v>
      </c>
      <c r="DX540739">
        <v>4.74</v>
      </c>
      <c r="DY540739">
        <v>4.74</v>
      </c>
      <c r="DZ540739">
        <v>1.62</v>
      </c>
      <c r="EA540739">
        <v>1.62</v>
      </c>
      <c r="EB540739">
        <v>1.62</v>
      </c>
      <c r="EC540739">
        <v>0.81</v>
      </c>
      <c r="ED540739">
        <v>0.81</v>
      </c>
      <c r="EE540739">
        <v>8.15</v>
      </c>
      <c r="EF540739">
        <v>8.15</v>
      </c>
      <c r="EG540739">
        <v>8.15</v>
      </c>
      <c r="EH540739">
        <v>8.15</v>
      </c>
      <c r="EI540739">
        <v>8.15</v>
      </c>
      <c r="EJ540739">
        <v>8.15</v>
      </c>
      <c r="EK540739">
        <v>8.15</v>
      </c>
      <c r="EL540739">
        <v>0.66</v>
      </c>
      <c r="EM540739">
        <v>0.66</v>
      </c>
      <c r="EN540739">
        <v>0.66</v>
      </c>
      <c r="EO540739">
        <v>0.66</v>
      </c>
      <c r="EP540739">
        <v>0.66</v>
      </c>
    </row>
    <row r="540740" spans="2:146">
      <c r="B540740" t="s">
        <v>265</v>
      </c>
      <c r="BQ540740" t="s">
        <v>345</v>
      </c>
      <c r="BR540740" t="s">
        <v>131</v>
      </c>
      <c r="BS540740" t="s">
        <v>131</v>
      </c>
      <c r="BT540740" t="s">
        <v>357</v>
      </c>
      <c r="BU540740" t="s">
        <v>131</v>
      </c>
      <c r="BV540740" t="s">
        <v>360</v>
      </c>
      <c r="BW540740" t="s">
        <v>360</v>
      </c>
      <c r="BX540740" t="s">
        <v>360</v>
      </c>
      <c r="BY540740" t="s">
        <v>364</v>
      </c>
      <c r="BZ540740" t="s">
        <v>364</v>
      </c>
      <c r="CA540740" t="s">
        <v>364</v>
      </c>
      <c r="CB540740" t="s">
        <v>368</v>
      </c>
      <c r="CC540740" t="s">
        <v>368</v>
      </c>
      <c r="CD540740" t="s">
        <v>368</v>
      </c>
      <c r="CE540740" t="s">
        <v>352</v>
      </c>
      <c r="CF540740" t="s">
        <v>352</v>
      </c>
      <c r="CG540740" t="s">
        <v>372</v>
      </c>
      <c r="CH540740" t="s">
        <v>372</v>
      </c>
      <c r="CI540740" t="s">
        <v>375</v>
      </c>
      <c r="CJ540740" t="s">
        <v>375</v>
      </c>
      <c r="CK540740" t="s">
        <v>375</v>
      </c>
      <c r="CL540740" t="s">
        <v>379</v>
      </c>
      <c r="CM540740" t="s">
        <v>379</v>
      </c>
      <c r="CN540740" t="s">
        <v>379</v>
      </c>
      <c r="CO540740" t="s">
        <v>383</v>
      </c>
      <c r="CP540740" t="s">
        <v>383</v>
      </c>
      <c r="CQ540740" t="s">
        <v>383</v>
      </c>
      <c r="CR540740" t="s">
        <v>383</v>
      </c>
      <c r="CS540740" t="s">
        <v>383</v>
      </c>
      <c r="CT540740" t="s">
        <v>389</v>
      </c>
      <c r="CU540740" t="s">
        <v>389</v>
      </c>
      <c r="CV540740" t="s">
        <v>389</v>
      </c>
      <c r="CW540740" t="s">
        <v>393</v>
      </c>
      <c r="CX540740" t="s">
        <v>393</v>
      </c>
      <c r="CY540740" t="s">
        <v>396</v>
      </c>
      <c r="CZ540740" t="s">
        <v>396</v>
      </c>
      <c r="DA540740" t="s">
        <v>396</v>
      </c>
      <c r="DB540740" t="s">
        <v>400</v>
      </c>
      <c r="DC540740" t="s">
        <v>400</v>
      </c>
      <c r="DD540740" t="s">
        <v>400</v>
      </c>
      <c r="DE540740" t="s">
        <v>400</v>
      </c>
      <c r="DF540740" t="s">
        <v>400</v>
      </c>
      <c r="DG540740" t="s">
        <v>400</v>
      </c>
      <c r="DH540740" t="s">
        <v>400</v>
      </c>
      <c r="DI540740" t="s">
        <v>121</v>
      </c>
      <c r="DJ540740" t="s">
        <v>121</v>
      </c>
      <c r="DK540740" t="s">
        <v>121</v>
      </c>
      <c r="DL540740" t="s">
        <v>121</v>
      </c>
      <c r="DM540740" t="s">
        <v>121</v>
      </c>
      <c r="DN540740" t="s">
        <v>121</v>
      </c>
      <c r="DO540740" t="s">
        <v>121</v>
      </c>
      <c r="DP540740" t="s">
        <v>121</v>
      </c>
      <c r="DQ540740" t="s">
        <v>121</v>
      </c>
      <c r="DR540740" t="s">
        <v>121</v>
      </c>
      <c r="DS540740" t="s">
        <v>121</v>
      </c>
      <c r="DT540740" t="s">
        <v>121</v>
      </c>
      <c r="DU540740" t="s">
        <v>121</v>
      </c>
      <c r="DV540740" t="s">
        <v>121</v>
      </c>
      <c r="DW540740" t="s">
        <v>121</v>
      </c>
      <c r="DX540740" t="s">
        <v>423</v>
      </c>
      <c r="DY540740" t="s">
        <v>423</v>
      </c>
      <c r="DZ540740" t="s">
        <v>426</v>
      </c>
      <c r="EA540740" t="s">
        <v>426</v>
      </c>
      <c r="EB540740" t="s">
        <v>426</v>
      </c>
      <c r="EC540740" t="s">
        <v>426</v>
      </c>
      <c r="ED540740" t="s">
        <v>426</v>
      </c>
      <c r="EE540740" t="s">
        <v>432</v>
      </c>
      <c r="EF540740" t="s">
        <v>432</v>
      </c>
      <c r="EG540740" t="s">
        <v>432</v>
      </c>
      <c r="EH540740" t="s">
        <v>432</v>
      </c>
      <c r="EI540740" t="s">
        <v>432</v>
      </c>
      <c r="EJ540740" t="s">
        <v>432</v>
      </c>
      <c r="EK540740" t="s">
        <v>432</v>
      </c>
      <c r="EL540740" t="s">
        <v>440</v>
      </c>
      <c r="EM540740" t="s">
        <v>440</v>
      </c>
      <c r="EN540740" t="s">
        <v>440</v>
      </c>
      <c r="EO540740" t="s">
        <v>440</v>
      </c>
      <c r="EP540740" t="s">
        <v>440</v>
      </c>
    </row>
    <row r="540741" spans="2:146">
      <c r="BQ540741" t="s">
        <v>351</v>
      </c>
      <c r="BR540741" t="s">
        <v>355</v>
      </c>
      <c r="BS540741" t="s">
        <v>356</v>
      </c>
      <c r="BT540741" t="s">
        <v>358</v>
      </c>
      <c r="BU540741" t="s">
        <v>359</v>
      </c>
      <c r="BV540741" t="s">
        <v>361</v>
      </c>
      <c r="BW540741" t="s">
        <v>362</v>
      </c>
      <c r="BX540741" t="s">
        <v>363</v>
      </c>
      <c r="BY540741" t="s">
        <v>365</v>
      </c>
      <c r="BZ540741" t="s">
        <v>366</v>
      </c>
      <c r="CA540741" t="s">
        <v>367</v>
      </c>
      <c r="CB540741" t="s">
        <v>369</v>
      </c>
      <c r="CC540741" t="s">
        <v>370</v>
      </c>
      <c r="CD540741" t="s">
        <v>371</v>
      </c>
      <c r="CE540741" t="s">
        <v>353</v>
      </c>
      <c r="CF540741" t="s">
        <v>354</v>
      </c>
      <c r="CG540741" t="s">
        <v>373</v>
      </c>
      <c r="CH540741" t="s">
        <v>374</v>
      </c>
      <c r="CI540741" t="s">
        <v>376</v>
      </c>
      <c r="CJ540741" t="s">
        <v>377</v>
      </c>
      <c r="CK540741" t="s">
        <v>378</v>
      </c>
      <c r="CL540741" t="s">
        <v>380</v>
      </c>
      <c r="CM540741" t="s">
        <v>381</v>
      </c>
      <c r="CN540741" t="s">
        <v>382</v>
      </c>
      <c r="CO540741" t="s">
        <v>384</v>
      </c>
      <c r="CP540741" t="s">
        <v>385</v>
      </c>
      <c r="CQ540741" t="s">
        <v>386</v>
      </c>
      <c r="CR540741" t="s">
        <v>387</v>
      </c>
      <c r="CS540741" t="s">
        <v>388</v>
      </c>
      <c r="CT540741" t="s">
        <v>390</v>
      </c>
      <c r="CU540741" t="s">
        <v>391</v>
      </c>
      <c r="CV540741" t="s">
        <v>392</v>
      </c>
      <c r="CW540741" t="s">
        <v>394</v>
      </c>
      <c r="CX540741" t="s">
        <v>395</v>
      </c>
      <c r="CY540741" t="s">
        <v>397</v>
      </c>
      <c r="CZ540741" t="s">
        <v>398</v>
      </c>
      <c r="DA540741" t="s">
        <v>399</v>
      </c>
      <c r="DB540741" t="s">
        <v>401</v>
      </c>
      <c r="DC540741" t="s">
        <v>402</v>
      </c>
      <c r="DD540741" t="s">
        <v>403</v>
      </c>
      <c r="DE540741" t="s">
        <v>404</v>
      </c>
      <c r="DF540741" t="s">
        <v>405</v>
      </c>
      <c r="DG540741" t="s">
        <v>406</v>
      </c>
      <c r="DH540741" t="s">
        <v>407</v>
      </c>
      <c r="DI540741" t="s">
        <v>408</v>
      </c>
      <c r="DJ540741" t="s">
        <v>409</v>
      </c>
      <c r="DK540741" t="s">
        <v>410</v>
      </c>
      <c r="DL540741" t="s">
        <v>411</v>
      </c>
      <c r="DM540741" t="s">
        <v>412</v>
      </c>
      <c r="DN540741" t="s">
        <v>413</v>
      </c>
      <c r="DO540741" t="s">
        <v>414</v>
      </c>
      <c r="DP540741" t="s">
        <v>415</v>
      </c>
      <c r="DQ540741" t="s">
        <v>416</v>
      </c>
      <c r="DR540741" t="s">
        <v>417</v>
      </c>
      <c r="DS540741" t="s">
        <v>418</v>
      </c>
      <c r="DT540741" t="s">
        <v>419</v>
      </c>
      <c r="DU540741" t="s">
        <v>420</v>
      </c>
      <c r="DV540741" t="s">
        <v>421</v>
      </c>
      <c r="DW540741" t="s">
        <v>422</v>
      </c>
      <c r="DX540741" t="s">
        <v>424</v>
      </c>
      <c r="DY540741" t="s">
        <v>425</v>
      </c>
      <c r="DZ540741" t="s">
        <v>427</v>
      </c>
      <c r="EA540741" t="s">
        <v>428</v>
      </c>
      <c r="EB540741" t="s">
        <v>429</v>
      </c>
      <c r="EC540741" t="s">
        <v>430</v>
      </c>
      <c r="ED540741" t="s">
        <v>431</v>
      </c>
      <c r="EE540741" t="s">
        <v>433</v>
      </c>
      <c r="EF540741" t="s">
        <v>434</v>
      </c>
      <c r="EG540741" t="s">
        <v>435</v>
      </c>
      <c r="EH540741" t="s">
        <v>436</v>
      </c>
      <c r="EI540741" t="s">
        <v>437</v>
      </c>
      <c r="EJ540741" t="s">
        <v>438</v>
      </c>
      <c r="EK540741" t="s">
        <v>439</v>
      </c>
      <c r="EL540741" t="s">
        <v>441</v>
      </c>
      <c r="EM540741" t="s">
        <v>442</v>
      </c>
      <c r="EN540741" t="s">
        <v>443</v>
      </c>
      <c r="EO540741" t="s">
        <v>444</v>
      </c>
      <c r="EP540741" t="s">
        <v>445</v>
      </c>
    </row>
    <row r="540742" spans="2:146">
      <c r="BQ540742">
        <v>67</v>
      </c>
      <c r="BR540742">
        <v>68</v>
      </c>
      <c r="BS540742">
        <v>69</v>
      </c>
      <c r="BT540742">
        <v>70</v>
      </c>
      <c r="BU540742">
        <v>71</v>
      </c>
      <c r="BV540742">
        <v>72</v>
      </c>
      <c r="BW540742">
        <v>73</v>
      </c>
      <c r="BX540742">
        <v>74</v>
      </c>
      <c r="BY540742">
        <v>75</v>
      </c>
      <c r="BZ540742">
        <v>76</v>
      </c>
      <c r="CA540742">
        <v>77</v>
      </c>
      <c r="CB540742">
        <v>78</v>
      </c>
      <c r="CC540742">
        <v>79</v>
      </c>
      <c r="CD540742">
        <v>80</v>
      </c>
      <c r="CE540742">
        <v>81</v>
      </c>
      <c r="CF540742">
        <v>82</v>
      </c>
      <c r="CG540742">
        <v>83</v>
      </c>
      <c r="CH540742">
        <v>84</v>
      </c>
      <c r="CI540742">
        <v>85</v>
      </c>
      <c r="CJ540742">
        <v>86</v>
      </c>
      <c r="CK540742">
        <v>87</v>
      </c>
      <c r="CL540742">
        <v>88</v>
      </c>
      <c r="CM540742">
        <v>89</v>
      </c>
      <c r="CN540742">
        <v>90</v>
      </c>
      <c r="CO540742">
        <v>91</v>
      </c>
      <c r="CP540742">
        <v>92</v>
      </c>
      <c r="CQ540742">
        <v>93</v>
      </c>
      <c r="CR540742">
        <v>94</v>
      </c>
      <c r="CS540742">
        <v>95</v>
      </c>
      <c r="CT540742">
        <v>96</v>
      </c>
      <c r="CU540742">
        <v>97</v>
      </c>
      <c r="CV540742">
        <v>98</v>
      </c>
      <c r="CW540742">
        <v>99</v>
      </c>
      <c r="CX540742">
        <v>100</v>
      </c>
      <c r="CY540742">
        <v>101</v>
      </c>
      <c r="CZ540742">
        <v>102</v>
      </c>
      <c r="DA540742">
        <v>103</v>
      </c>
      <c r="DB540742">
        <v>104</v>
      </c>
      <c r="DC540742">
        <v>105</v>
      </c>
      <c r="DD540742">
        <v>106</v>
      </c>
      <c r="DE540742">
        <v>107</v>
      </c>
      <c r="DF540742">
        <v>108</v>
      </c>
      <c r="DG540742">
        <v>109</v>
      </c>
      <c r="DH540742">
        <v>110</v>
      </c>
      <c r="DI540742">
        <v>111</v>
      </c>
      <c r="DJ540742">
        <v>112</v>
      </c>
      <c r="DK540742">
        <v>113</v>
      </c>
      <c r="DL540742">
        <v>114</v>
      </c>
      <c r="DM540742">
        <v>115</v>
      </c>
      <c r="DN540742">
        <v>116</v>
      </c>
      <c r="DO540742">
        <v>117</v>
      </c>
      <c r="DP540742">
        <v>118</v>
      </c>
      <c r="DQ540742">
        <v>119</v>
      </c>
      <c r="DR540742">
        <v>120</v>
      </c>
      <c r="DS540742">
        <v>121</v>
      </c>
      <c r="DT540742">
        <v>122</v>
      </c>
      <c r="DU540742">
        <v>123</v>
      </c>
      <c r="DV540742">
        <v>124</v>
      </c>
      <c r="DW540742">
        <v>125</v>
      </c>
      <c r="DX540742">
        <v>126</v>
      </c>
      <c r="DY540742">
        <v>127</v>
      </c>
      <c r="DZ540742">
        <v>128</v>
      </c>
      <c r="EA540742">
        <v>129</v>
      </c>
      <c r="EB540742">
        <v>130</v>
      </c>
      <c r="EC540742">
        <v>131</v>
      </c>
      <c r="ED540742">
        <v>132</v>
      </c>
      <c r="EE540742">
        <v>133</v>
      </c>
      <c r="EF540742">
        <v>134</v>
      </c>
      <c r="EG540742">
        <v>135</v>
      </c>
      <c r="EH540742">
        <v>136</v>
      </c>
      <c r="EI540742">
        <v>137</v>
      </c>
      <c r="EJ540742">
        <v>138</v>
      </c>
      <c r="EK540742">
        <v>139</v>
      </c>
      <c r="EL540742">
        <v>140</v>
      </c>
      <c r="EM540742">
        <v>141</v>
      </c>
      <c r="EN540742">
        <v>142</v>
      </c>
      <c r="EO540742">
        <v>143</v>
      </c>
      <c r="EP540742">
        <v>144</v>
      </c>
    </row>
    <row r="540743" spans="2:146">
      <c r="CE540743" t="s">
        <v>451</v>
      </c>
    </row>
    <row r="557058" spans="2:2">
      <c r="B557058">
        <v>200</v>
      </c>
    </row>
    <row r="557059" spans="2:2">
      <c r="B557059">
        <v>200</v>
      </c>
    </row>
    <row r="557060" spans="2:2">
      <c r="B557060">
        <v>800</v>
      </c>
    </row>
    <row r="557061" spans="2:2">
      <c r="B557061">
        <v>200</v>
      </c>
    </row>
    <row r="557062" spans="2:2">
      <c r="B557062">
        <v>1044</v>
      </c>
    </row>
    <row r="557063" spans="2:2">
      <c r="B557063">
        <v>998.40000000000009</v>
      </c>
    </row>
    <row r="557064" spans="2:2">
      <c r="B557064">
        <v>272</v>
      </c>
    </row>
    <row r="557065" spans="2:2">
      <c r="B557065">
        <v>200</v>
      </c>
    </row>
    <row r="557066" spans="2:2">
      <c r="B557066">
        <v>214</v>
      </c>
    </row>
    <row r="557067" spans="2:2">
      <c r="B557067">
        <v>200</v>
      </c>
    </row>
    <row r="557068" spans="2:2">
      <c r="B557068">
        <v>152</v>
      </c>
    </row>
    <row r="557069" spans="2:2">
      <c r="B557069">
        <v>200</v>
      </c>
    </row>
    <row r="557070" spans="2:2">
      <c r="B557070">
        <v>300</v>
      </c>
    </row>
    <row r="557071" spans="2:2">
      <c r="B557071">
        <v>104</v>
      </c>
    </row>
    <row r="557072" spans="2:2">
      <c r="B557072">
        <v>162</v>
      </c>
    </row>
    <row r="557073" spans="2:2">
      <c r="B557073">
        <v>200</v>
      </c>
    </row>
    <row r="557074" spans="2:2">
      <c r="B557074">
        <v>200</v>
      </c>
    </row>
    <row r="557075" spans="2:2">
      <c r="B557075">
        <v>200</v>
      </c>
    </row>
    <row r="557076" spans="2:2">
      <c r="B557076">
        <v>200</v>
      </c>
    </row>
    <row r="557077" spans="2:2">
      <c r="B557077">
        <v>200</v>
      </c>
    </row>
    <row r="557078" spans="2:2">
      <c r="B557078">
        <v>200</v>
      </c>
    </row>
    <row r="557079" spans="2:2">
      <c r="B557079">
        <v>200</v>
      </c>
    </row>
    <row r="557080" spans="2:2">
      <c r="B557080">
        <v>200</v>
      </c>
    </row>
    <row r="557081" spans="2:2">
      <c r="B557081">
        <v>800</v>
      </c>
    </row>
    <row r="557082" spans="2:2">
      <c r="B557082">
        <v>300</v>
      </c>
    </row>
    <row r="557083" spans="2:2">
      <c r="B557083">
        <v>778</v>
      </c>
    </row>
    <row r="557084" spans="2:2">
      <c r="B557084">
        <v>614</v>
      </c>
    </row>
    <row r="557085" spans="2:2">
      <c r="B557085">
        <v>444</v>
      </c>
    </row>
    <row r="557086" spans="2:2">
      <c r="B557086">
        <v>800</v>
      </c>
    </row>
    <row r="557087" spans="2:2">
      <c r="B557087">
        <v>200</v>
      </c>
    </row>
    <row r="557088" spans="2:2">
      <c r="B557088">
        <v>780</v>
      </c>
    </row>
    <row r="557089" spans="2:146">
      <c r="B557089">
        <v>174</v>
      </c>
    </row>
    <row r="557090" spans="2:146">
      <c r="B557090">
        <v>194</v>
      </c>
    </row>
    <row r="557091" spans="2:146">
      <c r="B557091">
        <v>782</v>
      </c>
    </row>
    <row r="557092" spans="2:146">
      <c r="B557092">
        <v>236</v>
      </c>
    </row>
    <row r="557093" spans="2:146">
      <c r="B557093">
        <v>144</v>
      </c>
    </row>
    <row r="557094" spans="2:146">
      <c r="B557094">
        <v>200</v>
      </c>
    </row>
    <row r="557095" spans="2:146">
      <c r="B557095">
        <v>240</v>
      </c>
    </row>
    <row r="557096" spans="2:146">
      <c r="B557096">
        <v>200</v>
      </c>
    </row>
    <row r="557097" spans="2:146">
      <c r="B557097">
        <v>612</v>
      </c>
    </row>
    <row r="557098" spans="2:146">
      <c r="B557098">
        <v>156</v>
      </c>
    </row>
    <row r="557099" spans="2:146">
      <c r="B557099">
        <v>116</v>
      </c>
    </row>
    <row r="557100" spans="2:146">
      <c r="B557100">
        <v>160</v>
      </c>
    </row>
    <row r="557101" spans="2:146">
      <c r="B557101">
        <v>80</v>
      </c>
      <c r="EL557101">
        <v>0.66</v>
      </c>
      <c r="EM557101">
        <v>0.66</v>
      </c>
      <c r="EN557101">
        <v>0.66</v>
      </c>
      <c r="EO557101">
        <v>0.66</v>
      </c>
      <c r="EP557101">
        <v>0.66</v>
      </c>
    </row>
    <row r="557102" spans="2:146">
      <c r="B557102">
        <v>1144</v>
      </c>
      <c r="BV557102">
        <v>5.0999999999999996</v>
      </c>
      <c r="BW557102">
        <v>5.0999999999999996</v>
      </c>
      <c r="DB557102">
        <v>10.210000000000001</v>
      </c>
      <c r="DC557102">
        <v>10.210000000000001</v>
      </c>
      <c r="DD557102">
        <v>10.210000000000001</v>
      </c>
      <c r="DE557102">
        <v>10.210000000000001</v>
      </c>
      <c r="DF557102">
        <v>10.210000000000001</v>
      </c>
      <c r="DG557102">
        <v>10.210000000000001</v>
      </c>
      <c r="DH557102">
        <v>10.210000000000001</v>
      </c>
    </row>
    <row r="557103" spans="2:146">
      <c r="B557103">
        <v>1240</v>
      </c>
      <c r="EE557103">
        <v>8.15</v>
      </c>
      <c r="EF557103">
        <v>8.15</v>
      </c>
      <c r="EG557103">
        <v>8.15</v>
      </c>
      <c r="EH557103">
        <v>8.15</v>
      </c>
      <c r="EI557103">
        <v>8.15</v>
      </c>
      <c r="EJ557103">
        <v>8.15</v>
      </c>
      <c r="EK557103">
        <v>8.15</v>
      </c>
    </row>
    <row r="557104" spans="2:146">
      <c r="B557104">
        <v>2083.2000000000003</v>
      </c>
      <c r="DI557104">
        <v>20.03</v>
      </c>
      <c r="DJ557104">
        <v>20.03</v>
      </c>
      <c r="DQ557104">
        <v>20.03</v>
      </c>
      <c r="DT557104">
        <v>20.03</v>
      </c>
      <c r="DW557104">
        <v>20.03</v>
      </c>
    </row>
    <row r="557105" spans="2:134">
      <c r="B557105">
        <v>357.20000000000005</v>
      </c>
      <c r="DI557105">
        <v>3.88</v>
      </c>
      <c r="DJ557105">
        <v>3.88</v>
      </c>
      <c r="DV557105">
        <v>3.88</v>
      </c>
      <c r="DW557105">
        <v>3.88</v>
      </c>
    </row>
    <row r="557106" spans="2:134">
      <c r="B557106">
        <v>391.20000000000005</v>
      </c>
      <c r="DI557106">
        <v>3.62</v>
      </c>
      <c r="DJ557106">
        <v>3.62</v>
      </c>
      <c r="DR557106">
        <v>3.62</v>
      </c>
      <c r="DU557106">
        <v>3.62</v>
      </c>
      <c r="DV557106">
        <v>3.62</v>
      </c>
    </row>
    <row r="557107" spans="2:134">
      <c r="B557107">
        <v>762.80000000000007</v>
      </c>
      <c r="DI557107">
        <v>6.15</v>
      </c>
      <c r="DJ557107">
        <v>6.15</v>
      </c>
      <c r="DQ557107">
        <v>6.15</v>
      </c>
      <c r="DR557107">
        <v>6.15</v>
      </c>
      <c r="DS557107">
        <v>6.15</v>
      </c>
      <c r="DT557107">
        <v>6.15</v>
      </c>
    </row>
    <row r="557108" spans="2:134">
      <c r="B557108">
        <v>1280</v>
      </c>
      <c r="DI557108">
        <v>10.66</v>
      </c>
      <c r="DJ557108">
        <v>10.66</v>
      </c>
      <c r="DK557108">
        <v>10.66</v>
      </c>
      <c r="DL557108">
        <v>10.66</v>
      </c>
      <c r="DM557108">
        <v>10.66</v>
      </c>
      <c r="DN557108">
        <v>10.66</v>
      </c>
    </row>
    <row r="557109" spans="2:134">
      <c r="B557109">
        <v>234</v>
      </c>
      <c r="CT557109">
        <v>2.5</v>
      </c>
      <c r="CU557109">
        <v>2.5</v>
      </c>
      <c r="CV557109">
        <v>2.5</v>
      </c>
    </row>
    <row r="557110" spans="2:134">
      <c r="B557110">
        <v>354</v>
      </c>
      <c r="CY557110">
        <v>3.98</v>
      </c>
      <c r="CZ557110">
        <v>3.98</v>
      </c>
      <c r="DA557110">
        <v>3.98</v>
      </c>
    </row>
    <row r="557111" spans="2:134">
      <c r="B557111">
        <v>392</v>
      </c>
      <c r="DI557111">
        <v>3.52</v>
      </c>
      <c r="DJ557111">
        <v>3.52</v>
      </c>
      <c r="DL557111">
        <v>3.52</v>
      </c>
      <c r="DO557111">
        <v>3.52</v>
      </c>
    </row>
    <row r="557112" spans="2:134">
      <c r="B557112">
        <v>304</v>
      </c>
      <c r="CE557112">
        <v>3.8</v>
      </c>
      <c r="CF557112">
        <v>3.8</v>
      </c>
    </row>
    <row r="557113" spans="2:134">
      <c r="B557113">
        <v>144</v>
      </c>
      <c r="DZ557113">
        <v>1.62</v>
      </c>
      <c r="EA557113">
        <v>1.62</v>
      </c>
      <c r="EB557113">
        <v>1.62</v>
      </c>
      <c r="EC557113">
        <v>0.81</v>
      </c>
      <c r="ED557113">
        <v>0.81</v>
      </c>
    </row>
    <row r="557114" spans="2:134">
      <c r="B557114">
        <v>602.40000000000009</v>
      </c>
      <c r="BY557114">
        <v>6.02</v>
      </c>
      <c r="BZ557114">
        <v>6.02</v>
      </c>
      <c r="CB557114">
        <v>3.01</v>
      </c>
      <c r="CC557114">
        <v>3.01</v>
      </c>
      <c r="CD557114">
        <v>3.01</v>
      </c>
      <c r="CI557114">
        <v>6.02</v>
      </c>
      <c r="CJ557114">
        <v>6.02</v>
      </c>
      <c r="CK557114">
        <v>6.02</v>
      </c>
    </row>
    <row r="557115" spans="2:134">
      <c r="B557115">
        <v>307.60000000000002</v>
      </c>
      <c r="BY557115">
        <v>3.34</v>
      </c>
      <c r="BZ557115">
        <v>3.34</v>
      </c>
      <c r="CG557115">
        <v>3.34</v>
      </c>
      <c r="CH557115">
        <v>3.34</v>
      </c>
    </row>
    <row r="557116" spans="2:134">
      <c r="B557116">
        <v>358</v>
      </c>
      <c r="BY557116">
        <v>2.37</v>
      </c>
      <c r="BZ557116">
        <v>2.37</v>
      </c>
      <c r="CA557116">
        <v>2.37</v>
      </c>
      <c r="DX557116">
        <v>4.74</v>
      </c>
      <c r="DY557116">
        <v>4.74</v>
      </c>
    </row>
    <row r="557117" spans="2:134">
      <c r="B557117">
        <v>286</v>
      </c>
      <c r="BT557117">
        <v>1.43</v>
      </c>
      <c r="BV557117">
        <v>1.43</v>
      </c>
      <c r="BW557117">
        <v>1.43</v>
      </c>
      <c r="BX557117">
        <v>1.43</v>
      </c>
      <c r="CO557117">
        <v>2.86</v>
      </c>
      <c r="CP557117">
        <v>2.86</v>
      </c>
      <c r="CQ557117">
        <v>2.86</v>
      </c>
      <c r="CR557117">
        <v>2.86</v>
      </c>
      <c r="CS557117">
        <v>2.86</v>
      </c>
    </row>
    <row r="557118" spans="2:134">
      <c r="B557118">
        <v>410</v>
      </c>
      <c r="BY557118">
        <v>2.88</v>
      </c>
      <c r="BZ557118">
        <v>2.88</v>
      </c>
      <c r="CA557118">
        <v>2.88</v>
      </c>
      <c r="CW557118">
        <v>5.76</v>
      </c>
      <c r="CX557118">
        <v>5.76</v>
      </c>
    </row>
    <row r="557119" spans="2:134">
      <c r="B557119">
        <v>346</v>
      </c>
      <c r="BR557119">
        <v>3.6</v>
      </c>
      <c r="BS557119">
        <v>3.6</v>
      </c>
      <c r="BT557119">
        <v>1.8</v>
      </c>
      <c r="CL557119">
        <v>3.6</v>
      </c>
      <c r="CM557119">
        <v>3.6</v>
      </c>
      <c r="CN557119">
        <v>3.6</v>
      </c>
    </row>
    <row r="557120" spans="2:134">
      <c r="B557120">
        <v>302</v>
      </c>
      <c r="BR557120">
        <v>3.28</v>
      </c>
      <c r="BS557120">
        <v>3.28</v>
      </c>
      <c r="BT557120">
        <v>1.64</v>
      </c>
      <c r="BU557120">
        <v>1.64</v>
      </c>
      <c r="CL557120">
        <v>3.28</v>
      </c>
      <c r="CM557120">
        <v>3.28</v>
      </c>
      <c r="CN557120">
        <v>3.28</v>
      </c>
    </row>
    <row r="557121" spans="2:146">
      <c r="B557121">
        <v>204</v>
      </c>
      <c r="BR557121">
        <v>2.12</v>
      </c>
      <c r="BS557121">
        <v>2.12</v>
      </c>
      <c r="BT557121">
        <v>1.06</v>
      </c>
      <c r="CL557121">
        <v>2.12</v>
      </c>
      <c r="CM557121">
        <v>2.12</v>
      </c>
      <c r="CN557121">
        <v>2.12</v>
      </c>
    </row>
    <row r="557123" spans="2:146">
      <c r="B557123">
        <v>26358.800000000003</v>
      </c>
      <c r="BQ557123">
        <v>0</v>
      </c>
      <c r="BR557123">
        <v>9</v>
      </c>
      <c r="BS557123">
        <v>9</v>
      </c>
      <c r="BT557123">
        <v>5.93</v>
      </c>
      <c r="BU557123">
        <v>1.64</v>
      </c>
      <c r="BV557123">
        <v>6.5299999999999994</v>
      </c>
      <c r="BW557123">
        <v>6.5299999999999994</v>
      </c>
      <c r="BX557123">
        <v>1.43</v>
      </c>
      <c r="BY557123">
        <v>14.61</v>
      </c>
      <c r="BZ557123">
        <v>14.61</v>
      </c>
      <c r="CA557123">
        <v>5.25</v>
      </c>
      <c r="CB557123">
        <v>3.01</v>
      </c>
      <c r="CC557123">
        <v>3.01</v>
      </c>
      <c r="CD557123">
        <v>3.01</v>
      </c>
      <c r="CE557123">
        <v>3.8</v>
      </c>
      <c r="CF557123">
        <v>3.8</v>
      </c>
      <c r="CG557123">
        <v>3.34</v>
      </c>
      <c r="CH557123">
        <v>3.34</v>
      </c>
      <c r="CI557123">
        <v>6.02</v>
      </c>
      <c r="CJ557123">
        <v>6.02</v>
      </c>
      <c r="CK557123">
        <v>6.02</v>
      </c>
      <c r="CL557123">
        <v>9</v>
      </c>
      <c r="CM557123">
        <v>9</v>
      </c>
      <c r="CN557123">
        <v>9</v>
      </c>
      <c r="CO557123">
        <v>2.86</v>
      </c>
      <c r="CP557123">
        <v>2.86</v>
      </c>
      <c r="CQ557123">
        <v>2.86</v>
      </c>
      <c r="CR557123">
        <v>2.86</v>
      </c>
      <c r="CS557123">
        <v>2.86</v>
      </c>
      <c r="CT557123">
        <v>2.5</v>
      </c>
      <c r="CU557123">
        <v>2.5</v>
      </c>
      <c r="CV557123">
        <v>2.5</v>
      </c>
      <c r="CW557123">
        <v>5.76</v>
      </c>
      <c r="CX557123">
        <v>5.76</v>
      </c>
      <c r="CY557123">
        <v>3.98</v>
      </c>
      <c r="CZ557123">
        <v>3.98</v>
      </c>
      <c r="DA557123">
        <v>3.98</v>
      </c>
      <c r="DB557123">
        <v>10.210000000000001</v>
      </c>
      <c r="DC557123">
        <v>10.210000000000001</v>
      </c>
      <c r="DD557123">
        <v>10.210000000000001</v>
      </c>
      <c r="DE557123">
        <v>10.210000000000001</v>
      </c>
      <c r="DF557123">
        <v>10.210000000000001</v>
      </c>
      <c r="DG557123">
        <v>10.210000000000001</v>
      </c>
      <c r="DH557123">
        <v>10.210000000000001</v>
      </c>
      <c r="DI557123">
        <v>47.860000000000007</v>
      </c>
      <c r="DJ557123">
        <v>47.860000000000007</v>
      </c>
      <c r="DK557123">
        <v>10.66</v>
      </c>
      <c r="DL557123">
        <v>14.18</v>
      </c>
      <c r="DM557123">
        <v>10.66</v>
      </c>
      <c r="DN557123">
        <v>10.66</v>
      </c>
      <c r="DO557123">
        <v>3.52</v>
      </c>
      <c r="DP557123">
        <v>0</v>
      </c>
      <c r="DQ557123">
        <v>26.18</v>
      </c>
      <c r="DR557123">
        <v>9.77</v>
      </c>
      <c r="DS557123">
        <v>6.15</v>
      </c>
      <c r="DT557123">
        <v>26.18</v>
      </c>
      <c r="DU557123">
        <v>3.62</v>
      </c>
      <c r="DV557123">
        <v>7.5</v>
      </c>
      <c r="DW557123">
        <v>23.91</v>
      </c>
      <c r="DX557123">
        <v>4.74</v>
      </c>
      <c r="DY557123">
        <v>4.74</v>
      </c>
      <c r="DZ557123">
        <v>1.62</v>
      </c>
      <c r="EA557123">
        <v>1.62</v>
      </c>
      <c r="EB557123">
        <v>1.62</v>
      </c>
      <c r="EC557123">
        <v>0.81</v>
      </c>
      <c r="ED557123">
        <v>0.81</v>
      </c>
      <c r="EE557123">
        <v>8.15</v>
      </c>
      <c r="EF557123">
        <v>8.15</v>
      </c>
      <c r="EG557123">
        <v>8.15</v>
      </c>
      <c r="EH557123">
        <v>8.15</v>
      </c>
      <c r="EI557123">
        <v>8.15</v>
      </c>
      <c r="EJ557123">
        <v>8.15</v>
      </c>
      <c r="EK557123">
        <v>8.15</v>
      </c>
      <c r="EL557123">
        <v>0.66</v>
      </c>
      <c r="EM557123">
        <v>0.66</v>
      </c>
      <c r="EN557123">
        <v>0.66</v>
      </c>
      <c r="EO557123">
        <v>0.66</v>
      </c>
      <c r="EP557123">
        <v>0.66</v>
      </c>
    </row>
    <row r="557124" spans="2:146">
      <c r="B557124" t="s">
        <v>265</v>
      </c>
      <c r="BQ557124" t="s">
        <v>345</v>
      </c>
      <c r="BR557124" t="s">
        <v>131</v>
      </c>
      <c r="BS557124" t="s">
        <v>131</v>
      </c>
      <c r="BT557124" t="s">
        <v>357</v>
      </c>
      <c r="BU557124" t="s">
        <v>131</v>
      </c>
      <c r="BV557124" t="s">
        <v>360</v>
      </c>
      <c r="BW557124" t="s">
        <v>360</v>
      </c>
      <c r="BX557124" t="s">
        <v>360</v>
      </c>
      <c r="BY557124" t="s">
        <v>364</v>
      </c>
      <c r="BZ557124" t="s">
        <v>364</v>
      </c>
      <c r="CA557124" t="s">
        <v>364</v>
      </c>
      <c r="CB557124" t="s">
        <v>368</v>
      </c>
      <c r="CC557124" t="s">
        <v>368</v>
      </c>
      <c r="CD557124" t="s">
        <v>368</v>
      </c>
      <c r="CE557124" t="s">
        <v>352</v>
      </c>
      <c r="CF557124" t="s">
        <v>352</v>
      </c>
      <c r="CG557124" t="s">
        <v>372</v>
      </c>
      <c r="CH557124" t="s">
        <v>372</v>
      </c>
      <c r="CI557124" t="s">
        <v>375</v>
      </c>
      <c r="CJ557124" t="s">
        <v>375</v>
      </c>
      <c r="CK557124" t="s">
        <v>375</v>
      </c>
      <c r="CL557124" t="s">
        <v>379</v>
      </c>
      <c r="CM557124" t="s">
        <v>379</v>
      </c>
      <c r="CN557124" t="s">
        <v>379</v>
      </c>
      <c r="CO557124" t="s">
        <v>383</v>
      </c>
      <c r="CP557124" t="s">
        <v>383</v>
      </c>
      <c r="CQ557124" t="s">
        <v>383</v>
      </c>
      <c r="CR557124" t="s">
        <v>383</v>
      </c>
      <c r="CS557124" t="s">
        <v>383</v>
      </c>
      <c r="CT557124" t="s">
        <v>389</v>
      </c>
      <c r="CU557124" t="s">
        <v>389</v>
      </c>
      <c r="CV557124" t="s">
        <v>389</v>
      </c>
      <c r="CW557124" t="s">
        <v>393</v>
      </c>
      <c r="CX557124" t="s">
        <v>393</v>
      </c>
      <c r="CY557124" t="s">
        <v>396</v>
      </c>
      <c r="CZ557124" t="s">
        <v>396</v>
      </c>
      <c r="DA557124" t="s">
        <v>396</v>
      </c>
      <c r="DB557124" t="s">
        <v>400</v>
      </c>
      <c r="DC557124" t="s">
        <v>400</v>
      </c>
      <c r="DD557124" t="s">
        <v>400</v>
      </c>
      <c r="DE557124" t="s">
        <v>400</v>
      </c>
      <c r="DF557124" t="s">
        <v>400</v>
      </c>
      <c r="DG557124" t="s">
        <v>400</v>
      </c>
      <c r="DH557124" t="s">
        <v>400</v>
      </c>
      <c r="DI557124" t="s">
        <v>121</v>
      </c>
      <c r="DJ557124" t="s">
        <v>121</v>
      </c>
      <c r="DK557124" t="s">
        <v>121</v>
      </c>
      <c r="DL557124" t="s">
        <v>121</v>
      </c>
      <c r="DM557124" t="s">
        <v>121</v>
      </c>
      <c r="DN557124" t="s">
        <v>121</v>
      </c>
      <c r="DO557124" t="s">
        <v>121</v>
      </c>
      <c r="DP557124" t="s">
        <v>121</v>
      </c>
      <c r="DQ557124" t="s">
        <v>121</v>
      </c>
      <c r="DR557124" t="s">
        <v>121</v>
      </c>
      <c r="DS557124" t="s">
        <v>121</v>
      </c>
      <c r="DT557124" t="s">
        <v>121</v>
      </c>
      <c r="DU557124" t="s">
        <v>121</v>
      </c>
      <c r="DV557124" t="s">
        <v>121</v>
      </c>
      <c r="DW557124" t="s">
        <v>121</v>
      </c>
      <c r="DX557124" t="s">
        <v>423</v>
      </c>
      <c r="DY557124" t="s">
        <v>423</v>
      </c>
      <c r="DZ557124" t="s">
        <v>426</v>
      </c>
      <c r="EA557124" t="s">
        <v>426</v>
      </c>
      <c r="EB557124" t="s">
        <v>426</v>
      </c>
      <c r="EC557124" t="s">
        <v>426</v>
      </c>
      <c r="ED557124" t="s">
        <v>426</v>
      </c>
      <c r="EE557124" t="s">
        <v>432</v>
      </c>
      <c r="EF557124" t="s">
        <v>432</v>
      </c>
      <c r="EG557124" t="s">
        <v>432</v>
      </c>
      <c r="EH557124" t="s">
        <v>432</v>
      </c>
      <c r="EI557124" t="s">
        <v>432</v>
      </c>
      <c r="EJ557124" t="s">
        <v>432</v>
      </c>
      <c r="EK557124" t="s">
        <v>432</v>
      </c>
      <c r="EL557124" t="s">
        <v>440</v>
      </c>
      <c r="EM557124" t="s">
        <v>440</v>
      </c>
      <c r="EN557124" t="s">
        <v>440</v>
      </c>
      <c r="EO557124" t="s">
        <v>440</v>
      </c>
      <c r="EP557124" t="s">
        <v>440</v>
      </c>
    </row>
    <row r="557125" spans="2:146">
      <c r="BQ557125" t="s">
        <v>351</v>
      </c>
      <c r="BR557125" t="s">
        <v>355</v>
      </c>
      <c r="BS557125" t="s">
        <v>356</v>
      </c>
      <c r="BT557125" t="s">
        <v>358</v>
      </c>
      <c r="BU557125" t="s">
        <v>359</v>
      </c>
      <c r="BV557125" t="s">
        <v>361</v>
      </c>
      <c r="BW557125" t="s">
        <v>362</v>
      </c>
      <c r="BX557125" t="s">
        <v>363</v>
      </c>
      <c r="BY557125" t="s">
        <v>365</v>
      </c>
      <c r="BZ557125" t="s">
        <v>366</v>
      </c>
      <c r="CA557125" t="s">
        <v>367</v>
      </c>
      <c r="CB557125" t="s">
        <v>369</v>
      </c>
      <c r="CC557125" t="s">
        <v>370</v>
      </c>
      <c r="CD557125" t="s">
        <v>371</v>
      </c>
      <c r="CE557125" t="s">
        <v>353</v>
      </c>
      <c r="CF557125" t="s">
        <v>354</v>
      </c>
      <c r="CG557125" t="s">
        <v>373</v>
      </c>
      <c r="CH557125" t="s">
        <v>374</v>
      </c>
      <c r="CI557125" t="s">
        <v>376</v>
      </c>
      <c r="CJ557125" t="s">
        <v>377</v>
      </c>
      <c r="CK557125" t="s">
        <v>378</v>
      </c>
      <c r="CL557125" t="s">
        <v>380</v>
      </c>
      <c r="CM557125" t="s">
        <v>381</v>
      </c>
      <c r="CN557125" t="s">
        <v>382</v>
      </c>
      <c r="CO557125" t="s">
        <v>384</v>
      </c>
      <c r="CP557125" t="s">
        <v>385</v>
      </c>
      <c r="CQ557125" t="s">
        <v>386</v>
      </c>
      <c r="CR557125" t="s">
        <v>387</v>
      </c>
      <c r="CS557125" t="s">
        <v>388</v>
      </c>
      <c r="CT557125" t="s">
        <v>390</v>
      </c>
      <c r="CU557125" t="s">
        <v>391</v>
      </c>
      <c r="CV557125" t="s">
        <v>392</v>
      </c>
      <c r="CW557125" t="s">
        <v>394</v>
      </c>
      <c r="CX557125" t="s">
        <v>395</v>
      </c>
      <c r="CY557125" t="s">
        <v>397</v>
      </c>
      <c r="CZ557125" t="s">
        <v>398</v>
      </c>
      <c r="DA557125" t="s">
        <v>399</v>
      </c>
      <c r="DB557125" t="s">
        <v>401</v>
      </c>
      <c r="DC557125" t="s">
        <v>402</v>
      </c>
      <c r="DD557125" t="s">
        <v>403</v>
      </c>
      <c r="DE557125" t="s">
        <v>404</v>
      </c>
      <c r="DF557125" t="s">
        <v>405</v>
      </c>
      <c r="DG557125" t="s">
        <v>406</v>
      </c>
      <c r="DH557125" t="s">
        <v>407</v>
      </c>
      <c r="DI557125" t="s">
        <v>408</v>
      </c>
      <c r="DJ557125" t="s">
        <v>409</v>
      </c>
      <c r="DK557125" t="s">
        <v>410</v>
      </c>
      <c r="DL557125" t="s">
        <v>411</v>
      </c>
      <c r="DM557125" t="s">
        <v>412</v>
      </c>
      <c r="DN557125" t="s">
        <v>413</v>
      </c>
      <c r="DO557125" t="s">
        <v>414</v>
      </c>
      <c r="DP557125" t="s">
        <v>415</v>
      </c>
      <c r="DQ557125" t="s">
        <v>416</v>
      </c>
      <c r="DR557125" t="s">
        <v>417</v>
      </c>
      <c r="DS557125" t="s">
        <v>418</v>
      </c>
      <c r="DT557125" t="s">
        <v>419</v>
      </c>
      <c r="DU557125" t="s">
        <v>420</v>
      </c>
      <c r="DV557125" t="s">
        <v>421</v>
      </c>
      <c r="DW557125" t="s">
        <v>422</v>
      </c>
      <c r="DX557125" t="s">
        <v>424</v>
      </c>
      <c r="DY557125" t="s">
        <v>425</v>
      </c>
      <c r="DZ557125" t="s">
        <v>427</v>
      </c>
      <c r="EA557125" t="s">
        <v>428</v>
      </c>
      <c r="EB557125" t="s">
        <v>429</v>
      </c>
      <c r="EC557125" t="s">
        <v>430</v>
      </c>
      <c r="ED557125" t="s">
        <v>431</v>
      </c>
      <c r="EE557125" t="s">
        <v>433</v>
      </c>
      <c r="EF557125" t="s">
        <v>434</v>
      </c>
      <c r="EG557125" t="s">
        <v>435</v>
      </c>
      <c r="EH557125" t="s">
        <v>436</v>
      </c>
      <c r="EI557125" t="s">
        <v>437</v>
      </c>
      <c r="EJ557125" t="s">
        <v>438</v>
      </c>
      <c r="EK557125" t="s">
        <v>439</v>
      </c>
      <c r="EL557125" t="s">
        <v>441</v>
      </c>
      <c r="EM557125" t="s">
        <v>442</v>
      </c>
      <c r="EN557125" t="s">
        <v>443</v>
      </c>
      <c r="EO557125" t="s">
        <v>444</v>
      </c>
      <c r="EP557125" t="s">
        <v>445</v>
      </c>
    </row>
    <row r="557126" spans="2:146">
      <c r="BQ557126">
        <v>67</v>
      </c>
      <c r="BR557126">
        <v>68</v>
      </c>
      <c r="BS557126">
        <v>69</v>
      </c>
      <c r="BT557126">
        <v>70</v>
      </c>
      <c r="BU557126">
        <v>71</v>
      </c>
      <c r="BV557126">
        <v>72</v>
      </c>
      <c r="BW557126">
        <v>73</v>
      </c>
      <c r="BX557126">
        <v>74</v>
      </c>
      <c r="BY557126">
        <v>75</v>
      </c>
      <c r="BZ557126">
        <v>76</v>
      </c>
      <c r="CA557126">
        <v>77</v>
      </c>
      <c r="CB557126">
        <v>78</v>
      </c>
      <c r="CC557126">
        <v>79</v>
      </c>
      <c r="CD557126">
        <v>80</v>
      </c>
      <c r="CE557126">
        <v>81</v>
      </c>
      <c r="CF557126">
        <v>82</v>
      </c>
      <c r="CG557126">
        <v>83</v>
      </c>
      <c r="CH557126">
        <v>84</v>
      </c>
      <c r="CI557126">
        <v>85</v>
      </c>
      <c r="CJ557126">
        <v>86</v>
      </c>
      <c r="CK557126">
        <v>87</v>
      </c>
      <c r="CL557126">
        <v>88</v>
      </c>
      <c r="CM557126">
        <v>89</v>
      </c>
      <c r="CN557126">
        <v>90</v>
      </c>
      <c r="CO557126">
        <v>91</v>
      </c>
      <c r="CP557126">
        <v>92</v>
      </c>
      <c r="CQ557126">
        <v>93</v>
      </c>
      <c r="CR557126">
        <v>94</v>
      </c>
      <c r="CS557126">
        <v>95</v>
      </c>
      <c r="CT557126">
        <v>96</v>
      </c>
      <c r="CU557126">
        <v>97</v>
      </c>
      <c r="CV557126">
        <v>98</v>
      </c>
      <c r="CW557126">
        <v>99</v>
      </c>
      <c r="CX557126">
        <v>100</v>
      </c>
      <c r="CY557126">
        <v>101</v>
      </c>
      <c r="CZ557126">
        <v>102</v>
      </c>
      <c r="DA557126">
        <v>103</v>
      </c>
      <c r="DB557126">
        <v>104</v>
      </c>
      <c r="DC557126">
        <v>105</v>
      </c>
      <c r="DD557126">
        <v>106</v>
      </c>
      <c r="DE557126">
        <v>107</v>
      </c>
      <c r="DF557126">
        <v>108</v>
      </c>
      <c r="DG557126">
        <v>109</v>
      </c>
      <c r="DH557126">
        <v>110</v>
      </c>
      <c r="DI557126">
        <v>111</v>
      </c>
      <c r="DJ557126">
        <v>112</v>
      </c>
      <c r="DK557126">
        <v>113</v>
      </c>
      <c r="DL557126">
        <v>114</v>
      </c>
      <c r="DM557126">
        <v>115</v>
      </c>
      <c r="DN557126">
        <v>116</v>
      </c>
      <c r="DO557126">
        <v>117</v>
      </c>
      <c r="DP557126">
        <v>118</v>
      </c>
      <c r="DQ557126">
        <v>119</v>
      </c>
      <c r="DR557126">
        <v>120</v>
      </c>
      <c r="DS557126">
        <v>121</v>
      </c>
      <c r="DT557126">
        <v>122</v>
      </c>
      <c r="DU557126">
        <v>123</v>
      </c>
      <c r="DV557126">
        <v>124</v>
      </c>
      <c r="DW557126">
        <v>125</v>
      </c>
      <c r="DX557126">
        <v>126</v>
      </c>
      <c r="DY557126">
        <v>127</v>
      </c>
      <c r="DZ557126">
        <v>128</v>
      </c>
      <c r="EA557126">
        <v>129</v>
      </c>
      <c r="EB557126">
        <v>130</v>
      </c>
      <c r="EC557126">
        <v>131</v>
      </c>
      <c r="ED557126">
        <v>132</v>
      </c>
      <c r="EE557126">
        <v>133</v>
      </c>
      <c r="EF557126">
        <v>134</v>
      </c>
      <c r="EG557126">
        <v>135</v>
      </c>
      <c r="EH557126">
        <v>136</v>
      </c>
      <c r="EI557126">
        <v>137</v>
      </c>
      <c r="EJ557126">
        <v>138</v>
      </c>
      <c r="EK557126">
        <v>139</v>
      </c>
      <c r="EL557126">
        <v>140</v>
      </c>
      <c r="EM557126">
        <v>141</v>
      </c>
      <c r="EN557126">
        <v>142</v>
      </c>
      <c r="EO557126">
        <v>143</v>
      </c>
      <c r="EP557126">
        <v>144</v>
      </c>
    </row>
    <row r="557127" spans="2:146">
      <c r="CE557127" t="s">
        <v>451</v>
      </c>
    </row>
    <row r="573442" spans="2:2">
      <c r="B573442">
        <v>200</v>
      </c>
    </row>
    <row r="573443" spans="2:2">
      <c r="B573443">
        <v>200</v>
      </c>
    </row>
    <row r="573444" spans="2:2">
      <c r="B573444">
        <v>800</v>
      </c>
    </row>
    <row r="573445" spans="2:2">
      <c r="B573445">
        <v>200</v>
      </c>
    </row>
    <row r="573446" spans="2:2">
      <c r="B573446">
        <v>1044</v>
      </c>
    </row>
    <row r="573447" spans="2:2">
      <c r="B573447">
        <v>998.40000000000009</v>
      </c>
    </row>
    <row r="573448" spans="2:2">
      <c r="B573448">
        <v>272</v>
      </c>
    </row>
    <row r="573449" spans="2:2">
      <c r="B573449">
        <v>200</v>
      </c>
    </row>
    <row r="573450" spans="2:2">
      <c r="B573450">
        <v>214</v>
      </c>
    </row>
    <row r="573451" spans="2:2">
      <c r="B573451">
        <v>200</v>
      </c>
    </row>
    <row r="573452" spans="2:2">
      <c r="B573452">
        <v>152</v>
      </c>
    </row>
    <row r="573453" spans="2:2">
      <c r="B573453">
        <v>200</v>
      </c>
    </row>
    <row r="573454" spans="2:2">
      <c r="B573454">
        <v>300</v>
      </c>
    </row>
    <row r="573455" spans="2:2">
      <c r="B573455">
        <v>104</v>
      </c>
    </row>
    <row r="573456" spans="2:2">
      <c r="B573456">
        <v>162</v>
      </c>
    </row>
    <row r="573457" spans="2:2">
      <c r="B573457">
        <v>200</v>
      </c>
    </row>
    <row r="573458" spans="2:2">
      <c r="B573458">
        <v>200</v>
      </c>
    </row>
    <row r="573459" spans="2:2">
      <c r="B573459">
        <v>200</v>
      </c>
    </row>
    <row r="573460" spans="2:2">
      <c r="B573460">
        <v>200</v>
      </c>
    </row>
    <row r="573461" spans="2:2">
      <c r="B573461">
        <v>200</v>
      </c>
    </row>
    <row r="573462" spans="2:2">
      <c r="B573462">
        <v>200</v>
      </c>
    </row>
    <row r="573463" spans="2:2">
      <c r="B573463">
        <v>200</v>
      </c>
    </row>
    <row r="573464" spans="2:2">
      <c r="B573464">
        <v>200</v>
      </c>
    </row>
    <row r="573465" spans="2:2">
      <c r="B573465">
        <v>800</v>
      </c>
    </row>
    <row r="573466" spans="2:2">
      <c r="B573466">
        <v>300</v>
      </c>
    </row>
    <row r="573467" spans="2:2">
      <c r="B573467">
        <v>778</v>
      </c>
    </row>
    <row r="573468" spans="2:2">
      <c r="B573468">
        <v>614</v>
      </c>
    </row>
    <row r="573469" spans="2:2">
      <c r="B573469">
        <v>444</v>
      </c>
    </row>
    <row r="573470" spans="2:2">
      <c r="B573470">
        <v>800</v>
      </c>
    </row>
    <row r="573471" spans="2:2">
      <c r="B573471">
        <v>200</v>
      </c>
    </row>
    <row r="573472" spans="2:2">
      <c r="B573472">
        <v>780</v>
      </c>
    </row>
    <row r="573473" spans="2:146">
      <c r="B573473">
        <v>174</v>
      </c>
    </row>
    <row r="573474" spans="2:146">
      <c r="B573474">
        <v>194</v>
      </c>
    </row>
    <row r="573475" spans="2:146">
      <c r="B573475">
        <v>782</v>
      </c>
    </row>
    <row r="573476" spans="2:146">
      <c r="B573476">
        <v>236</v>
      </c>
    </row>
    <row r="573477" spans="2:146">
      <c r="B573477">
        <v>144</v>
      </c>
    </row>
    <row r="573478" spans="2:146">
      <c r="B573478">
        <v>200</v>
      </c>
    </row>
    <row r="573479" spans="2:146">
      <c r="B573479">
        <v>240</v>
      </c>
    </row>
    <row r="573480" spans="2:146">
      <c r="B573480">
        <v>200</v>
      </c>
    </row>
    <row r="573481" spans="2:146">
      <c r="B573481">
        <v>612</v>
      </c>
    </row>
    <row r="573482" spans="2:146">
      <c r="B573482">
        <v>156</v>
      </c>
    </row>
    <row r="573483" spans="2:146">
      <c r="B573483">
        <v>116</v>
      </c>
    </row>
    <row r="573484" spans="2:146">
      <c r="B573484">
        <v>160</v>
      </c>
    </row>
    <row r="573485" spans="2:146">
      <c r="B573485">
        <v>80</v>
      </c>
      <c r="EL573485">
        <v>0.66</v>
      </c>
      <c r="EM573485">
        <v>0.66</v>
      </c>
      <c r="EN573485">
        <v>0.66</v>
      </c>
      <c r="EO573485">
        <v>0.66</v>
      </c>
      <c r="EP573485">
        <v>0.66</v>
      </c>
    </row>
    <row r="573486" spans="2:146">
      <c r="B573486">
        <v>1144</v>
      </c>
      <c r="BV573486">
        <v>5.0999999999999996</v>
      </c>
      <c r="BW573486">
        <v>5.0999999999999996</v>
      </c>
      <c r="DB573486">
        <v>10.210000000000001</v>
      </c>
      <c r="DC573486">
        <v>10.210000000000001</v>
      </c>
      <c r="DD573486">
        <v>10.210000000000001</v>
      </c>
      <c r="DE573486">
        <v>10.210000000000001</v>
      </c>
      <c r="DF573486">
        <v>10.210000000000001</v>
      </c>
      <c r="DG573486">
        <v>10.210000000000001</v>
      </c>
      <c r="DH573486">
        <v>10.210000000000001</v>
      </c>
    </row>
    <row r="573487" spans="2:146">
      <c r="B573487">
        <v>1240</v>
      </c>
      <c r="EE573487">
        <v>8.15</v>
      </c>
      <c r="EF573487">
        <v>8.15</v>
      </c>
      <c r="EG573487">
        <v>8.15</v>
      </c>
      <c r="EH573487">
        <v>8.15</v>
      </c>
      <c r="EI573487">
        <v>8.15</v>
      </c>
      <c r="EJ573487">
        <v>8.15</v>
      </c>
      <c r="EK573487">
        <v>8.15</v>
      </c>
    </row>
    <row r="573488" spans="2:146">
      <c r="B573488">
        <v>2083.2000000000003</v>
      </c>
      <c r="DI573488">
        <v>20.03</v>
      </c>
      <c r="DJ573488">
        <v>20.03</v>
      </c>
      <c r="DQ573488">
        <v>20.03</v>
      </c>
      <c r="DT573488">
        <v>20.03</v>
      </c>
      <c r="DW573488">
        <v>20.03</v>
      </c>
    </row>
    <row r="573489" spans="2:134">
      <c r="B573489">
        <v>357.20000000000005</v>
      </c>
      <c r="DI573489">
        <v>3.88</v>
      </c>
      <c r="DJ573489">
        <v>3.88</v>
      </c>
      <c r="DV573489">
        <v>3.88</v>
      </c>
      <c r="DW573489">
        <v>3.88</v>
      </c>
    </row>
    <row r="573490" spans="2:134">
      <c r="B573490">
        <v>391.20000000000005</v>
      </c>
      <c r="DI573490">
        <v>3.62</v>
      </c>
      <c r="DJ573490">
        <v>3.62</v>
      </c>
      <c r="DR573490">
        <v>3.62</v>
      </c>
      <c r="DU573490">
        <v>3.62</v>
      </c>
      <c r="DV573490">
        <v>3.62</v>
      </c>
    </row>
    <row r="573491" spans="2:134">
      <c r="B573491">
        <v>762.80000000000007</v>
      </c>
      <c r="DI573491">
        <v>6.15</v>
      </c>
      <c r="DJ573491">
        <v>6.15</v>
      </c>
      <c r="DQ573491">
        <v>6.15</v>
      </c>
      <c r="DR573491">
        <v>6.15</v>
      </c>
      <c r="DS573491">
        <v>6.15</v>
      </c>
      <c r="DT573491">
        <v>6.15</v>
      </c>
    </row>
    <row r="573492" spans="2:134">
      <c r="B573492">
        <v>1280</v>
      </c>
      <c r="DI573492">
        <v>10.66</v>
      </c>
      <c r="DJ573492">
        <v>10.66</v>
      </c>
      <c r="DK573492">
        <v>10.66</v>
      </c>
      <c r="DL573492">
        <v>10.66</v>
      </c>
      <c r="DM573492">
        <v>10.66</v>
      </c>
      <c r="DN573492">
        <v>10.66</v>
      </c>
    </row>
    <row r="573493" spans="2:134">
      <c r="B573493">
        <v>234</v>
      </c>
      <c r="CT573493">
        <v>2.5</v>
      </c>
      <c r="CU573493">
        <v>2.5</v>
      </c>
      <c r="CV573493">
        <v>2.5</v>
      </c>
    </row>
    <row r="573494" spans="2:134">
      <c r="B573494">
        <v>354</v>
      </c>
      <c r="CY573494">
        <v>3.98</v>
      </c>
      <c r="CZ573494">
        <v>3.98</v>
      </c>
      <c r="DA573494">
        <v>3.98</v>
      </c>
    </row>
    <row r="573495" spans="2:134">
      <c r="B573495">
        <v>392</v>
      </c>
      <c r="DI573495">
        <v>3.52</v>
      </c>
      <c r="DJ573495">
        <v>3.52</v>
      </c>
      <c r="DL573495">
        <v>3.52</v>
      </c>
      <c r="DO573495">
        <v>3.52</v>
      </c>
    </row>
    <row r="573496" spans="2:134">
      <c r="B573496">
        <v>304</v>
      </c>
      <c r="CE573496">
        <v>3.8</v>
      </c>
      <c r="CF573496">
        <v>3.8</v>
      </c>
    </row>
    <row r="573497" spans="2:134">
      <c r="B573497">
        <v>144</v>
      </c>
      <c r="DZ573497">
        <v>1.62</v>
      </c>
      <c r="EA573497">
        <v>1.62</v>
      </c>
      <c r="EB573497">
        <v>1.62</v>
      </c>
      <c r="EC573497">
        <v>0.81</v>
      </c>
      <c r="ED573497">
        <v>0.81</v>
      </c>
    </row>
    <row r="573498" spans="2:134">
      <c r="B573498">
        <v>602.40000000000009</v>
      </c>
      <c r="BY573498">
        <v>6.02</v>
      </c>
      <c r="BZ573498">
        <v>6.02</v>
      </c>
      <c r="CB573498">
        <v>3.01</v>
      </c>
      <c r="CC573498">
        <v>3.01</v>
      </c>
      <c r="CD573498">
        <v>3.01</v>
      </c>
      <c r="CI573498">
        <v>6.02</v>
      </c>
      <c r="CJ573498">
        <v>6.02</v>
      </c>
      <c r="CK573498">
        <v>6.02</v>
      </c>
    </row>
    <row r="573499" spans="2:134">
      <c r="B573499">
        <v>307.60000000000002</v>
      </c>
      <c r="BY573499">
        <v>3.34</v>
      </c>
      <c r="BZ573499">
        <v>3.34</v>
      </c>
      <c r="CG573499">
        <v>3.34</v>
      </c>
      <c r="CH573499">
        <v>3.34</v>
      </c>
    </row>
    <row r="573500" spans="2:134">
      <c r="B573500">
        <v>358</v>
      </c>
      <c r="BY573500">
        <v>2.37</v>
      </c>
      <c r="BZ573500">
        <v>2.37</v>
      </c>
      <c r="CA573500">
        <v>2.37</v>
      </c>
      <c r="DX573500">
        <v>4.74</v>
      </c>
      <c r="DY573500">
        <v>4.74</v>
      </c>
    </row>
    <row r="573501" spans="2:134">
      <c r="B573501">
        <v>286</v>
      </c>
      <c r="BT573501">
        <v>1.43</v>
      </c>
      <c r="BV573501">
        <v>1.43</v>
      </c>
      <c r="BW573501">
        <v>1.43</v>
      </c>
      <c r="BX573501">
        <v>1.43</v>
      </c>
      <c r="CO573501">
        <v>2.86</v>
      </c>
      <c r="CP573501">
        <v>2.86</v>
      </c>
      <c r="CQ573501">
        <v>2.86</v>
      </c>
      <c r="CR573501">
        <v>2.86</v>
      </c>
      <c r="CS573501">
        <v>2.86</v>
      </c>
    </row>
    <row r="573502" spans="2:134">
      <c r="B573502">
        <v>410</v>
      </c>
      <c r="BY573502">
        <v>2.88</v>
      </c>
      <c r="BZ573502">
        <v>2.88</v>
      </c>
      <c r="CA573502">
        <v>2.88</v>
      </c>
      <c r="CW573502">
        <v>5.76</v>
      </c>
      <c r="CX573502">
        <v>5.76</v>
      </c>
    </row>
    <row r="573503" spans="2:134">
      <c r="B573503">
        <v>346</v>
      </c>
      <c r="BR573503">
        <v>3.6</v>
      </c>
      <c r="BS573503">
        <v>3.6</v>
      </c>
      <c r="BT573503">
        <v>1.8</v>
      </c>
      <c r="CL573503">
        <v>3.6</v>
      </c>
      <c r="CM573503">
        <v>3.6</v>
      </c>
      <c r="CN573503">
        <v>3.6</v>
      </c>
    </row>
    <row r="573504" spans="2:134">
      <c r="B573504">
        <v>302</v>
      </c>
      <c r="BR573504">
        <v>3.28</v>
      </c>
      <c r="BS573504">
        <v>3.28</v>
      </c>
      <c r="BT573504">
        <v>1.64</v>
      </c>
      <c r="BU573504">
        <v>1.64</v>
      </c>
      <c r="CL573504">
        <v>3.28</v>
      </c>
      <c r="CM573504">
        <v>3.28</v>
      </c>
      <c r="CN573504">
        <v>3.28</v>
      </c>
    </row>
    <row r="573505" spans="2:146">
      <c r="B573505">
        <v>204</v>
      </c>
      <c r="BR573505">
        <v>2.12</v>
      </c>
      <c r="BS573505">
        <v>2.12</v>
      </c>
      <c r="BT573505">
        <v>1.06</v>
      </c>
      <c r="CL573505">
        <v>2.12</v>
      </c>
      <c r="CM573505">
        <v>2.12</v>
      </c>
      <c r="CN573505">
        <v>2.12</v>
      </c>
    </row>
    <row r="573507" spans="2:146">
      <c r="B573507">
        <v>26358.800000000003</v>
      </c>
      <c r="BQ573507">
        <v>0</v>
      </c>
      <c r="BR573507">
        <v>9</v>
      </c>
      <c r="BS573507">
        <v>9</v>
      </c>
      <c r="BT573507">
        <v>5.93</v>
      </c>
      <c r="BU573507">
        <v>1.64</v>
      </c>
      <c r="BV573507">
        <v>6.5299999999999994</v>
      </c>
      <c r="BW573507">
        <v>6.5299999999999994</v>
      </c>
      <c r="BX573507">
        <v>1.43</v>
      </c>
      <c r="BY573507">
        <v>14.61</v>
      </c>
      <c r="BZ573507">
        <v>14.61</v>
      </c>
      <c r="CA573507">
        <v>5.25</v>
      </c>
      <c r="CB573507">
        <v>3.01</v>
      </c>
      <c r="CC573507">
        <v>3.01</v>
      </c>
      <c r="CD573507">
        <v>3.01</v>
      </c>
      <c r="CE573507">
        <v>3.8</v>
      </c>
      <c r="CF573507">
        <v>3.8</v>
      </c>
      <c r="CG573507">
        <v>3.34</v>
      </c>
      <c r="CH573507">
        <v>3.34</v>
      </c>
      <c r="CI573507">
        <v>6.02</v>
      </c>
      <c r="CJ573507">
        <v>6.02</v>
      </c>
      <c r="CK573507">
        <v>6.02</v>
      </c>
      <c r="CL573507">
        <v>9</v>
      </c>
      <c r="CM573507">
        <v>9</v>
      </c>
      <c r="CN573507">
        <v>9</v>
      </c>
      <c r="CO573507">
        <v>2.86</v>
      </c>
      <c r="CP573507">
        <v>2.86</v>
      </c>
      <c r="CQ573507">
        <v>2.86</v>
      </c>
      <c r="CR573507">
        <v>2.86</v>
      </c>
      <c r="CS573507">
        <v>2.86</v>
      </c>
      <c r="CT573507">
        <v>2.5</v>
      </c>
      <c r="CU573507">
        <v>2.5</v>
      </c>
      <c r="CV573507">
        <v>2.5</v>
      </c>
      <c r="CW573507">
        <v>5.76</v>
      </c>
      <c r="CX573507">
        <v>5.76</v>
      </c>
      <c r="CY573507">
        <v>3.98</v>
      </c>
      <c r="CZ573507">
        <v>3.98</v>
      </c>
      <c r="DA573507">
        <v>3.98</v>
      </c>
      <c r="DB573507">
        <v>10.210000000000001</v>
      </c>
      <c r="DC573507">
        <v>10.210000000000001</v>
      </c>
      <c r="DD573507">
        <v>10.210000000000001</v>
      </c>
      <c r="DE573507">
        <v>10.210000000000001</v>
      </c>
      <c r="DF573507">
        <v>10.210000000000001</v>
      </c>
      <c r="DG573507">
        <v>10.210000000000001</v>
      </c>
      <c r="DH573507">
        <v>10.210000000000001</v>
      </c>
      <c r="DI573507">
        <v>47.860000000000007</v>
      </c>
      <c r="DJ573507">
        <v>47.860000000000007</v>
      </c>
      <c r="DK573507">
        <v>10.66</v>
      </c>
      <c r="DL573507">
        <v>14.18</v>
      </c>
      <c r="DM573507">
        <v>10.66</v>
      </c>
      <c r="DN573507">
        <v>10.66</v>
      </c>
      <c r="DO573507">
        <v>3.52</v>
      </c>
      <c r="DP573507">
        <v>0</v>
      </c>
      <c r="DQ573507">
        <v>26.18</v>
      </c>
      <c r="DR573507">
        <v>9.77</v>
      </c>
      <c r="DS573507">
        <v>6.15</v>
      </c>
      <c r="DT573507">
        <v>26.18</v>
      </c>
      <c r="DU573507">
        <v>3.62</v>
      </c>
      <c r="DV573507">
        <v>7.5</v>
      </c>
      <c r="DW573507">
        <v>23.91</v>
      </c>
      <c r="DX573507">
        <v>4.74</v>
      </c>
      <c r="DY573507">
        <v>4.74</v>
      </c>
      <c r="DZ573507">
        <v>1.62</v>
      </c>
      <c r="EA573507">
        <v>1.62</v>
      </c>
      <c r="EB573507">
        <v>1.62</v>
      </c>
      <c r="EC573507">
        <v>0.81</v>
      </c>
      <c r="ED573507">
        <v>0.81</v>
      </c>
      <c r="EE573507">
        <v>8.15</v>
      </c>
      <c r="EF573507">
        <v>8.15</v>
      </c>
      <c r="EG573507">
        <v>8.15</v>
      </c>
      <c r="EH573507">
        <v>8.15</v>
      </c>
      <c r="EI573507">
        <v>8.15</v>
      </c>
      <c r="EJ573507">
        <v>8.15</v>
      </c>
      <c r="EK573507">
        <v>8.15</v>
      </c>
      <c r="EL573507">
        <v>0.66</v>
      </c>
      <c r="EM573507">
        <v>0.66</v>
      </c>
      <c r="EN573507">
        <v>0.66</v>
      </c>
      <c r="EO573507">
        <v>0.66</v>
      </c>
      <c r="EP573507">
        <v>0.66</v>
      </c>
    </row>
    <row r="573508" spans="2:146">
      <c r="B573508" t="s">
        <v>265</v>
      </c>
      <c r="BQ573508" t="s">
        <v>345</v>
      </c>
      <c r="BR573508" t="s">
        <v>131</v>
      </c>
      <c r="BS573508" t="s">
        <v>131</v>
      </c>
      <c r="BT573508" t="s">
        <v>357</v>
      </c>
      <c r="BU573508" t="s">
        <v>131</v>
      </c>
      <c r="BV573508" t="s">
        <v>360</v>
      </c>
      <c r="BW573508" t="s">
        <v>360</v>
      </c>
      <c r="BX573508" t="s">
        <v>360</v>
      </c>
      <c r="BY573508" t="s">
        <v>364</v>
      </c>
      <c r="BZ573508" t="s">
        <v>364</v>
      </c>
      <c r="CA573508" t="s">
        <v>364</v>
      </c>
      <c r="CB573508" t="s">
        <v>368</v>
      </c>
      <c r="CC573508" t="s">
        <v>368</v>
      </c>
      <c r="CD573508" t="s">
        <v>368</v>
      </c>
      <c r="CE573508" t="s">
        <v>352</v>
      </c>
      <c r="CF573508" t="s">
        <v>352</v>
      </c>
      <c r="CG573508" t="s">
        <v>372</v>
      </c>
      <c r="CH573508" t="s">
        <v>372</v>
      </c>
      <c r="CI573508" t="s">
        <v>375</v>
      </c>
      <c r="CJ573508" t="s">
        <v>375</v>
      </c>
      <c r="CK573508" t="s">
        <v>375</v>
      </c>
      <c r="CL573508" t="s">
        <v>379</v>
      </c>
      <c r="CM573508" t="s">
        <v>379</v>
      </c>
      <c r="CN573508" t="s">
        <v>379</v>
      </c>
      <c r="CO573508" t="s">
        <v>383</v>
      </c>
      <c r="CP573508" t="s">
        <v>383</v>
      </c>
      <c r="CQ573508" t="s">
        <v>383</v>
      </c>
      <c r="CR573508" t="s">
        <v>383</v>
      </c>
      <c r="CS573508" t="s">
        <v>383</v>
      </c>
      <c r="CT573508" t="s">
        <v>389</v>
      </c>
      <c r="CU573508" t="s">
        <v>389</v>
      </c>
      <c r="CV573508" t="s">
        <v>389</v>
      </c>
      <c r="CW573508" t="s">
        <v>393</v>
      </c>
      <c r="CX573508" t="s">
        <v>393</v>
      </c>
      <c r="CY573508" t="s">
        <v>396</v>
      </c>
      <c r="CZ573508" t="s">
        <v>396</v>
      </c>
      <c r="DA573508" t="s">
        <v>396</v>
      </c>
      <c r="DB573508" t="s">
        <v>400</v>
      </c>
      <c r="DC573508" t="s">
        <v>400</v>
      </c>
      <c r="DD573508" t="s">
        <v>400</v>
      </c>
      <c r="DE573508" t="s">
        <v>400</v>
      </c>
      <c r="DF573508" t="s">
        <v>400</v>
      </c>
      <c r="DG573508" t="s">
        <v>400</v>
      </c>
      <c r="DH573508" t="s">
        <v>400</v>
      </c>
      <c r="DI573508" t="s">
        <v>121</v>
      </c>
      <c r="DJ573508" t="s">
        <v>121</v>
      </c>
      <c r="DK573508" t="s">
        <v>121</v>
      </c>
      <c r="DL573508" t="s">
        <v>121</v>
      </c>
      <c r="DM573508" t="s">
        <v>121</v>
      </c>
      <c r="DN573508" t="s">
        <v>121</v>
      </c>
      <c r="DO573508" t="s">
        <v>121</v>
      </c>
      <c r="DP573508" t="s">
        <v>121</v>
      </c>
      <c r="DQ573508" t="s">
        <v>121</v>
      </c>
      <c r="DR573508" t="s">
        <v>121</v>
      </c>
      <c r="DS573508" t="s">
        <v>121</v>
      </c>
      <c r="DT573508" t="s">
        <v>121</v>
      </c>
      <c r="DU573508" t="s">
        <v>121</v>
      </c>
      <c r="DV573508" t="s">
        <v>121</v>
      </c>
      <c r="DW573508" t="s">
        <v>121</v>
      </c>
      <c r="DX573508" t="s">
        <v>423</v>
      </c>
      <c r="DY573508" t="s">
        <v>423</v>
      </c>
      <c r="DZ573508" t="s">
        <v>426</v>
      </c>
      <c r="EA573508" t="s">
        <v>426</v>
      </c>
      <c r="EB573508" t="s">
        <v>426</v>
      </c>
      <c r="EC573508" t="s">
        <v>426</v>
      </c>
      <c r="ED573508" t="s">
        <v>426</v>
      </c>
      <c r="EE573508" t="s">
        <v>432</v>
      </c>
      <c r="EF573508" t="s">
        <v>432</v>
      </c>
      <c r="EG573508" t="s">
        <v>432</v>
      </c>
      <c r="EH573508" t="s">
        <v>432</v>
      </c>
      <c r="EI573508" t="s">
        <v>432</v>
      </c>
      <c r="EJ573508" t="s">
        <v>432</v>
      </c>
      <c r="EK573508" t="s">
        <v>432</v>
      </c>
      <c r="EL573508" t="s">
        <v>440</v>
      </c>
      <c r="EM573508" t="s">
        <v>440</v>
      </c>
      <c r="EN573508" t="s">
        <v>440</v>
      </c>
      <c r="EO573508" t="s">
        <v>440</v>
      </c>
      <c r="EP573508" t="s">
        <v>440</v>
      </c>
    </row>
    <row r="573509" spans="2:146">
      <c r="BQ573509" t="s">
        <v>351</v>
      </c>
      <c r="BR573509" t="s">
        <v>355</v>
      </c>
      <c r="BS573509" t="s">
        <v>356</v>
      </c>
      <c r="BT573509" t="s">
        <v>358</v>
      </c>
      <c r="BU573509" t="s">
        <v>359</v>
      </c>
      <c r="BV573509" t="s">
        <v>361</v>
      </c>
      <c r="BW573509" t="s">
        <v>362</v>
      </c>
      <c r="BX573509" t="s">
        <v>363</v>
      </c>
      <c r="BY573509" t="s">
        <v>365</v>
      </c>
      <c r="BZ573509" t="s">
        <v>366</v>
      </c>
      <c r="CA573509" t="s">
        <v>367</v>
      </c>
      <c r="CB573509" t="s">
        <v>369</v>
      </c>
      <c r="CC573509" t="s">
        <v>370</v>
      </c>
      <c r="CD573509" t="s">
        <v>371</v>
      </c>
      <c r="CE573509" t="s">
        <v>353</v>
      </c>
      <c r="CF573509" t="s">
        <v>354</v>
      </c>
      <c r="CG573509" t="s">
        <v>373</v>
      </c>
      <c r="CH573509" t="s">
        <v>374</v>
      </c>
      <c r="CI573509" t="s">
        <v>376</v>
      </c>
      <c r="CJ573509" t="s">
        <v>377</v>
      </c>
      <c r="CK573509" t="s">
        <v>378</v>
      </c>
      <c r="CL573509" t="s">
        <v>380</v>
      </c>
      <c r="CM573509" t="s">
        <v>381</v>
      </c>
      <c r="CN573509" t="s">
        <v>382</v>
      </c>
      <c r="CO573509" t="s">
        <v>384</v>
      </c>
      <c r="CP573509" t="s">
        <v>385</v>
      </c>
      <c r="CQ573509" t="s">
        <v>386</v>
      </c>
      <c r="CR573509" t="s">
        <v>387</v>
      </c>
      <c r="CS573509" t="s">
        <v>388</v>
      </c>
      <c r="CT573509" t="s">
        <v>390</v>
      </c>
      <c r="CU573509" t="s">
        <v>391</v>
      </c>
      <c r="CV573509" t="s">
        <v>392</v>
      </c>
      <c r="CW573509" t="s">
        <v>394</v>
      </c>
      <c r="CX573509" t="s">
        <v>395</v>
      </c>
      <c r="CY573509" t="s">
        <v>397</v>
      </c>
      <c r="CZ573509" t="s">
        <v>398</v>
      </c>
      <c r="DA573509" t="s">
        <v>399</v>
      </c>
      <c r="DB573509" t="s">
        <v>401</v>
      </c>
      <c r="DC573509" t="s">
        <v>402</v>
      </c>
      <c r="DD573509" t="s">
        <v>403</v>
      </c>
      <c r="DE573509" t="s">
        <v>404</v>
      </c>
      <c r="DF573509" t="s">
        <v>405</v>
      </c>
      <c r="DG573509" t="s">
        <v>406</v>
      </c>
      <c r="DH573509" t="s">
        <v>407</v>
      </c>
      <c r="DI573509" t="s">
        <v>408</v>
      </c>
      <c r="DJ573509" t="s">
        <v>409</v>
      </c>
      <c r="DK573509" t="s">
        <v>410</v>
      </c>
      <c r="DL573509" t="s">
        <v>411</v>
      </c>
      <c r="DM573509" t="s">
        <v>412</v>
      </c>
      <c r="DN573509" t="s">
        <v>413</v>
      </c>
      <c r="DO573509" t="s">
        <v>414</v>
      </c>
      <c r="DP573509" t="s">
        <v>415</v>
      </c>
      <c r="DQ573509" t="s">
        <v>416</v>
      </c>
      <c r="DR573509" t="s">
        <v>417</v>
      </c>
      <c r="DS573509" t="s">
        <v>418</v>
      </c>
      <c r="DT573509" t="s">
        <v>419</v>
      </c>
      <c r="DU573509" t="s">
        <v>420</v>
      </c>
      <c r="DV573509" t="s">
        <v>421</v>
      </c>
      <c r="DW573509" t="s">
        <v>422</v>
      </c>
      <c r="DX573509" t="s">
        <v>424</v>
      </c>
      <c r="DY573509" t="s">
        <v>425</v>
      </c>
      <c r="DZ573509" t="s">
        <v>427</v>
      </c>
      <c r="EA573509" t="s">
        <v>428</v>
      </c>
      <c r="EB573509" t="s">
        <v>429</v>
      </c>
      <c r="EC573509" t="s">
        <v>430</v>
      </c>
      <c r="ED573509" t="s">
        <v>431</v>
      </c>
      <c r="EE573509" t="s">
        <v>433</v>
      </c>
      <c r="EF573509" t="s">
        <v>434</v>
      </c>
      <c r="EG573509" t="s">
        <v>435</v>
      </c>
      <c r="EH573509" t="s">
        <v>436</v>
      </c>
      <c r="EI573509" t="s">
        <v>437</v>
      </c>
      <c r="EJ573509" t="s">
        <v>438</v>
      </c>
      <c r="EK573509" t="s">
        <v>439</v>
      </c>
      <c r="EL573509" t="s">
        <v>441</v>
      </c>
      <c r="EM573509" t="s">
        <v>442</v>
      </c>
      <c r="EN573509" t="s">
        <v>443</v>
      </c>
      <c r="EO573509" t="s">
        <v>444</v>
      </c>
      <c r="EP573509" t="s">
        <v>445</v>
      </c>
    </row>
    <row r="573510" spans="2:146">
      <c r="BQ573510">
        <v>67</v>
      </c>
      <c r="BR573510">
        <v>68</v>
      </c>
      <c r="BS573510">
        <v>69</v>
      </c>
      <c r="BT573510">
        <v>70</v>
      </c>
      <c r="BU573510">
        <v>71</v>
      </c>
      <c r="BV573510">
        <v>72</v>
      </c>
      <c r="BW573510">
        <v>73</v>
      </c>
      <c r="BX573510">
        <v>74</v>
      </c>
      <c r="BY573510">
        <v>75</v>
      </c>
      <c r="BZ573510">
        <v>76</v>
      </c>
      <c r="CA573510">
        <v>77</v>
      </c>
      <c r="CB573510">
        <v>78</v>
      </c>
      <c r="CC573510">
        <v>79</v>
      </c>
      <c r="CD573510">
        <v>80</v>
      </c>
      <c r="CE573510">
        <v>81</v>
      </c>
      <c r="CF573510">
        <v>82</v>
      </c>
      <c r="CG573510">
        <v>83</v>
      </c>
      <c r="CH573510">
        <v>84</v>
      </c>
      <c r="CI573510">
        <v>85</v>
      </c>
      <c r="CJ573510">
        <v>86</v>
      </c>
      <c r="CK573510">
        <v>87</v>
      </c>
      <c r="CL573510">
        <v>88</v>
      </c>
      <c r="CM573510">
        <v>89</v>
      </c>
      <c r="CN573510">
        <v>90</v>
      </c>
      <c r="CO573510">
        <v>91</v>
      </c>
      <c r="CP573510">
        <v>92</v>
      </c>
      <c r="CQ573510">
        <v>93</v>
      </c>
      <c r="CR573510">
        <v>94</v>
      </c>
      <c r="CS573510">
        <v>95</v>
      </c>
      <c r="CT573510">
        <v>96</v>
      </c>
      <c r="CU573510">
        <v>97</v>
      </c>
      <c r="CV573510">
        <v>98</v>
      </c>
      <c r="CW573510">
        <v>99</v>
      </c>
      <c r="CX573510">
        <v>100</v>
      </c>
      <c r="CY573510">
        <v>101</v>
      </c>
      <c r="CZ573510">
        <v>102</v>
      </c>
      <c r="DA573510">
        <v>103</v>
      </c>
      <c r="DB573510">
        <v>104</v>
      </c>
      <c r="DC573510">
        <v>105</v>
      </c>
      <c r="DD573510">
        <v>106</v>
      </c>
      <c r="DE573510">
        <v>107</v>
      </c>
      <c r="DF573510">
        <v>108</v>
      </c>
      <c r="DG573510">
        <v>109</v>
      </c>
      <c r="DH573510">
        <v>110</v>
      </c>
      <c r="DI573510">
        <v>111</v>
      </c>
      <c r="DJ573510">
        <v>112</v>
      </c>
      <c r="DK573510">
        <v>113</v>
      </c>
      <c r="DL573510">
        <v>114</v>
      </c>
      <c r="DM573510">
        <v>115</v>
      </c>
      <c r="DN573510">
        <v>116</v>
      </c>
      <c r="DO573510">
        <v>117</v>
      </c>
      <c r="DP573510">
        <v>118</v>
      </c>
      <c r="DQ573510">
        <v>119</v>
      </c>
      <c r="DR573510">
        <v>120</v>
      </c>
      <c r="DS573510">
        <v>121</v>
      </c>
      <c r="DT573510">
        <v>122</v>
      </c>
      <c r="DU573510">
        <v>123</v>
      </c>
      <c r="DV573510">
        <v>124</v>
      </c>
      <c r="DW573510">
        <v>125</v>
      </c>
      <c r="DX573510">
        <v>126</v>
      </c>
      <c r="DY573510">
        <v>127</v>
      </c>
      <c r="DZ573510">
        <v>128</v>
      </c>
      <c r="EA573510">
        <v>129</v>
      </c>
      <c r="EB573510">
        <v>130</v>
      </c>
      <c r="EC573510">
        <v>131</v>
      </c>
      <c r="ED573510">
        <v>132</v>
      </c>
      <c r="EE573510">
        <v>133</v>
      </c>
      <c r="EF573510">
        <v>134</v>
      </c>
      <c r="EG573510">
        <v>135</v>
      </c>
      <c r="EH573510">
        <v>136</v>
      </c>
      <c r="EI573510">
        <v>137</v>
      </c>
      <c r="EJ573510">
        <v>138</v>
      </c>
      <c r="EK573510">
        <v>139</v>
      </c>
      <c r="EL573510">
        <v>140</v>
      </c>
      <c r="EM573510">
        <v>141</v>
      </c>
      <c r="EN573510">
        <v>142</v>
      </c>
      <c r="EO573510">
        <v>143</v>
      </c>
      <c r="EP573510">
        <v>144</v>
      </c>
    </row>
    <row r="573511" spans="2:146">
      <c r="CE573511" t="s">
        <v>451</v>
      </c>
    </row>
    <row r="589826" spans="2:2">
      <c r="B589826">
        <v>200</v>
      </c>
    </row>
    <row r="589827" spans="2:2">
      <c r="B589827">
        <v>200</v>
      </c>
    </row>
    <row r="589828" spans="2:2">
      <c r="B589828">
        <v>800</v>
      </c>
    </row>
    <row r="589829" spans="2:2">
      <c r="B589829">
        <v>200</v>
      </c>
    </row>
    <row r="589830" spans="2:2">
      <c r="B589830">
        <v>1044</v>
      </c>
    </row>
    <row r="589831" spans="2:2">
      <c r="B589831">
        <v>998.40000000000009</v>
      </c>
    </row>
    <row r="589832" spans="2:2">
      <c r="B589832">
        <v>272</v>
      </c>
    </row>
    <row r="589833" spans="2:2">
      <c r="B589833">
        <v>200</v>
      </c>
    </row>
    <row r="589834" spans="2:2">
      <c r="B589834">
        <v>214</v>
      </c>
    </row>
    <row r="589835" spans="2:2">
      <c r="B589835">
        <v>200</v>
      </c>
    </row>
    <row r="589836" spans="2:2">
      <c r="B589836">
        <v>152</v>
      </c>
    </row>
    <row r="589837" spans="2:2">
      <c r="B589837">
        <v>200</v>
      </c>
    </row>
    <row r="589838" spans="2:2">
      <c r="B589838">
        <v>300</v>
      </c>
    </row>
    <row r="589839" spans="2:2">
      <c r="B589839">
        <v>104</v>
      </c>
    </row>
    <row r="589840" spans="2:2">
      <c r="B589840">
        <v>162</v>
      </c>
    </row>
    <row r="589841" spans="2:2">
      <c r="B589841">
        <v>200</v>
      </c>
    </row>
    <row r="589842" spans="2:2">
      <c r="B589842">
        <v>200</v>
      </c>
    </row>
    <row r="589843" spans="2:2">
      <c r="B589843">
        <v>200</v>
      </c>
    </row>
    <row r="589844" spans="2:2">
      <c r="B589844">
        <v>200</v>
      </c>
    </row>
    <row r="589845" spans="2:2">
      <c r="B589845">
        <v>200</v>
      </c>
    </row>
    <row r="589846" spans="2:2">
      <c r="B589846">
        <v>200</v>
      </c>
    </row>
    <row r="589847" spans="2:2">
      <c r="B589847">
        <v>200</v>
      </c>
    </row>
    <row r="589848" spans="2:2">
      <c r="B589848">
        <v>200</v>
      </c>
    </row>
    <row r="589849" spans="2:2">
      <c r="B589849">
        <v>800</v>
      </c>
    </row>
    <row r="589850" spans="2:2">
      <c r="B589850">
        <v>300</v>
      </c>
    </row>
    <row r="589851" spans="2:2">
      <c r="B589851">
        <v>778</v>
      </c>
    </row>
    <row r="589852" spans="2:2">
      <c r="B589852">
        <v>614</v>
      </c>
    </row>
    <row r="589853" spans="2:2">
      <c r="B589853">
        <v>444</v>
      </c>
    </row>
    <row r="589854" spans="2:2">
      <c r="B589854">
        <v>800</v>
      </c>
    </row>
    <row r="589855" spans="2:2">
      <c r="B589855">
        <v>200</v>
      </c>
    </row>
    <row r="589856" spans="2:2">
      <c r="B589856">
        <v>780</v>
      </c>
    </row>
    <row r="589857" spans="2:146">
      <c r="B589857">
        <v>174</v>
      </c>
    </row>
    <row r="589858" spans="2:146">
      <c r="B589858">
        <v>194</v>
      </c>
    </row>
    <row r="589859" spans="2:146">
      <c r="B589859">
        <v>782</v>
      </c>
    </row>
    <row r="589860" spans="2:146">
      <c r="B589860">
        <v>236</v>
      </c>
    </row>
    <row r="589861" spans="2:146">
      <c r="B589861">
        <v>144</v>
      </c>
    </row>
    <row r="589862" spans="2:146">
      <c r="B589862">
        <v>200</v>
      </c>
    </row>
    <row r="589863" spans="2:146">
      <c r="B589863">
        <v>240</v>
      </c>
    </row>
    <row r="589864" spans="2:146">
      <c r="B589864">
        <v>200</v>
      </c>
    </row>
    <row r="589865" spans="2:146">
      <c r="B589865">
        <v>612</v>
      </c>
    </row>
    <row r="589866" spans="2:146">
      <c r="B589866">
        <v>156</v>
      </c>
    </row>
    <row r="589867" spans="2:146">
      <c r="B589867">
        <v>116</v>
      </c>
    </row>
    <row r="589868" spans="2:146">
      <c r="B589868">
        <v>160</v>
      </c>
    </row>
    <row r="589869" spans="2:146">
      <c r="B589869">
        <v>80</v>
      </c>
      <c r="EL589869">
        <v>0.66</v>
      </c>
      <c r="EM589869">
        <v>0.66</v>
      </c>
      <c r="EN589869">
        <v>0.66</v>
      </c>
      <c r="EO589869">
        <v>0.66</v>
      </c>
      <c r="EP589869">
        <v>0.66</v>
      </c>
    </row>
    <row r="589870" spans="2:146">
      <c r="B589870">
        <v>1144</v>
      </c>
      <c r="BV589870">
        <v>5.0999999999999996</v>
      </c>
      <c r="BW589870">
        <v>5.0999999999999996</v>
      </c>
      <c r="DB589870">
        <v>10.210000000000001</v>
      </c>
      <c r="DC589870">
        <v>10.210000000000001</v>
      </c>
      <c r="DD589870">
        <v>10.210000000000001</v>
      </c>
      <c r="DE589870">
        <v>10.210000000000001</v>
      </c>
      <c r="DF589870">
        <v>10.210000000000001</v>
      </c>
      <c r="DG589870">
        <v>10.210000000000001</v>
      </c>
      <c r="DH589870">
        <v>10.210000000000001</v>
      </c>
    </row>
    <row r="589871" spans="2:146">
      <c r="B589871">
        <v>1240</v>
      </c>
      <c r="EE589871">
        <v>8.15</v>
      </c>
      <c r="EF589871">
        <v>8.15</v>
      </c>
      <c r="EG589871">
        <v>8.15</v>
      </c>
      <c r="EH589871">
        <v>8.15</v>
      </c>
      <c r="EI589871">
        <v>8.15</v>
      </c>
      <c r="EJ589871">
        <v>8.15</v>
      </c>
      <c r="EK589871">
        <v>8.15</v>
      </c>
    </row>
    <row r="589872" spans="2:146">
      <c r="B589872">
        <v>2083.2000000000003</v>
      </c>
      <c r="DI589872">
        <v>20.03</v>
      </c>
      <c r="DJ589872">
        <v>20.03</v>
      </c>
      <c r="DQ589872">
        <v>20.03</v>
      </c>
      <c r="DT589872">
        <v>20.03</v>
      </c>
      <c r="DW589872">
        <v>20.03</v>
      </c>
    </row>
    <row r="589873" spans="2:134">
      <c r="B589873">
        <v>357.20000000000005</v>
      </c>
      <c r="DI589873">
        <v>3.88</v>
      </c>
      <c r="DJ589873">
        <v>3.88</v>
      </c>
      <c r="DV589873">
        <v>3.88</v>
      </c>
      <c r="DW589873">
        <v>3.88</v>
      </c>
    </row>
    <row r="589874" spans="2:134">
      <c r="B589874">
        <v>391.20000000000005</v>
      </c>
      <c r="DI589874">
        <v>3.62</v>
      </c>
      <c r="DJ589874">
        <v>3.62</v>
      </c>
      <c r="DR589874">
        <v>3.62</v>
      </c>
      <c r="DU589874">
        <v>3.62</v>
      </c>
      <c r="DV589874">
        <v>3.62</v>
      </c>
    </row>
    <row r="589875" spans="2:134">
      <c r="B589875">
        <v>762.80000000000007</v>
      </c>
      <c r="DI589875">
        <v>6.15</v>
      </c>
      <c r="DJ589875">
        <v>6.15</v>
      </c>
      <c r="DQ589875">
        <v>6.15</v>
      </c>
      <c r="DR589875">
        <v>6.15</v>
      </c>
      <c r="DS589875">
        <v>6.15</v>
      </c>
      <c r="DT589875">
        <v>6.15</v>
      </c>
    </row>
    <row r="589876" spans="2:134">
      <c r="B589876">
        <v>1280</v>
      </c>
      <c r="DI589876">
        <v>10.66</v>
      </c>
      <c r="DJ589876">
        <v>10.66</v>
      </c>
      <c r="DK589876">
        <v>10.66</v>
      </c>
      <c r="DL589876">
        <v>10.66</v>
      </c>
      <c r="DM589876">
        <v>10.66</v>
      </c>
      <c r="DN589876">
        <v>10.66</v>
      </c>
    </row>
    <row r="589877" spans="2:134">
      <c r="B589877">
        <v>234</v>
      </c>
      <c r="CT589877">
        <v>2.5</v>
      </c>
      <c r="CU589877">
        <v>2.5</v>
      </c>
      <c r="CV589877">
        <v>2.5</v>
      </c>
    </row>
    <row r="589878" spans="2:134">
      <c r="B589878">
        <v>354</v>
      </c>
      <c r="CY589878">
        <v>3.98</v>
      </c>
      <c r="CZ589878">
        <v>3.98</v>
      </c>
      <c r="DA589878">
        <v>3.98</v>
      </c>
    </row>
    <row r="589879" spans="2:134">
      <c r="B589879">
        <v>392</v>
      </c>
      <c r="DI589879">
        <v>3.52</v>
      </c>
      <c r="DJ589879">
        <v>3.52</v>
      </c>
      <c r="DL589879">
        <v>3.52</v>
      </c>
      <c r="DO589879">
        <v>3.52</v>
      </c>
    </row>
    <row r="589880" spans="2:134">
      <c r="B589880">
        <v>304</v>
      </c>
      <c r="CE589880">
        <v>3.8</v>
      </c>
      <c r="CF589880">
        <v>3.8</v>
      </c>
    </row>
    <row r="589881" spans="2:134">
      <c r="B589881">
        <v>144</v>
      </c>
      <c r="DZ589881">
        <v>1.62</v>
      </c>
      <c r="EA589881">
        <v>1.62</v>
      </c>
      <c r="EB589881">
        <v>1.62</v>
      </c>
      <c r="EC589881">
        <v>0.81</v>
      </c>
      <c r="ED589881">
        <v>0.81</v>
      </c>
    </row>
    <row r="589882" spans="2:134">
      <c r="B589882">
        <v>602.40000000000009</v>
      </c>
      <c r="BY589882">
        <v>6.02</v>
      </c>
      <c r="BZ589882">
        <v>6.02</v>
      </c>
      <c r="CB589882">
        <v>3.01</v>
      </c>
      <c r="CC589882">
        <v>3.01</v>
      </c>
      <c r="CD589882">
        <v>3.01</v>
      </c>
      <c r="CI589882">
        <v>6.02</v>
      </c>
      <c r="CJ589882">
        <v>6.02</v>
      </c>
      <c r="CK589882">
        <v>6.02</v>
      </c>
    </row>
    <row r="589883" spans="2:134">
      <c r="B589883">
        <v>307.60000000000002</v>
      </c>
      <c r="BY589883">
        <v>3.34</v>
      </c>
      <c r="BZ589883">
        <v>3.34</v>
      </c>
      <c r="CG589883">
        <v>3.34</v>
      </c>
      <c r="CH589883">
        <v>3.34</v>
      </c>
    </row>
    <row r="589884" spans="2:134">
      <c r="B589884">
        <v>358</v>
      </c>
      <c r="BY589884">
        <v>2.37</v>
      </c>
      <c r="BZ589884">
        <v>2.37</v>
      </c>
      <c r="CA589884">
        <v>2.37</v>
      </c>
      <c r="DX589884">
        <v>4.74</v>
      </c>
      <c r="DY589884">
        <v>4.74</v>
      </c>
    </row>
    <row r="589885" spans="2:134">
      <c r="B589885">
        <v>286</v>
      </c>
      <c r="BT589885">
        <v>1.43</v>
      </c>
      <c r="BV589885">
        <v>1.43</v>
      </c>
      <c r="BW589885">
        <v>1.43</v>
      </c>
      <c r="BX589885">
        <v>1.43</v>
      </c>
      <c r="CO589885">
        <v>2.86</v>
      </c>
      <c r="CP589885">
        <v>2.86</v>
      </c>
      <c r="CQ589885">
        <v>2.86</v>
      </c>
      <c r="CR589885">
        <v>2.86</v>
      </c>
      <c r="CS589885">
        <v>2.86</v>
      </c>
    </row>
    <row r="589886" spans="2:134">
      <c r="B589886">
        <v>410</v>
      </c>
      <c r="BY589886">
        <v>2.88</v>
      </c>
      <c r="BZ589886">
        <v>2.88</v>
      </c>
      <c r="CA589886">
        <v>2.88</v>
      </c>
      <c r="CW589886">
        <v>5.76</v>
      </c>
      <c r="CX589886">
        <v>5.76</v>
      </c>
    </row>
    <row r="589887" spans="2:134">
      <c r="B589887">
        <v>346</v>
      </c>
      <c r="BR589887">
        <v>3.6</v>
      </c>
      <c r="BS589887">
        <v>3.6</v>
      </c>
      <c r="BT589887">
        <v>1.8</v>
      </c>
      <c r="CL589887">
        <v>3.6</v>
      </c>
      <c r="CM589887">
        <v>3.6</v>
      </c>
      <c r="CN589887">
        <v>3.6</v>
      </c>
    </row>
    <row r="589888" spans="2:134">
      <c r="B589888">
        <v>302</v>
      </c>
      <c r="BR589888">
        <v>3.28</v>
      </c>
      <c r="BS589888">
        <v>3.28</v>
      </c>
      <c r="BT589888">
        <v>1.64</v>
      </c>
      <c r="BU589888">
        <v>1.64</v>
      </c>
      <c r="CL589888">
        <v>3.28</v>
      </c>
      <c r="CM589888">
        <v>3.28</v>
      </c>
      <c r="CN589888">
        <v>3.28</v>
      </c>
    </row>
    <row r="589889" spans="2:146">
      <c r="B589889">
        <v>204</v>
      </c>
      <c r="BR589889">
        <v>2.12</v>
      </c>
      <c r="BS589889">
        <v>2.12</v>
      </c>
      <c r="BT589889">
        <v>1.06</v>
      </c>
      <c r="CL589889">
        <v>2.12</v>
      </c>
      <c r="CM589889">
        <v>2.12</v>
      </c>
      <c r="CN589889">
        <v>2.12</v>
      </c>
    </row>
    <row r="589891" spans="2:146">
      <c r="B589891">
        <v>26358.800000000003</v>
      </c>
      <c r="BQ589891">
        <v>0</v>
      </c>
      <c r="BR589891">
        <v>9</v>
      </c>
      <c r="BS589891">
        <v>9</v>
      </c>
      <c r="BT589891">
        <v>5.93</v>
      </c>
      <c r="BU589891">
        <v>1.64</v>
      </c>
      <c r="BV589891">
        <v>6.5299999999999994</v>
      </c>
      <c r="BW589891">
        <v>6.5299999999999994</v>
      </c>
      <c r="BX589891">
        <v>1.43</v>
      </c>
      <c r="BY589891">
        <v>14.61</v>
      </c>
      <c r="BZ589891">
        <v>14.61</v>
      </c>
      <c r="CA589891">
        <v>5.25</v>
      </c>
      <c r="CB589891">
        <v>3.01</v>
      </c>
      <c r="CC589891">
        <v>3.01</v>
      </c>
      <c r="CD589891">
        <v>3.01</v>
      </c>
      <c r="CE589891">
        <v>3.8</v>
      </c>
      <c r="CF589891">
        <v>3.8</v>
      </c>
      <c r="CG589891">
        <v>3.34</v>
      </c>
      <c r="CH589891">
        <v>3.34</v>
      </c>
      <c r="CI589891">
        <v>6.02</v>
      </c>
      <c r="CJ589891">
        <v>6.02</v>
      </c>
      <c r="CK589891">
        <v>6.02</v>
      </c>
      <c r="CL589891">
        <v>9</v>
      </c>
      <c r="CM589891">
        <v>9</v>
      </c>
      <c r="CN589891">
        <v>9</v>
      </c>
      <c r="CO589891">
        <v>2.86</v>
      </c>
      <c r="CP589891">
        <v>2.86</v>
      </c>
      <c r="CQ589891">
        <v>2.86</v>
      </c>
      <c r="CR589891">
        <v>2.86</v>
      </c>
      <c r="CS589891">
        <v>2.86</v>
      </c>
      <c r="CT589891">
        <v>2.5</v>
      </c>
      <c r="CU589891">
        <v>2.5</v>
      </c>
      <c r="CV589891">
        <v>2.5</v>
      </c>
      <c r="CW589891">
        <v>5.76</v>
      </c>
      <c r="CX589891">
        <v>5.76</v>
      </c>
      <c r="CY589891">
        <v>3.98</v>
      </c>
      <c r="CZ589891">
        <v>3.98</v>
      </c>
      <c r="DA589891">
        <v>3.98</v>
      </c>
      <c r="DB589891">
        <v>10.210000000000001</v>
      </c>
      <c r="DC589891">
        <v>10.210000000000001</v>
      </c>
      <c r="DD589891">
        <v>10.210000000000001</v>
      </c>
      <c r="DE589891">
        <v>10.210000000000001</v>
      </c>
      <c r="DF589891">
        <v>10.210000000000001</v>
      </c>
      <c r="DG589891">
        <v>10.210000000000001</v>
      </c>
      <c r="DH589891">
        <v>10.210000000000001</v>
      </c>
      <c r="DI589891">
        <v>47.860000000000007</v>
      </c>
      <c r="DJ589891">
        <v>47.860000000000007</v>
      </c>
      <c r="DK589891">
        <v>10.66</v>
      </c>
      <c r="DL589891">
        <v>14.18</v>
      </c>
      <c r="DM589891">
        <v>10.66</v>
      </c>
      <c r="DN589891">
        <v>10.66</v>
      </c>
      <c r="DO589891">
        <v>3.52</v>
      </c>
      <c r="DP589891">
        <v>0</v>
      </c>
      <c r="DQ589891">
        <v>26.18</v>
      </c>
      <c r="DR589891">
        <v>9.77</v>
      </c>
      <c r="DS589891">
        <v>6.15</v>
      </c>
      <c r="DT589891">
        <v>26.18</v>
      </c>
      <c r="DU589891">
        <v>3.62</v>
      </c>
      <c r="DV589891">
        <v>7.5</v>
      </c>
      <c r="DW589891">
        <v>23.91</v>
      </c>
      <c r="DX589891">
        <v>4.74</v>
      </c>
      <c r="DY589891">
        <v>4.74</v>
      </c>
      <c r="DZ589891">
        <v>1.62</v>
      </c>
      <c r="EA589891">
        <v>1.62</v>
      </c>
      <c r="EB589891">
        <v>1.62</v>
      </c>
      <c r="EC589891">
        <v>0.81</v>
      </c>
      <c r="ED589891">
        <v>0.81</v>
      </c>
      <c r="EE589891">
        <v>8.15</v>
      </c>
      <c r="EF589891">
        <v>8.15</v>
      </c>
      <c r="EG589891">
        <v>8.15</v>
      </c>
      <c r="EH589891">
        <v>8.15</v>
      </c>
      <c r="EI589891">
        <v>8.15</v>
      </c>
      <c r="EJ589891">
        <v>8.15</v>
      </c>
      <c r="EK589891">
        <v>8.15</v>
      </c>
      <c r="EL589891">
        <v>0.66</v>
      </c>
      <c r="EM589891">
        <v>0.66</v>
      </c>
      <c r="EN589891">
        <v>0.66</v>
      </c>
      <c r="EO589891">
        <v>0.66</v>
      </c>
      <c r="EP589891">
        <v>0.66</v>
      </c>
    </row>
    <row r="589892" spans="2:146">
      <c r="B589892" t="s">
        <v>265</v>
      </c>
      <c r="BQ589892" t="s">
        <v>345</v>
      </c>
      <c r="BR589892" t="s">
        <v>131</v>
      </c>
      <c r="BS589892" t="s">
        <v>131</v>
      </c>
      <c r="BT589892" t="s">
        <v>357</v>
      </c>
      <c r="BU589892" t="s">
        <v>131</v>
      </c>
      <c r="BV589892" t="s">
        <v>360</v>
      </c>
      <c r="BW589892" t="s">
        <v>360</v>
      </c>
      <c r="BX589892" t="s">
        <v>360</v>
      </c>
      <c r="BY589892" t="s">
        <v>364</v>
      </c>
      <c r="BZ589892" t="s">
        <v>364</v>
      </c>
      <c r="CA589892" t="s">
        <v>364</v>
      </c>
      <c r="CB589892" t="s">
        <v>368</v>
      </c>
      <c r="CC589892" t="s">
        <v>368</v>
      </c>
      <c r="CD589892" t="s">
        <v>368</v>
      </c>
      <c r="CE589892" t="s">
        <v>352</v>
      </c>
      <c r="CF589892" t="s">
        <v>352</v>
      </c>
      <c r="CG589892" t="s">
        <v>372</v>
      </c>
      <c r="CH589892" t="s">
        <v>372</v>
      </c>
      <c r="CI589892" t="s">
        <v>375</v>
      </c>
      <c r="CJ589892" t="s">
        <v>375</v>
      </c>
      <c r="CK589892" t="s">
        <v>375</v>
      </c>
      <c r="CL589892" t="s">
        <v>379</v>
      </c>
      <c r="CM589892" t="s">
        <v>379</v>
      </c>
      <c r="CN589892" t="s">
        <v>379</v>
      </c>
      <c r="CO589892" t="s">
        <v>383</v>
      </c>
      <c r="CP589892" t="s">
        <v>383</v>
      </c>
      <c r="CQ589892" t="s">
        <v>383</v>
      </c>
      <c r="CR589892" t="s">
        <v>383</v>
      </c>
      <c r="CS589892" t="s">
        <v>383</v>
      </c>
      <c r="CT589892" t="s">
        <v>389</v>
      </c>
      <c r="CU589892" t="s">
        <v>389</v>
      </c>
      <c r="CV589892" t="s">
        <v>389</v>
      </c>
      <c r="CW589892" t="s">
        <v>393</v>
      </c>
      <c r="CX589892" t="s">
        <v>393</v>
      </c>
      <c r="CY589892" t="s">
        <v>396</v>
      </c>
      <c r="CZ589892" t="s">
        <v>396</v>
      </c>
      <c r="DA589892" t="s">
        <v>396</v>
      </c>
      <c r="DB589892" t="s">
        <v>400</v>
      </c>
      <c r="DC589892" t="s">
        <v>400</v>
      </c>
      <c r="DD589892" t="s">
        <v>400</v>
      </c>
      <c r="DE589892" t="s">
        <v>400</v>
      </c>
      <c r="DF589892" t="s">
        <v>400</v>
      </c>
      <c r="DG589892" t="s">
        <v>400</v>
      </c>
      <c r="DH589892" t="s">
        <v>400</v>
      </c>
      <c r="DI589892" t="s">
        <v>121</v>
      </c>
      <c r="DJ589892" t="s">
        <v>121</v>
      </c>
      <c r="DK589892" t="s">
        <v>121</v>
      </c>
      <c r="DL589892" t="s">
        <v>121</v>
      </c>
      <c r="DM589892" t="s">
        <v>121</v>
      </c>
      <c r="DN589892" t="s">
        <v>121</v>
      </c>
      <c r="DO589892" t="s">
        <v>121</v>
      </c>
      <c r="DP589892" t="s">
        <v>121</v>
      </c>
      <c r="DQ589892" t="s">
        <v>121</v>
      </c>
      <c r="DR589892" t="s">
        <v>121</v>
      </c>
      <c r="DS589892" t="s">
        <v>121</v>
      </c>
      <c r="DT589892" t="s">
        <v>121</v>
      </c>
      <c r="DU589892" t="s">
        <v>121</v>
      </c>
      <c r="DV589892" t="s">
        <v>121</v>
      </c>
      <c r="DW589892" t="s">
        <v>121</v>
      </c>
      <c r="DX589892" t="s">
        <v>423</v>
      </c>
      <c r="DY589892" t="s">
        <v>423</v>
      </c>
      <c r="DZ589892" t="s">
        <v>426</v>
      </c>
      <c r="EA589892" t="s">
        <v>426</v>
      </c>
      <c r="EB589892" t="s">
        <v>426</v>
      </c>
      <c r="EC589892" t="s">
        <v>426</v>
      </c>
      <c r="ED589892" t="s">
        <v>426</v>
      </c>
      <c r="EE589892" t="s">
        <v>432</v>
      </c>
      <c r="EF589892" t="s">
        <v>432</v>
      </c>
      <c r="EG589892" t="s">
        <v>432</v>
      </c>
      <c r="EH589892" t="s">
        <v>432</v>
      </c>
      <c r="EI589892" t="s">
        <v>432</v>
      </c>
      <c r="EJ589892" t="s">
        <v>432</v>
      </c>
      <c r="EK589892" t="s">
        <v>432</v>
      </c>
      <c r="EL589892" t="s">
        <v>440</v>
      </c>
      <c r="EM589892" t="s">
        <v>440</v>
      </c>
      <c r="EN589892" t="s">
        <v>440</v>
      </c>
      <c r="EO589892" t="s">
        <v>440</v>
      </c>
      <c r="EP589892" t="s">
        <v>440</v>
      </c>
    </row>
    <row r="589893" spans="2:146">
      <c r="BQ589893" t="s">
        <v>351</v>
      </c>
      <c r="BR589893" t="s">
        <v>355</v>
      </c>
      <c r="BS589893" t="s">
        <v>356</v>
      </c>
      <c r="BT589893" t="s">
        <v>358</v>
      </c>
      <c r="BU589893" t="s">
        <v>359</v>
      </c>
      <c r="BV589893" t="s">
        <v>361</v>
      </c>
      <c r="BW589893" t="s">
        <v>362</v>
      </c>
      <c r="BX589893" t="s">
        <v>363</v>
      </c>
      <c r="BY589893" t="s">
        <v>365</v>
      </c>
      <c r="BZ589893" t="s">
        <v>366</v>
      </c>
      <c r="CA589893" t="s">
        <v>367</v>
      </c>
      <c r="CB589893" t="s">
        <v>369</v>
      </c>
      <c r="CC589893" t="s">
        <v>370</v>
      </c>
      <c r="CD589893" t="s">
        <v>371</v>
      </c>
      <c r="CE589893" t="s">
        <v>353</v>
      </c>
      <c r="CF589893" t="s">
        <v>354</v>
      </c>
      <c r="CG589893" t="s">
        <v>373</v>
      </c>
      <c r="CH589893" t="s">
        <v>374</v>
      </c>
      <c r="CI589893" t="s">
        <v>376</v>
      </c>
      <c r="CJ589893" t="s">
        <v>377</v>
      </c>
      <c r="CK589893" t="s">
        <v>378</v>
      </c>
      <c r="CL589893" t="s">
        <v>380</v>
      </c>
      <c r="CM589893" t="s">
        <v>381</v>
      </c>
      <c r="CN589893" t="s">
        <v>382</v>
      </c>
      <c r="CO589893" t="s">
        <v>384</v>
      </c>
      <c r="CP589893" t="s">
        <v>385</v>
      </c>
      <c r="CQ589893" t="s">
        <v>386</v>
      </c>
      <c r="CR589893" t="s">
        <v>387</v>
      </c>
      <c r="CS589893" t="s">
        <v>388</v>
      </c>
      <c r="CT589893" t="s">
        <v>390</v>
      </c>
      <c r="CU589893" t="s">
        <v>391</v>
      </c>
      <c r="CV589893" t="s">
        <v>392</v>
      </c>
      <c r="CW589893" t="s">
        <v>394</v>
      </c>
      <c r="CX589893" t="s">
        <v>395</v>
      </c>
      <c r="CY589893" t="s">
        <v>397</v>
      </c>
      <c r="CZ589893" t="s">
        <v>398</v>
      </c>
      <c r="DA589893" t="s">
        <v>399</v>
      </c>
      <c r="DB589893" t="s">
        <v>401</v>
      </c>
      <c r="DC589893" t="s">
        <v>402</v>
      </c>
      <c r="DD589893" t="s">
        <v>403</v>
      </c>
      <c r="DE589893" t="s">
        <v>404</v>
      </c>
      <c r="DF589893" t="s">
        <v>405</v>
      </c>
      <c r="DG589893" t="s">
        <v>406</v>
      </c>
      <c r="DH589893" t="s">
        <v>407</v>
      </c>
      <c r="DI589893" t="s">
        <v>408</v>
      </c>
      <c r="DJ589893" t="s">
        <v>409</v>
      </c>
      <c r="DK589893" t="s">
        <v>410</v>
      </c>
      <c r="DL589893" t="s">
        <v>411</v>
      </c>
      <c r="DM589893" t="s">
        <v>412</v>
      </c>
      <c r="DN589893" t="s">
        <v>413</v>
      </c>
      <c r="DO589893" t="s">
        <v>414</v>
      </c>
      <c r="DP589893" t="s">
        <v>415</v>
      </c>
      <c r="DQ589893" t="s">
        <v>416</v>
      </c>
      <c r="DR589893" t="s">
        <v>417</v>
      </c>
      <c r="DS589893" t="s">
        <v>418</v>
      </c>
      <c r="DT589893" t="s">
        <v>419</v>
      </c>
      <c r="DU589893" t="s">
        <v>420</v>
      </c>
      <c r="DV589893" t="s">
        <v>421</v>
      </c>
      <c r="DW589893" t="s">
        <v>422</v>
      </c>
      <c r="DX589893" t="s">
        <v>424</v>
      </c>
      <c r="DY589893" t="s">
        <v>425</v>
      </c>
      <c r="DZ589893" t="s">
        <v>427</v>
      </c>
      <c r="EA589893" t="s">
        <v>428</v>
      </c>
      <c r="EB589893" t="s">
        <v>429</v>
      </c>
      <c r="EC589893" t="s">
        <v>430</v>
      </c>
      <c r="ED589893" t="s">
        <v>431</v>
      </c>
      <c r="EE589893" t="s">
        <v>433</v>
      </c>
      <c r="EF589893" t="s">
        <v>434</v>
      </c>
      <c r="EG589893" t="s">
        <v>435</v>
      </c>
      <c r="EH589893" t="s">
        <v>436</v>
      </c>
      <c r="EI589893" t="s">
        <v>437</v>
      </c>
      <c r="EJ589893" t="s">
        <v>438</v>
      </c>
      <c r="EK589893" t="s">
        <v>439</v>
      </c>
      <c r="EL589893" t="s">
        <v>441</v>
      </c>
      <c r="EM589893" t="s">
        <v>442</v>
      </c>
      <c r="EN589893" t="s">
        <v>443</v>
      </c>
      <c r="EO589893" t="s">
        <v>444</v>
      </c>
      <c r="EP589893" t="s">
        <v>445</v>
      </c>
    </row>
    <row r="589894" spans="2:146">
      <c r="BQ589894">
        <v>67</v>
      </c>
      <c r="BR589894">
        <v>68</v>
      </c>
      <c r="BS589894">
        <v>69</v>
      </c>
      <c r="BT589894">
        <v>70</v>
      </c>
      <c r="BU589894">
        <v>71</v>
      </c>
      <c r="BV589894">
        <v>72</v>
      </c>
      <c r="BW589894">
        <v>73</v>
      </c>
      <c r="BX589894">
        <v>74</v>
      </c>
      <c r="BY589894">
        <v>75</v>
      </c>
      <c r="BZ589894">
        <v>76</v>
      </c>
      <c r="CA589894">
        <v>77</v>
      </c>
      <c r="CB589894">
        <v>78</v>
      </c>
      <c r="CC589894">
        <v>79</v>
      </c>
      <c r="CD589894">
        <v>80</v>
      </c>
      <c r="CE589894">
        <v>81</v>
      </c>
      <c r="CF589894">
        <v>82</v>
      </c>
      <c r="CG589894">
        <v>83</v>
      </c>
      <c r="CH589894">
        <v>84</v>
      </c>
      <c r="CI589894">
        <v>85</v>
      </c>
      <c r="CJ589894">
        <v>86</v>
      </c>
      <c r="CK589894">
        <v>87</v>
      </c>
      <c r="CL589894">
        <v>88</v>
      </c>
      <c r="CM589894">
        <v>89</v>
      </c>
      <c r="CN589894">
        <v>90</v>
      </c>
      <c r="CO589894">
        <v>91</v>
      </c>
      <c r="CP589894">
        <v>92</v>
      </c>
      <c r="CQ589894">
        <v>93</v>
      </c>
      <c r="CR589894">
        <v>94</v>
      </c>
      <c r="CS589894">
        <v>95</v>
      </c>
      <c r="CT589894">
        <v>96</v>
      </c>
      <c r="CU589894">
        <v>97</v>
      </c>
      <c r="CV589894">
        <v>98</v>
      </c>
      <c r="CW589894">
        <v>99</v>
      </c>
      <c r="CX589894">
        <v>100</v>
      </c>
      <c r="CY589894">
        <v>101</v>
      </c>
      <c r="CZ589894">
        <v>102</v>
      </c>
      <c r="DA589894">
        <v>103</v>
      </c>
      <c r="DB589894">
        <v>104</v>
      </c>
      <c r="DC589894">
        <v>105</v>
      </c>
      <c r="DD589894">
        <v>106</v>
      </c>
      <c r="DE589894">
        <v>107</v>
      </c>
      <c r="DF589894">
        <v>108</v>
      </c>
      <c r="DG589894">
        <v>109</v>
      </c>
      <c r="DH589894">
        <v>110</v>
      </c>
      <c r="DI589894">
        <v>111</v>
      </c>
      <c r="DJ589894">
        <v>112</v>
      </c>
      <c r="DK589894">
        <v>113</v>
      </c>
      <c r="DL589894">
        <v>114</v>
      </c>
      <c r="DM589894">
        <v>115</v>
      </c>
      <c r="DN589894">
        <v>116</v>
      </c>
      <c r="DO589894">
        <v>117</v>
      </c>
      <c r="DP589894">
        <v>118</v>
      </c>
      <c r="DQ589894">
        <v>119</v>
      </c>
      <c r="DR589894">
        <v>120</v>
      </c>
      <c r="DS589894">
        <v>121</v>
      </c>
      <c r="DT589894">
        <v>122</v>
      </c>
      <c r="DU589894">
        <v>123</v>
      </c>
      <c r="DV589894">
        <v>124</v>
      </c>
      <c r="DW589894">
        <v>125</v>
      </c>
      <c r="DX589894">
        <v>126</v>
      </c>
      <c r="DY589894">
        <v>127</v>
      </c>
      <c r="DZ589894">
        <v>128</v>
      </c>
      <c r="EA589894">
        <v>129</v>
      </c>
      <c r="EB589894">
        <v>130</v>
      </c>
      <c r="EC589894">
        <v>131</v>
      </c>
      <c r="ED589894">
        <v>132</v>
      </c>
      <c r="EE589894">
        <v>133</v>
      </c>
      <c r="EF589894">
        <v>134</v>
      </c>
      <c r="EG589894">
        <v>135</v>
      </c>
      <c r="EH589894">
        <v>136</v>
      </c>
      <c r="EI589894">
        <v>137</v>
      </c>
      <c r="EJ589894">
        <v>138</v>
      </c>
      <c r="EK589894">
        <v>139</v>
      </c>
      <c r="EL589894">
        <v>140</v>
      </c>
      <c r="EM589894">
        <v>141</v>
      </c>
      <c r="EN589894">
        <v>142</v>
      </c>
      <c r="EO589894">
        <v>143</v>
      </c>
      <c r="EP589894">
        <v>144</v>
      </c>
    </row>
    <row r="589895" spans="2:146">
      <c r="CE589895" t="s">
        <v>451</v>
      </c>
    </row>
    <row r="606210" spans="2:2">
      <c r="B606210">
        <v>200</v>
      </c>
    </row>
    <row r="606211" spans="2:2">
      <c r="B606211">
        <v>200</v>
      </c>
    </row>
    <row r="606212" spans="2:2">
      <c r="B606212">
        <v>800</v>
      </c>
    </row>
    <row r="606213" spans="2:2">
      <c r="B606213">
        <v>200</v>
      </c>
    </row>
    <row r="606214" spans="2:2">
      <c r="B606214">
        <v>1044</v>
      </c>
    </row>
    <row r="606215" spans="2:2">
      <c r="B606215">
        <v>998.40000000000009</v>
      </c>
    </row>
    <row r="606216" spans="2:2">
      <c r="B606216">
        <v>272</v>
      </c>
    </row>
    <row r="606217" spans="2:2">
      <c r="B606217">
        <v>200</v>
      </c>
    </row>
    <row r="606218" spans="2:2">
      <c r="B606218">
        <v>214</v>
      </c>
    </row>
    <row r="606219" spans="2:2">
      <c r="B606219">
        <v>200</v>
      </c>
    </row>
    <row r="606220" spans="2:2">
      <c r="B606220">
        <v>152</v>
      </c>
    </row>
    <row r="606221" spans="2:2">
      <c r="B606221">
        <v>200</v>
      </c>
    </row>
    <row r="606222" spans="2:2">
      <c r="B606222">
        <v>300</v>
      </c>
    </row>
    <row r="606223" spans="2:2">
      <c r="B606223">
        <v>104</v>
      </c>
    </row>
    <row r="606224" spans="2:2">
      <c r="B606224">
        <v>162</v>
      </c>
    </row>
    <row r="606225" spans="2:2">
      <c r="B606225">
        <v>200</v>
      </c>
    </row>
    <row r="606226" spans="2:2">
      <c r="B606226">
        <v>200</v>
      </c>
    </row>
    <row r="606227" spans="2:2">
      <c r="B606227">
        <v>200</v>
      </c>
    </row>
    <row r="606228" spans="2:2">
      <c r="B606228">
        <v>200</v>
      </c>
    </row>
    <row r="606229" spans="2:2">
      <c r="B606229">
        <v>200</v>
      </c>
    </row>
    <row r="606230" spans="2:2">
      <c r="B606230">
        <v>200</v>
      </c>
    </row>
    <row r="606231" spans="2:2">
      <c r="B606231">
        <v>200</v>
      </c>
    </row>
    <row r="606232" spans="2:2">
      <c r="B606232">
        <v>200</v>
      </c>
    </row>
    <row r="606233" spans="2:2">
      <c r="B606233">
        <v>800</v>
      </c>
    </row>
    <row r="606234" spans="2:2">
      <c r="B606234">
        <v>300</v>
      </c>
    </row>
    <row r="606235" spans="2:2">
      <c r="B606235">
        <v>778</v>
      </c>
    </row>
    <row r="606236" spans="2:2">
      <c r="B606236">
        <v>614</v>
      </c>
    </row>
    <row r="606237" spans="2:2">
      <c r="B606237">
        <v>444</v>
      </c>
    </row>
    <row r="606238" spans="2:2">
      <c r="B606238">
        <v>800</v>
      </c>
    </row>
    <row r="606239" spans="2:2">
      <c r="B606239">
        <v>200</v>
      </c>
    </row>
    <row r="606240" spans="2:2">
      <c r="B606240">
        <v>780</v>
      </c>
    </row>
    <row r="606241" spans="2:146">
      <c r="B606241">
        <v>174</v>
      </c>
    </row>
    <row r="606242" spans="2:146">
      <c r="B606242">
        <v>194</v>
      </c>
    </row>
    <row r="606243" spans="2:146">
      <c r="B606243">
        <v>782</v>
      </c>
    </row>
    <row r="606244" spans="2:146">
      <c r="B606244">
        <v>236</v>
      </c>
    </row>
    <row r="606245" spans="2:146">
      <c r="B606245">
        <v>144</v>
      </c>
    </row>
    <row r="606246" spans="2:146">
      <c r="B606246">
        <v>200</v>
      </c>
    </row>
    <row r="606247" spans="2:146">
      <c r="B606247">
        <v>240</v>
      </c>
    </row>
    <row r="606248" spans="2:146">
      <c r="B606248">
        <v>200</v>
      </c>
    </row>
    <row r="606249" spans="2:146">
      <c r="B606249">
        <v>612</v>
      </c>
    </row>
    <row r="606250" spans="2:146">
      <c r="B606250">
        <v>156</v>
      </c>
    </row>
    <row r="606251" spans="2:146">
      <c r="B606251">
        <v>116</v>
      </c>
    </row>
    <row r="606252" spans="2:146">
      <c r="B606252">
        <v>160</v>
      </c>
    </row>
    <row r="606253" spans="2:146">
      <c r="B606253">
        <v>80</v>
      </c>
      <c r="EL606253">
        <v>0.66</v>
      </c>
      <c r="EM606253">
        <v>0.66</v>
      </c>
      <c r="EN606253">
        <v>0.66</v>
      </c>
      <c r="EO606253">
        <v>0.66</v>
      </c>
      <c r="EP606253">
        <v>0.66</v>
      </c>
    </row>
    <row r="606254" spans="2:146">
      <c r="B606254">
        <v>1144</v>
      </c>
      <c r="BV606254">
        <v>5.0999999999999996</v>
      </c>
      <c r="BW606254">
        <v>5.0999999999999996</v>
      </c>
      <c r="DB606254">
        <v>10.210000000000001</v>
      </c>
      <c r="DC606254">
        <v>10.210000000000001</v>
      </c>
      <c r="DD606254">
        <v>10.210000000000001</v>
      </c>
      <c r="DE606254">
        <v>10.210000000000001</v>
      </c>
      <c r="DF606254">
        <v>10.210000000000001</v>
      </c>
      <c r="DG606254">
        <v>10.210000000000001</v>
      </c>
      <c r="DH606254">
        <v>10.210000000000001</v>
      </c>
    </row>
    <row r="606255" spans="2:146">
      <c r="B606255">
        <v>1240</v>
      </c>
      <c r="EE606255">
        <v>8.15</v>
      </c>
      <c r="EF606255">
        <v>8.15</v>
      </c>
      <c r="EG606255">
        <v>8.15</v>
      </c>
      <c r="EH606255">
        <v>8.15</v>
      </c>
      <c r="EI606255">
        <v>8.15</v>
      </c>
      <c r="EJ606255">
        <v>8.15</v>
      </c>
      <c r="EK606255">
        <v>8.15</v>
      </c>
    </row>
    <row r="606256" spans="2:146">
      <c r="B606256">
        <v>2083.2000000000003</v>
      </c>
      <c r="DI606256">
        <v>20.03</v>
      </c>
      <c r="DJ606256">
        <v>20.03</v>
      </c>
      <c r="DQ606256">
        <v>20.03</v>
      </c>
      <c r="DT606256">
        <v>20.03</v>
      </c>
      <c r="DW606256">
        <v>20.03</v>
      </c>
    </row>
    <row r="606257" spans="2:134">
      <c r="B606257">
        <v>357.20000000000005</v>
      </c>
      <c r="DI606257">
        <v>3.88</v>
      </c>
      <c r="DJ606257">
        <v>3.88</v>
      </c>
      <c r="DV606257">
        <v>3.88</v>
      </c>
      <c r="DW606257">
        <v>3.88</v>
      </c>
    </row>
    <row r="606258" spans="2:134">
      <c r="B606258">
        <v>391.20000000000005</v>
      </c>
      <c r="DI606258">
        <v>3.62</v>
      </c>
      <c r="DJ606258">
        <v>3.62</v>
      </c>
      <c r="DR606258">
        <v>3.62</v>
      </c>
      <c r="DU606258">
        <v>3.62</v>
      </c>
      <c r="DV606258">
        <v>3.62</v>
      </c>
    </row>
    <row r="606259" spans="2:134">
      <c r="B606259">
        <v>762.80000000000007</v>
      </c>
      <c r="DI606259">
        <v>6.15</v>
      </c>
      <c r="DJ606259">
        <v>6.15</v>
      </c>
      <c r="DQ606259">
        <v>6.15</v>
      </c>
      <c r="DR606259">
        <v>6.15</v>
      </c>
      <c r="DS606259">
        <v>6.15</v>
      </c>
      <c r="DT606259">
        <v>6.15</v>
      </c>
    </row>
    <row r="606260" spans="2:134">
      <c r="B606260">
        <v>1280</v>
      </c>
      <c r="DI606260">
        <v>10.66</v>
      </c>
      <c r="DJ606260">
        <v>10.66</v>
      </c>
      <c r="DK606260">
        <v>10.66</v>
      </c>
      <c r="DL606260">
        <v>10.66</v>
      </c>
      <c r="DM606260">
        <v>10.66</v>
      </c>
      <c r="DN606260">
        <v>10.66</v>
      </c>
    </row>
    <row r="606261" spans="2:134">
      <c r="B606261">
        <v>234</v>
      </c>
      <c r="CT606261">
        <v>2.5</v>
      </c>
      <c r="CU606261">
        <v>2.5</v>
      </c>
      <c r="CV606261">
        <v>2.5</v>
      </c>
    </row>
    <row r="606262" spans="2:134">
      <c r="B606262">
        <v>354</v>
      </c>
      <c r="CY606262">
        <v>3.98</v>
      </c>
      <c r="CZ606262">
        <v>3.98</v>
      </c>
      <c r="DA606262">
        <v>3.98</v>
      </c>
    </row>
    <row r="606263" spans="2:134">
      <c r="B606263">
        <v>392</v>
      </c>
      <c r="DI606263">
        <v>3.52</v>
      </c>
      <c r="DJ606263">
        <v>3.52</v>
      </c>
      <c r="DL606263">
        <v>3.52</v>
      </c>
      <c r="DO606263">
        <v>3.52</v>
      </c>
    </row>
    <row r="606264" spans="2:134">
      <c r="B606264">
        <v>304</v>
      </c>
      <c r="CE606264">
        <v>3.8</v>
      </c>
      <c r="CF606264">
        <v>3.8</v>
      </c>
    </row>
    <row r="606265" spans="2:134">
      <c r="B606265">
        <v>144</v>
      </c>
      <c r="DZ606265">
        <v>1.62</v>
      </c>
      <c r="EA606265">
        <v>1.62</v>
      </c>
      <c r="EB606265">
        <v>1.62</v>
      </c>
      <c r="EC606265">
        <v>0.81</v>
      </c>
      <c r="ED606265">
        <v>0.81</v>
      </c>
    </row>
    <row r="606266" spans="2:134">
      <c r="B606266">
        <v>602.40000000000009</v>
      </c>
      <c r="BY606266">
        <v>6.02</v>
      </c>
      <c r="BZ606266">
        <v>6.02</v>
      </c>
      <c r="CB606266">
        <v>3.01</v>
      </c>
      <c r="CC606266">
        <v>3.01</v>
      </c>
      <c r="CD606266">
        <v>3.01</v>
      </c>
      <c r="CI606266">
        <v>6.02</v>
      </c>
      <c r="CJ606266">
        <v>6.02</v>
      </c>
      <c r="CK606266">
        <v>6.02</v>
      </c>
    </row>
    <row r="606267" spans="2:134">
      <c r="B606267">
        <v>307.60000000000002</v>
      </c>
      <c r="BY606267">
        <v>3.34</v>
      </c>
      <c r="BZ606267">
        <v>3.34</v>
      </c>
      <c r="CG606267">
        <v>3.34</v>
      </c>
      <c r="CH606267">
        <v>3.34</v>
      </c>
    </row>
    <row r="606268" spans="2:134">
      <c r="B606268">
        <v>358</v>
      </c>
      <c r="BY606268">
        <v>2.37</v>
      </c>
      <c r="BZ606268">
        <v>2.37</v>
      </c>
      <c r="CA606268">
        <v>2.37</v>
      </c>
      <c r="DX606268">
        <v>4.74</v>
      </c>
      <c r="DY606268">
        <v>4.74</v>
      </c>
    </row>
    <row r="606269" spans="2:134">
      <c r="B606269">
        <v>286</v>
      </c>
      <c r="BT606269">
        <v>1.43</v>
      </c>
      <c r="BV606269">
        <v>1.43</v>
      </c>
      <c r="BW606269">
        <v>1.43</v>
      </c>
      <c r="BX606269">
        <v>1.43</v>
      </c>
      <c r="CO606269">
        <v>2.86</v>
      </c>
      <c r="CP606269">
        <v>2.86</v>
      </c>
      <c r="CQ606269">
        <v>2.86</v>
      </c>
      <c r="CR606269">
        <v>2.86</v>
      </c>
      <c r="CS606269">
        <v>2.86</v>
      </c>
    </row>
    <row r="606270" spans="2:134">
      <c r="B606270">
        <v>410</v>
      </c>
      <c r="BY606270">
        <v>2.88</v>
      </c>
      <c r="BZ606270">
        <v>2.88</v>
      </c>
      <c r="CA606270">
        <v>2.88</v>
      </c>
      <c r="CW606270">
        <v>5.76</v>
      </c>
      <c r="CX606270">
        <v>5.76</v>
      </c>
    </row>
    <row r="606271" spans="2:134">
      <c r="B606271">
        <v>346</v>
      </c>
      <c r="BR606271">
        <v>3.6</v>
      </c>
      <c r="BS606271">
        <v>3.6</v>
      </c>
      <c r="BT606271">
        <v>1.8</v>
      </c>
      <c r="CL606271">
        <v>3.6</v>
      </c>
      <c r="CM606271">
        <v>3.6</v>
      </c>
      <c r="CN606271">
        <v>3.6</v>
      </c>
    </row>
    <row r="606272" spans="2:134">
      <c r="B606272">
        <v>302</v>
      </c>
      <c r="BR606272">
        <v>3.28</v>
      </c>
      <c r="BS606272">
        <v>3.28</v>
      </c>
      <c r="BT606272">
        <v>1.64</v>
      </c>
      <c r="BU606272">
        <v>1.64</v>
      </c>
      <c r="CL606272">
        <v>3.28</v>
      </c>
      <c r="CM606272">
        <v>3.28</v>
      </c>
      <c r="CN606272">
        <v>3.28</v>
      </c>
    </row>
    <row r="606273" spans="2:146">
      <c r="B606273">
        <v>204</v>
      </c>
      <c r="BR606273">
        <v>2.12</v>
      </c>
      <c r="BS606273">
        <v>2.12</v>
      </c>
      <c r="BT606273">
        <v>1.06</v>
      </c>
      <c r="CL606273">
        <v>2.12</v>
      </c>
      <c r="CM606273">
        <v>2.12</v>
      </c>
      <c r="CN606273">
        <v>2.12</v>
      </c>
    </row>
    <row r="606275" spans="2:146">
      <c r="B606275">
        <v>26358.800000000003</v>
      </c>
      <c r="BQ606275">
        <v>0</v>
      </c>
      <c r="BR606275">
        <v>9</v>
      </c>
      <c r="BS606275">
        <v>9</v>
      </c>
      <c r="BT606275">
        <v>5.93</v>
      </c>
      <c r="BU606275">
        <v>1.64</v>
      </c>
      <c r="BV606275">
        <v>6.5299999999999994</v>
      </c>
      <c r="BW606275">
        <v>6.5299999999999994</v>
      </c>
      <c r="BX606275">
        <v>1.43</v>
      </c>
      <c r="BY606275">
        <v>14.61</v>
      </c>
      <c r="BZ606275">
        <v>14.61</v>
      </c>
      <c r="CA606275">
        <v>5.25</v>
      </c>
      <c r="CB606275">
        <v>3.01</v>
      </c>
      <c r="CC606275">
        <v>3.01</v>
      </c>
      <c r="CD606275">
        <v>3.01</v>
      </c>
      <c r="CE606275">
        <v>3.8</v>
      </c>
      <c r="CF606275">
        <v>3.8</v>
      </c>
      <c r="CG606275">
        <v>3.34</v>
      </c>
      <c r="CH606275">
        <v>3.34</v>
      </c>
      <c r="CI606275">
        <v>6.02</v>
      </c>
      <c r="CJ606275">
        <v>6.02</v>
      </c>
      <c r="CK606275">
        <v>6.02</v>
      </c>
      <c r="CL606275">
        <v>9</v>
      </c>
      <c r="CM606275">
        <v>9</v>
      </c>
      <c r="CN606275">
        <v>9</v>
      </c>
      <c r="CO606275">
        <v>2.86</v>
      </c>
      <c r="CP606275">
        <v>2.86</v>
      </c>
      <c r="CQ606275">
        <v>2.86</v>
      </c>
      <c r="CR606275">
        <v>2.86</v>
      </c>
      <c r="CS606275">
        <v>2.86</v>
      </c>
      <c r="CT606275">
        <v>2.5</v>
      </c>
      <c r="CU606275">
        <v>2.5</v>
      </c>
      <c r="CV606275">
        <v>2.5</v>
      </c>
      <c r="CW606275">
        <v>5.76</v>
      </c>
      <c r="CX606275">
        <v>5.76</v>
      </c>
      <c r="CY606275">
        <v>3.98</v>
      </c>
      <c r="CZ606275">
        <v>3.98</v>
      </c>
      <c r="DA606275">
        <v>3.98</v>
      </c>
      <c r="DB606275">
        <v>10.210000000000001</v>
      </c>
      <c r="DC606275">
        <v>10.210000000000001</v>
      </c>
      <c r="DD606275">
        <v>10.210000000000001</v>
      </c>
      <c r="DE606275">
        <v>10.210000000000001</v>
      </c>
      <c r="DF606275">
        <v>10.210000000000001</v>
      </c>
      <c r="DG606275">
        <v>10.210000000000001</v>
      </c>
      <c r="DH606275">
        <v>10.210000000000001</v>
      </c>
      <c r="DI606275">
        <v>47.860000000000007</v>
      </c>
      <c r="DJ606275">
        <v>47.860000000000007</v>
      </c>
      <c r="DK606275">
        <v>10.66</v>
      </c>
      <c r="DL606275">
        <v>14.18</v>
      </c>
      <c r="DM606275">
        <v>10.66</v>
      </c>
      <c r="DN606275">
        <v>10.66</v>
      </c>
      <c r="DO606275">
        <v>3.52</v>
      </c>
      <c r="DP606275">
        <v>0</v>
      </c>
      <c r="DQ606275">
        <v>26.18</v>
      </c>
      <c r="DR606275">
        <v>9.77</v>
      </c>
      <c r="DS606275">
        <v>6.15</v>
      </c>
      <c r="DT606275">
        <v>26.18</v>
      </c>
      <c r="DU606275">
        <v>3.62</v>
      </c>
      <c r="DV606275">
        <v>7.5</v>
      </c>
      <c r="DW606275">
        <v>23.91</v>
      </c>
      <c r="DX606275">
        <v>4.74</v>
      </c>
      <c r="DY606275">
        <v>4.74</v>
      </c>
      <c r="DZ606275">
        <v>1.62</v>
      </c>
      <c r="EA606275">
        <v>1.62</v>
      </c>
      <c r="EB606275">
        <v>1.62</v>
      </c>
      <c r="EC606275">
        <v>0.81</v>
      </c>
      <c r="ED606275">
        <v>0.81</v>
      </c>
      <c r="EE606275">
        <v>8.15</v>
      </c>
      <c r="EF606275">
        <v>8.15</v>
      </c>
      <c r="EG606275">
        <v>8.15</v>
      </c>
      <c r="EH606275">
        <v>8.15</v>
      </c>
      <c r="EI606275">
        <v>8.15</v>
      </c>
      <c r="EJ606275">
        <v>8.15</v>
      </c>
      <c r="EK606275">
        <v>8.15</v>
      </c>
      <c r="EL606275">
        <v>0.66</v>
      </c>
      <c r="EM606275">
        <v>0.66</v>
      </c>
      <c r="EN606275">
        <v>0.66</v>
      </c>
      <c r="EO606275">
        <v>0.66</v>
      </c>
      <c r="EP606275">
        <v>0.66</v>
      </c>
    </row>
    <row r="606276" spans="2:146">
      <c r="B606276" t="s">
        <v>265</v>
      </c>
      <c r="BQ606276" t="s">
        <v>345</v>
      </c>
      <c r="BR606276" t="s">
        <v>131</v>
      </c>
      <c r="BS606276" t="s">
        <v>131</v>
      </c>
      <c r="BT606276" t="s">
        <v>357</v>
      </c>
      <c r="BU606276" t="s">
        <v>131</v>
      </c>
      <c r="BV606276" t="s">
        <v>360</v>
      </c>
      <c r="BW606276" t="s">
        <v>360</v>
      </c>
      <c r="BX606276" t="s">
        <v>360</v>
      </c>
      <c r="BY606276" t="s">
        <v>364</v>
      </c>
      <c r="BZ606276" t="s">
        <v>364</v>
      </c>
      <c r="CA606276" t="s">
        <v>364</v>
      </c>
      <c r="CB606276" t="s">
        <v>368</v>
      </c>
      <c r="CC606276" t="s">
        <v>368</v>
      </c>
      <c r="CD606276" t="s">
        <v>368</v>
      </c>
      <c r="CE606276" t="s">
        <v>352</v>
      </c>
      <c r="CF606276" t="s">
        <v>352</v>
      </c>
      <c r="CG606276" t="s">
        <v>372</v>
      </c>
      <c r="CH606276" t="s">
        <v>372</v>
      </c>
      <c r="CI606276" t="s">
        <v>375</v>
      </c>
      <c r="CJ606276" t="s">
        <v>375</v>
      </c>
      <c r="CK606276" t="s">
        <v>375</v>
      </c>
      <c r="CL606276" t="s">
        <v>379</v>
      </c>
      <c r="CM606276" t="s">
        <v>379</v>
      </c>
      <c r="CN606276" t="s">
        <v>379</v>
      </c>
      <c r="CO606276" t="s">
        <v>383</v>
      </c>
      <c r="CP606276" t="s">
        <v>383</v>
      </c>
      <c r="CQ606276" t="s">
        <v>383</v>
      </c>
      <c r="CR606276" t="s">
        <v>383</v>
      </c>
      <c r="CS606276" t="s">
        <v>383</v>
      </c>
      <c r="CT606276" t="s">
        <v>389</v>
      </c>
      <c r="CU606276" t="s">
        <v>389</v>
      </c>
      <c r="CV606276" t="s">
        <v>389</v>
      </c>
      <c r="CW606276" t="s">
        <v>393</v>
      </c>
      <c r="CX606276" t="s">
        <v>393</v>
      </c>
      <c r="CY606276" t="s">
        <v>396</v>
      </c>
      <c r="CZ606276" t="s">
        <v>396</v>
      </c>
      <c r="DA606276" t="s">
        <v>396</v>
      </c>
      <c r="DB606276" t="s">
        <v>400</v>
      </c>
      <c r="DC606276" t="s">
        <v>400</v>
      </c>
      <c r="DD606276" t="s">
        <v>400</v>
      </c>
      <c r="DE606276" t="s">
        <v>400</v>
      </c>
      <c r="DF606276" t="s">
        <v>400</v>
      </c>
      <c r="DG606276" t="s">
        <v>400</v>
      </c>
      <c r="DH606276" t="s">
        <v>400</v>
      </c>
      <c r="DI606276" t="s">
        <v>121</v>
      </c>
      <c r="DJ606276" t="s">
        <v>121</v>
      </c>
      <c r="DK606276" t="s">
        <v>121</v>
      </c>
      <c r="DL606276" t="s">
        <v>121</v>
      </c>
      <c r="DM606276" t="s">
        <v>121</v>
      </c>
      <c r="DN606276" t="s">
        <v>121</v>
      </c>
      <c r="DO606276" t="s">
        <v>121</v>
      </c>
      <c r="DP606276" t="s">
        <v>121</v>
      </c>
      <c r="DQ606276" t="s">
        <v>121</v>
      </c>
      <c r="DR606276" t="s">
        <v>121</v>
      </c>
      <c r="DS606276" t="s">
        <v>121</v>
      </c>
      <c r="DT606276" t="s">
        <v>121</v>
      </c>
      <c r="DU606276" t="s">
        <v>121</v>
      </c>
      <c r="DV606276" t="s">
        <v>121</v>
      </c>
      <c r="DW606276" t="s">
        <v>121</v>
      </c>
      <c r="DX606276" t="s">
        <v>423</v>
      </c>
      <c r="DY606276" t="s">
        <v>423</v>
      </c>
      <c r="DZ606276" t="s">
        <v>426</v>
      </c>
      <c r="EA606276" t="s">
        <v>426</v>
      </c>
      <c r="EB606276" t="s">
        <v>426</v>
      </c>
      <c r="EC606276" t="s">
        <v>426</v>
      </c>
      <c r="ED606276" t="s">
        <v>426</v>
      </c>
      <c r="EE606276" t="s">
        <v>432</v>
      </c>
      <c r="EF606276" t="s">
        <v>432</v>
      </c>
      <c r="EG606276" t="s">
        <v>432</v>
      </c>
      <c r="EH606276" t="s">
        <v>432</v>
      </c>
      <c r="EI606276" t="s">
        <v>432</v>
      </c>
      <c r="EJ606276" t="s">
        <v>432</v>
      </c>
      <c r="EK606276" t="s">
        <v>432</v>
      </c>
      <c r="EL606276" t="s">
        <v>440</v>
      </c>
      <c r="EM606276" t="s">
        <v>440</v>
      </c>
      <c r="EN606276" t="s">
        <v>440</v>
      </c>
      <c r="EO606276" t="s">
        <v>440</v>
      </c>
      <c r="EP606276" t="s">
        <v>440</v>
      </c>
    </row>
    <row r="606277" spans="2:146">
      <c r="BQ606277" t="s">
        <v>351</v>
      </c>
      <c r="BR606277" t="s">
        <v>355</v>
      </c>
      <c r="BS606277" t="s">
        <v>356</v>
      </c>
      <c r="BT606277" t="s">
        <v>358</v>
      </c>
      <c r="BU606277" t="s">
        <v>359</v>
      </c>
      <c r="BV606277" t="s">
        <v>361</v>
      </c>
      <c r="BW606277" t="s">
        <v>362</v>
      </c>
      <c r="BX606277" t="s">
        <v>363</v>
      </c>
      <c r="BY606277" t="s">
        <v>365</v>
      </c>
      <c r="BZ606277" t="s">
        <v>366</v>
      </c>
      <c r="CA606277" t="s">
        <v>367</v>
      </c>
      <c r="CB606277" t="s">
        <v>369</v>
      </c>
      <c r="CC606277" t="s">
        <v>370</v>
      </c>
      <c r="CD606277" t="s">
        <v>371</v>
      </c>
      <c r="CE606277" t="s">
        <v>353</v>
      </c>
      <c r="CF606277" t="s">
        <v>354</v>
      </c>
      <c r="CG606277" t="s">
        <v>373</v>
      </c>
      <c r="CH606277" t="s">
        <v>374</v>
      </c>
      <c r="CI606277" t="s">
        <v>376</v>
      </c>
      <c r="CJ606277" t="s">
        <v>377</v>
      </c>
      <c r="CK606277" t="s">
        <v>378</v>
      </c>
      <c r="CL606277" t="s">
        <v>380</v>
      </c>
      <c r="CM606277" t="s">
        <v>381</v>
      </c>
      <c r="CN606277" t="s">
        <v>382</v>
      </c>
      <c r="CO606277" t="s">
        <v>384</v>
      </c>
      <c r="CP606277" t="s">
        <v>385</v>
      </c>
      <c r="CQ606277" t="s">
        <v>386</v>
      </c>
      <c r="CR606277" t="s">
        <v>387</v>
      </c>
      <c r="CS606277" t="s">
        <v>388</v>
      </c>
      <c r="CT606277" t="s">
        <v>390</v>
      </c>
      <c r="CU606277" t="s">
        <v>391</v>
      </c>
      <c r="CV606277" t="s">
        <v>392</v>
      </c>
      <c r="CW606277" t="s">
        <v>394</v>
      </c>
      <c r="CX606277" t="s">
        <v>395</v>
      </c>
      <c r="CY606277" t="s">
        <v>397</v>
      </c>
      <c r="CZ606277" t="s">
        <v>398</v>
      </c>
      <c r="DA606277" t="s">
        <v>399</v>
      </c>
      <c r="DB606277" t="s">
        <v>401</v>
      </c>
      <c r="DC606277" t="s">
        <v>402</v>
      </c>
      <c r="DD606277" t="s">
        <v>403</v>
      </c>
      <c r="DE606277" t="s">
        <v>404</v>
      </c>
      <c r="DF606277" t="s">
        <v>405</v>
      </c>
      <c r="DG606277" t="s">
        <v>406</v>
      </c>
      <c r="DH606277" t="s">
        <v>407</v>
      </c>
      <c r="DI606277" t="s">
        <v>408</v>
      </c>
      <c r="DJ606277" t="s">
        <v>409</v>
      </c>
      <c r="DK606277" t="s">
        <v>410</v>
      </c>
      <c r="DL606277" t="s">
        <v>411</v>
      </c>
      <c r="DM606277" t="s">
        <v>412</v>
      </c>
      <c r="DN606277" t="s">
        <v>413</v>
      </c>
      <c r="DO606277" t="s">
        <v>414</v>
      </c>
      <c r="DP606277" t="s">
        <v>415</v>
      </c>
      <c r="DQ606277" t="s">
        <v>416</v>
      </c>
      <c r="DR606277" t="s">
        <v>417</v>
      </c>
      <c r="DS606277" t="s">
        <v>418</v>
      </c>
      <c r="DT606277" t="s">
        <v>419</v>
      </c>
      <c r="DU606277" t="s">
        <v>420</v>
      </c>
      <c r="DV606277" t="s">
        <v>421</v>
      </c>
      <c r="DW606277" t="s">
        <v>422</v>
      </c>
      <c r="DX606277" t="s">
        <v>424</v>
      </c>
      <c r="DY606277" t="s">
        <v>425</v>
      </c>
      <c r="DZ606277" t="s">
        <v>427</v>
      </c>
      <c r="EA606277" t="s">
        <v>428</v>
      </c>
      <c r="EB606277" t="s">
        <v>429</v>
      </c>
      <c r="EC606277" t="s">
        <v>430</v>
      </c>
      <c r="ED606277" t="s">
        <v>431</v>
      </c>
      <c r="EE606277" t="s">
        <v>433</v>
      </c>
      <c r="EF606277" t="s">
        <v>434</v>
      </c>
      <c r="EG606277" t="s">
        <v>435</v>
      </c>
      <c r="EH606277" t="s">
        <v>436</v>
      </c>
      <c r="EI606277" t="s">
        <v>437</v>
      </c>
      <c r="EJ606277" t="s">
        <v>438</v>
      </c>
      <c r="EK606277" t="s">
        <v>439</v>
      </c>
      <c r="EL606277" t="s">
        <v>441</v>
      </c>
      <c r="EM606277" t="s">
        <v>442</v>
      </c>
      <c r="EN606277" t="s">
        <v>443</v>
      </c>
      <c r="EO606277" t="s">
        <v>444</v>
      </c>
      <c r="EP606277" t="s">
        <v>445</v>
      </c>
    </row>
    <row r="606278" spans="2:146">
      <c r="BQ606278">
        <v>67</v>
      </c>
      <c r="BR606278">
        <v>68</v>
      </c>
      <c r="BS606278">
        <v>69</v>
      </c>
      <c r="BT606278">
        <v>70</v>
      </c>
      <c r="BU606278">
        <v>71</v>
      </c>
      <c r="BV606278">
        <v>72</v>
      </c>
      <c r="BW606278">
        <v>73</v>
      </c>
      <c r="BX606278">
        <v>74</v>
      </c>
      <c r="BY606278">
        <v>75</v>
      </c>
      <c r="BZ606278">
        <v>76</v>
      </c>
      <c r="CA606278">
        <v>77</v>
      </c>
      <c r="CB606278">
        <v>78</v>
      </c>
      <c r="CC606278">
        <v>79</v>
      </c>
      <c r="CD606278">
        <v>80</v>
      </c>
      <c r="CE606278">
        <v>81</v>
      </c>
      <c r="CF606278">
        <v>82</v>
      </c>
      <c r="CG606278">
        <v>83</v>
      </c>
      <c r="CH606278">
        <v>84</v>
      </c>
      <c r="CI606278">
        <v>85</v>
      </c>
      <c r="CJ606278">
        <v>86</v>
      </c>
      <c r="CK606278">
        <v>87</v>
      </c>
      <c r="CL606278">
        <v>88</v>
      </c>
      <c r="CM606278">
        <v>89</v>
      </c>
      <c r="CN606278">
        <v>90</v>
      </c>
      <c r="CO606278">
        <v>91</v>
      </c>
      <c r="CP606278">
        <v>92</v>
      </c>
      <c r="CQ606278">
        <v>93</v>
      </c>
      <c r="CR606278">
        <v>94</v>
      </c>
      <c r="CS606278">
        <v>95</v>
      </c>
      <c r="CT606278">
        <v>96</v>
      </c>
      <c r="CU606278">
        <v>97</v>
      </c>
      <c r="CV606278">
        <v>98</v>
      </c>
      <c r="CW606278">
        <v>99</v>
      </c>
      <c r="CX606278">
        <v>100</v>
      </c>
      <c r="CY606278">
        <v>101</v>
      </c>
      <c r="CZ606278">
        <v>102</v>
      </c>
      <c r="DA606278">
        <v>103</v>
      </c>
      <c r="DB606278">
        <v>104</v>
      </c>
      <c r="DC606278">
        <v>105</v>
      </c>
      <c r="DD606278">
        <v>106</v>
      </c>
      <c r="DE606278">
        <v>107</v>
      </c>
      <c r="DF606278">
        <v>108</v>
      </c>
      <c r="DG606278">
        <v>109</v>
      </c>
      <c r="DH606278">
        <v>110</v>
      </c>
      <c r="DI606278">
        <v>111</v>
      </c>
      <c r="DJ606278">
        <v>112</v>
      </c>
      <c r="DK606278">
        <v>113</v>
      </c>
      <c r="DL606278">
        <v>114</v>
      </c>
      <c r="DM606278">
        <v>115</v>
      </c>
      <c r="DN606278">
        <v>116</v>
      </c>
      <c r="DO606278">
        <v>117</v>
      </c>
      <c r="DP606278">
        <v>118</v>
      </c>
      <c r="DQ606278">
        <v>119</v>
      </c>
      <c r="DR606278">
        <v>120</v>
      </c>
      <c r="DS606278">
        <v>121</v>
      </c>
      <c r="DT606278">
        <v>122</v>
      </c>
      <c r="DU606278">
        <v>123</v>
      </c>
      <c r="DV606278">
        <v>124</v>
      </c>
      <c r="DW606278">
        <v>125</v>
      </c>
      <c r="DX606278">
        <v>126</v>
      </c>
      <c r="DY606278">
        <v>127</v>
      </c>
      <c r="DZ606278">
        <v>128</v>
      </c>
      <c r="EA606278">
        <v>129</v>
      </c>
      <c r="EB606278">
        <v>130</v>
      </c>
      <c r="EC606278">
        <v>131</v>
      </c>
      <c r="ED606278">
        <v>132</v>
      </c>
      <c r="EE606278">
        <v>133</v>
      </c>
      <c r="EF606278">
        <v>134</v>
      </c>
      <c r="EG606278">
        <v>135</v>
      </c>
      <c r="EH606278">
        <v>136</v>
      </c>
      <c r="EI606278">
        <v>137</v>
      </c>
      <c r="EJ606278">
        <v>138</v>
      </c>
      <c r="EK606278">
        <v>139</v>
      </c>
      <c r="EL606278">
        <v>140</v>
      </c>
      <c r="EM606278">
        <v>141</v>
      </c>
      <c r="EN606278">
        <v>142</v>
      </c>
      <c r="EO606278">
        <v>143</v>
      </c>
      <c r="EP606278">
        <v>144</v>
      </c>
    </row>
    <row r="606279" spans="2:146">
      <c r="CE606279" t="s">
        <v>451</v>
      </c>
    </row>
    <row r="622594" spans="2:2">
      <c r="B622594">
        <v>200</v>
      </c>
    </row>
    <row r="622595" spans="2:2">
      <c r="B622595">
        <v>200</v>
      </c>
    </row>
    <row r="622596" spans="2:2">
      <c r="B622596">
        <v>800</v>
      </c>
    </row>
    <row r="622597" spans="2:2">
      <c r="B622597">
        <v>200</v>
      </c>
    </row>
    <row r="622598" spans="2:2">
      <c r="B622598">
        <v>1044</v>
      </c>
    </row>
    <row r="622599" spans="2:2">
      <c r="B622599">
        <v>998.40000000000009</v>
      </c>
    </row>
    <row r="622600" spans="2:2">
      <c r="B622600">
        <v>272</v>
      </c>
    </row>
    <row r="622601" spans="2:2">
      <c r="B622601">
        <v>200</v>
      </c>
    </row>
    <row r="622602" spans="2:2">
      <c r="B622602">
        <v>214</v>
      </c>
    </row>
    <row r="622603" spans="2:2">
      <c r="B622603">
        <v>200</v>
      </c>
    </row>
    <row r="622604" spans="2:2">
      <c r="B622604">
        <v>152</v>
      </c>
    </row>
    <row r="622605" spans="2:2">
      <c r="B622605">
        <v>200</v>
      </c>
    </row>
    <row r="622606" spans="2:2">
      <c r="B622606">
        <v>300</v>
      </c>
    </row>
    <row r="622607" spans="2:2">
      <c r="B622607">
        <v>104</v>
      </c>
    </row>
    <row r="622608" spans="2:2">
      <c r="B622608">
        <v>162</v>
      </c>
    </row>
    <row r="622609" spans="2:2">
      <c r="B622609">
        <v>200</v>
      </c>
    </row>
    <row r="622610" spans="2:2">
      <c r="B622610">
        <v>200</v>
      </c>
    </row>
    <row r="622611" spans="2:2">
      <c r="B622611">
        <v>200</v>
      </c>
    </row>
    <row r="622612" spans="2:2">
      <c r="B622612">
        <v>200</v>
      </c>
    </row>
    <row r="622613" spans="2:2">
      <c r="B622613">
        <v>200</v>
      </c>
    </row>
    <row r="622614" spans="2:2">
      <c r="B622614">
        <v>200</v>
      </c>
    </row>
    <row r="622615" spans="2:2">
      <c r="B622615">
        <v>200</v>
      </c>
    </row>
    <row r="622616" spans="2:2">
      <c r="B622616">
        <v>200</v>
      </c>
    </row>
    <row r="622617" spans="2:2">
      <c r="B622617">
        <v>800</v>
      </c>
    </row>
    <row r="622618" spans="2:2">
      <c r="B622618">
        <v>300</v>
      </c>
    </row>
    <row r="622619" spans="2:2">
      <c r="B622619">
        <v>778</v>
      </c>
    </row>
    <row r="622620" spans="2:2">
      <c r="B622620">
        <v>614</v>
      </c>
    </row>
    <row r="622621" spans="2:2">
      <c r="B622621">
        <v>444</v>
      </c>
    </row>
    <row r="622622" spans="2:2">
      <c r="B622622">
        <v>800</v>
      </c>
    </row>
    <row r="622623" spans="2:2">
      <c r="B622623">
        <v>200</v>
      </c>
    </row>
    <row r="622624" spans="2:2">
      <c r="B622624">
        <v>780</v>
      </c>
    </row>
    <row r="622625" spans="2:146">
      <c r="B622625">
        <v>174</v>
      </c>
    </row>
    <row r="622626" spans="2:146">
      <c r="B622626">
        <v>194</v>
      </c>
    </row>
    <row r="622627" spans="2:146">
      <c r="B622627">
        <v>782</v>
      </c>
    </row>
    <row r="622628" spans="2:146">
      <c r="B622628">
        <v>236</v>
      </c>
    </row>
    <row r="622629" spans="2:146">
      <c r="B622629">
        <v>144</v>
      </c>
    </row>
    <row r="622630" spans="2:146">
      <c r="B622630">
        <v>200</v>
      </c>
    </row>
    <row r="622631" spans="2:146">
      <c r="B622631">
        <v>240</v>
      </c>
    </row>
    <row r="622632" spans="2:146">
      <c r="B622632">
        <v>200</v>
      </c>
    </row>
    <row r="622633" spans="2:146">
      <c r="B622633">
        <v>612</v>
      </c>
    </row>
    <row r="622634" spans="2:146">
      <c r="B622634">
        <v>156</v>
      </c>
    </row>
    <row r="622635" spans="2:146">
      <c r="B622635">
        <v>116</v>
      </c>
    </row>
    <row r="622636" spans="2:146">
      <c r="B622636">
        <v>160</v>
      </c>
    </row>
    <row r="622637" spans="2:146">
      <c r="B622637">
        <v>80</v>
      </c>
      <c r="EL622637">
        <v>0.66</v>
      </c>
      <c r="EM622637">
        <v>0.66</v>
      </c>
      <c r="EN622637">
        <v>0.66</v>
      </c>
      <c r="EO622637">
        <v>0.66</v>
      </c>
      <c r="EP622637">
        <v>0.66</v>
      </c>
    </row>
    <row r="622638" spans="2:146">
      <c r="B622638">
        <v>1144</v>
      </c>
      <c r="BV622638">
        <v>5.0999999999999996</v>
      </c>
      <c r="BW622638">
        <v>5.0999999999999996</v>
      </c>
      <c r="DB622638">
        <v>10.210000000000001</v>
      </c>
      <c r="DC622638">
        <v>10.210000000000001</v>
      </c>
      <c r="DD622638">
        <v>10.210000000000001</v>
      </c>
      <c r="DE622638">
        <v>10.210000000000001</v>
      </c>
      <c r="DF622638">
        <v>10.210000000000001</v>
      </c>
      <c r="DG622638">
        <v>10.210000000000001</v>
      </c>
      <c r="DH622638">
        <v>10.210000000000001</v>
      </c>
    </row>
    <row r="622639" spans="2:146">
      <c r="B622639">
        <v>1240</v>
      </c>
      <c r="EE622639">
        <v>8.15</v>
      </c>
      <c r="EF622639">
        <v>8.15</v>
      </c>
      <c r="EG622639">
        <v>8.15</v>
      </c>
      <c r="EH622639">
        <v>8.15</v>
      </c>
      <c r="EI622639">
        <v>8.15</v>
      </c>
      <c r="EJ622639">
        <v>8.15</v>
      </c>
      <c r="EK622639">
        <v>8.15</v>
      </c>
    </row>
    <row r="622640" spans="2:146">
      <c r="B622640">
        <v>2083.2000000000003</v>
      </c>
      <c r="DI622640">
        <v>20.03</v>
      </c>
      <c r="DJ622640">
        <v>20.03</v>
      </c>
      <c r="DQ622640">
        <v>20.03</v>
      </c>
      <c r="DT622640">
        <v>20.03</v>
      </c>
      <c r="DW622640">
        <v>20.03</v>
      </c>
    </row>
    <row r="622641" spans="2:134">
      <c r="B622641">
        <v>357.20000000000005</v>
      </c>
      <c r="DI622641">
        <v>3.88</v>
      </c>
      <c r="DJ622641">
        <v>3.88</v>
      </c>
      <c r="DV622641">
        <v>3.88</v>
      </c>
      <c r="DW622641">
        <v>3.88</v>
      </c>
    </row>
    <row r="622642" spans="2:134">
      <c r="B622642">
        <v>391.20000000000005</v>
      </c>
      <c r="DI622642">
        <v>3.62</v>
      </c>
      <c r="DJ622642">
        <v>3.62</v>
      </c>
      <c r="DR622642">
        <v>3.62</v>
      </c>
      <c r="DU622642">
        <v>3.62</v>
      </c>
      <c r="DV622642">
        <v>3.62</v>
      </c>
    </row>
    <row r="622643" spans="2:134">
      <c r="B622643">
        <v>762.80000000000007</v>
      </c>
      <c r="DI622643">
        <v>6.15</v>
      </c>
      <c r="DJ622643">
        <v>6.15</v>
      </c>
      <c r="DQ622643">
        <v>6.15</v>
      </c>
      <c r="DR622643">
        <v>6.15</v>
      </c>
      <c r="DS622643">
        <v>6.15</v>
      </c>
      <c r="DT622643">
        <v>6.15</v>
      </c>
    </row>
    <row r="622644" spans="2:134">
      <c r="B622644">
        <v>1280</v>
      </c>
      <c r="DI622644">
        <v>10.66</v>
      </c>
      <c r="DJ622644">
        <v>10.66</v>
      </c>
      <c r="DK622644">
        <v>10.66</v>
      </c>
      <c r="DL622644">
        <v>10.66</v>
      </c>
      <c r="DM622644">
        <v>10.66</v>
      </c>
      <c r="DN622644">
        <v>10.66</v>
      </c>
    </row>
    <row r="622645" spans="2:134">
      <c r="B622645">
        <v>234</v>
      </c>
      <c r="CT622645">
        <v>2.5</v>
      </c>
      <c r="CU622645">
        <v>2.5</v>
      </c>
      <c r="CV622645">
        <v>2.5</v>
      </c>
    </row>
    <row r="622646" spans="2:134">
      <c r="B622646">
        <v>354</v>
      </c>
      <c r="CY622646">
        <v>3.98</v>
      </c>
      <c r="CZ622646">
        <v>3.98</v>
      </c>
      <c r="DA622646">
        <v>3.98</v>
      </c>
    </row>
    <row r="622647" spans="2:134">
      <c r="B622647">
        <v>392</v>
      </c>
      <c r="DI622647">
        <v>3.52</v>
      </c>
      <c r="DJ622647">
        <v>3.52</v>
      </c>
      <c r="DL622647">
        <v>3.52</v>
      </c>
      <c r="DO622647">
        <v>3.52</v>
      </c>
    </row>
    <row r="622648" spans="2:134">
      <c r="B622648">
        <v>304</v>
      </c>
      <c r="CE622648">
        <v>3.8</v>
      </c>
      <c r="CF622648">
        <v>3.8</v>
      </c>
    </row>
    <row r="622649" spans="2:134">
      <c r="B622649">
        <v>144</v>
      </c>
      <c r="DZ622649">
        <v>1.62</v>
      </c>
      <c r="EA622649">
        <v>1.62</v>
      </c>
      <c r="EB622649">
        <v>1.62</v>
      </c>
      <c r="EC622649">
        <v>0.81</v>
      </c>
      <c r="ED622649">
        <v>0.81</v>
      </c>
    </row>
    <row r="622650" spans="2:134">
      <c r="B622650">
        <v>602.40000000000009</v>
      </c>
      <c r="BY622650">
        <v>6.02</v>
      </c>
      <c r="BZ622650">
        <v>6.02</v>
      </c>
      <c r="CB622650">
        <v>3.01</v>
      </c>
      <c r="CC622650">
        <v>3.01</v>
      </c>
      <c r="CD622650">
        <v>3.01</v>
      </c>
      <c r="CI622650">
        <v>6.02</v>
      </c>
      <c r="CJ622650">
        <v>6.02</v>
      </c>
      <c r="CK622650">
        <v>6.02</v>
      </c>
    </row>
    <row r="622651" spans="2:134">
      <c r="B622651">
        <v>307.60000000000002</v>
      </c>
      <c r="BY622651">
        <v>3.34</v>
      </c>
      <c r="BZ622651">
        <v>3.34</v>
      </c>
      <c r="CG622651">
        <v>3.34</v>
      </c>
      <c r="CH622651">
        <v>3.34</v>
      </c>
    </row>
    <row r="622652" spans="2:134">
      <c r="B622652">
        <v>358</v>
      </c>
      <c r="BY622652">
        <v>2.37</v>
      </c>
      <c r="BZ622652">
        <v>2.37</v>
      </c>
      <c r="CA622652">
        <v>2.37</v>
      </c>
      <c r="DX622652">
        <v>4.74</v>
      </c>
      <c r="DY622652">
        <v>4.74</v>
      </c>
    </row>
    <row r="622653" spans="2:134">
      <c r="B622653">
        <v>286</v>
      </c>
      <c r="BT622653">
        <v>1.43</v>
      </c>
      <c r="BV622653">
        <v>1.43</v>
      </c>
      <c r="BW622653">
        <v>1.43</v>
      </c>
      <c r="BX622653">
        <v>1.43</v>
      </c>
      <c r="CO622653">
        <v>2.86</v>
      </c>
      <c r="CP622653">
        <v>2.86</v>
      </c>
      <c r="CQ622653">
        <v>2.86</v>
      </c>
      <c r="CR622653">
        <v>2.86</v>
      </c>
      <c r="CS622653">
        <v>2.86</v>
      </c>
    </row>
    <row r="622654" spans="2:134">
      <c r="B622654">
        <v>410</v>
      </c>
      <c r="BY622654">
        <v>2.88</v>
      </c>
      <c r="BZ622654">
        <v>2.88</v>
      </c>
      <c r="CA622654">
        <v>2.88</v>
      </c>
      <c r="CW622654">
        <v>5.76</v>
      </c>
      <c r="CX622654">
        <v>5.76</v>
      </c>
    </row>
    <row r="622655" spans="2:134">
      <c r="B622655">
        <v>346</v>
      </c>
      <c r="BR622655">
        <v>3.6</v>
      </c>
      <c r="BS622655">
        <v>3.6</v>
      </c>
      <c r="BT622655">
        <v>1.8</v>
      </c>
      <c r="CL622655">
        <v>3.6</v>
      </c>
      <c r="CM622655">
        <v>3.6</v>
      </c>
      <c r="CN622655">
        <v>3.6</v>
      </c>
    </row>
    <row r="622656" spans="2:134">
      <c r="B622656">
        <v>302</v>
      </c>
      <c r="BR622656">
        <v>3.28</v>
      </c>
      <c r="BS622656">
        <v>3.28</v>
      </c>
      <c r="BT622656">
        <v>1.64</v>
      </c>
      <c r="BU622656">
        <v>1.64</v>
      </c>
      <c r="CL622656">
        <v>3.28</v>
      </c>
      <c r="CM622656">
        <v>3.28</v>
      </c>
      <c r="CN622656">
        <v>3.28</v>
      </c>
    </row>
    <row r="622657" spans="2:146">
      <c r="B622657">
        <v>204</v>
      </c>
      <c r="BR622657">
        <v>2.12</v>
      </c>
      <c r="BS622657">
        <v>2.12</v>
      </c>
      <c r="BT622657">
        <v>1.06</v>
      </c>
      <c r="CL622657">
        <v>2.12</v>
      </c>
      <c r="CM622657">
        <v>2.12</v>
      </c>
      <c r="CN622657">
        <v>2.12</v>
      </c>
    </row>
    <row r="622659" spans="2:146">
      <c r="B622659">
        <v>26358.800000000003</v>
      </c>
      <c r="BQ622659">
        <v>0</v>
      </c>
      <c r="BR622659">
        <v>9</v>
      </c>
      <c r="BS622659">
        <v>9</v>
      </c>
      <c r="BT622659">
        <v>5.93</v>
      </c>
      <c r="BU622659">
        <v>1.64</v>
      </c>
      <c r="BV622659">
        <v>6.5299999999999994</v>
      </c>
      <c r="BW622659">
        <v>6.5299999999999994</v>
      </c>
      <c r="BX622659">
        <v>1.43</v>
      </c>
      <c r="BY622659">
        <v>14.61</v>
      </c>
      <c r="BZ622659">
        <v>14.61</v>
      </c>
      <c r="CA622659">
        <v>5.25</v>
      </c>
      <c r="CB622659">
        <v>3.01</v>
      </c>
      <c r="CC622659">
        <v>3.01</v>
      </c>
      <c r="CD622659">
        <v>3.01</v>
      </c>
      <c r="CE622659">
        <v>3.8</v>
      </c>
      <c r="CF622659">
        <v>3.8</v>
      </c>
      <c r="CG622659">
        <v>3.34</v>
      </c>
      <c r="CH622659">
        <v>3.34</v>
      </c>
      <c r="CI622659">
        <v>6.02</v>
      </c>
      <c r="CJ622659">
        <v>6.02</v>
      </c>
      <c r="CK622659">
        <v>6.02</v>
      </c>
      <c r="CL622659">
        <v>9</v>
      </c>
      <c r="CM622659">
        <v>9</v>
      </c>
      <c r="CN622659">
        <v>9</v>
      </c>
      <c r="CO622659">
        <v>2.86</v>
      </c>
      <c r="CP622659">
        <v>2.86</v>
      </c>
      <c r="CQ622659">
        <v>2.86</v>
      </c>
      <c r="CR622659">
        <v>2.86</v>
      </c>
      <c r="CS622659">
        <v>2.86</v>
      </c>
      <c r="CT622659">
        <v>2.5</v>
      </c>
      <c r="CU622659">
        <v>2.5</v>
      </c>
      <c r="CV622659">
        <v>2.5</v>
      </c>
      <c r="CW622659">
        <v>5.76</v>
      </c>
      <c r="CX622659">
        <v>5.76</v>
      </c>
      <c r="CY622659">
        <v>3.98</v>
      </c>
      <c r="CZ622659">
        <v>3.98</v>
      </c>
      <c r="DA622659">
        <v>3.98</v>
      </c>
      <c r="DB622659">
        <v>10.210000000000001</v>
      </c>
      <c r="DC622659">
        <v>10.210000000000001</v>
      </c>
      <c r="DD622659">
        <v>10.210000000000001</v>
      </c>
      <c r="DE622659">
        <v>10.210000000000001</v>
      </c>
      <c r="DF622659">
        <v>10.210000000000001</v>
      </c>
      <c r="DG622659">
        <v>10.210000000000001</v>
      </c>
      <c r="DH622659">
        <v>10.210000000000001</v>
      </c>
      <c r="DI622659">
        <v>47.860000000000007</v>
      </c>
      <c r="DJ622659">
        <v>47.860000000000007</v>
      </c>
      <c r="DK622659">
        <v>10.66</v>
      </c>
      <c r="DL622659">
        <v>14.18</v>
      </c>
      <c r="DM622659">
        <v>10.66</v>
      </c>
      <c r="DN622659">
        <v>10.66</v>
      </c>
      <c r="DO622659">
        <v>3.52</v>
      </c>
      <c r="DP622659">
        <v>0</v>
      </c>
      <c r="DQ622659">
        <v>26.18</v>
      </c>
      <c r="DR622659">
        <v>9.77</v>
      </c>
      <c r="DS622659">
        <v>6.15</v>
      </c>
      <c r="DT622659">
        <v>26.18</v>
      </c>
      <c r="DU622659">
        <v>3.62</v>
      </c>
      <c r="DV622659">
        <v>7.5</v>
      </c>
      <c r="DW622659">
        <v>23.91</v>
      </c>
      <c r="DX622659">
        <v>4.74</v>
      </c>
      <c r="DY622659">
        <v>4.74</v>
      </c>
      <c r="DZ622659">
        <v>1.62</v>
      </c>
      <c r="EA622659">
        <v>1.62</v>
      </c>
      <c r="EB622659">
        <v>1.62</v>
      </c>
      <c r="EC622659">
        <v>0.81</v>
      </c>
      <c r="ED622659">
        <v>0.81</v>
      </c>
      <c r="EE622659">
        <v>8.15</v>
      </c>
      <c r="EF622659">
        <v>8.15</v>
      </c>
      <c r="EG622659">
        <v>8.15</v>
      </c>
      <c r="EH622659">
        <v>8.15</v>
      </c>
      <c r="EI622659">
        <v>8.15</v>
      </c>
      <c r="EJ622659">
        <v>8.15</v>
      </c>
      <c r="EK622659">
        <v>8.15</v>
      </c>
      <c r="EL622659">
        <v>0.66</v>
      </c>
      <c r="EM622659">
        <v>0.66</v>
      </c>
      <c r="EN622659">
        <v>0.66</v>
      </c>
      <c r="EO622659">
        <v>0.66</v>
      </c>
      <c r="EP622659">
        <v>0.66</v>
      </c>
    </row>
    <row r="622660" spans="2:146">
      <c r="B622660" t="s">
        <v>265</v>
      </c>
      <c r="BQ622660" t="s">
        <v>345</v>
      </c>
      <c r="BR622660" t="s">
        <v>131</v>
      </c>
      <c r="BS622660" t="s">
        <v>131</v>
      </c>
      <c r="BT622660" t="s">
        <v>357</v>
      </c>
      <c r="BU622660" t="s">
        <v>131</v>
      </c>
      <c r="BV622660" t="s">
        <v>360</v>
      </c>
      <c r="BW622660" t="s">
        <v>360</v>
      </c>
      <c r="BX622660" t="s">
        <v>360</v>
      </c>
      <c r="BY622660" t="s">
        <v>364</v>
      </c>
      <c r="BZ622660" t="s">
        <v>364</v>
      </c>
      <c r="CA622660" t="s">
        <v>364</v>
      </c>
      <c r="CB622660" t="s">
        <v>368</v>
      </c>
      <c r="CC622660" t="s">
        <v>368</v>
      </c>
      <c r="CD622660" t="s">
        <v>368</v>
      </c>
      <c r="CE622660" t="s">
        <v>352</v>
      </c>
      <c r="CF622660" t="s">
        <v>352</v>
      </c>
      <c r="CG622660" t="s">
        <v>372</v>
      </c>
      <c r="CH622660" t="s">
        <v>372</v>
      </c>
      <c r="CI622660" t="s">
        <v>375</v>
      </c>
      <c r="CJ622660" t="s">
        <v>375</v>
      </c>
      <c r="CK622660" t="s">
        <v>375</v>
      </c>
      <c r="CL622660" t="s">
        <v>379</v>
      </c>
      <c r="CM622660" t="s">
        <v>379</v>
      </c>
      <c r="CN622660" t="s">
        <v>379</v>
      </c>
      <c r="CO622660" t="s">
        <v>383</v>
      </c>
      <c r="CP622660" t="s">
        <v>383</v>
      </c>
      <c r="CQ622660" t="s">
        <v>383</v>
      </c>
      <c r="CR622660" t="s">
        <v>383</v>
      </c>
      <c r="CS622660" t="s">
        <v>383</v>
      </c>
      <c r="CT622660" t="s">
        <v>389</v>
      </c>
      <c r="CU622660" t="s">
        <v>389</v>
      </c>
      <c r="CV622660" t="s">
        <v>389</v>
      </c>
      <c r="CW622660" t="s">
        <v>393</v>
      </c>
      <c r="CX622660" t="s">
        <v>393</v>
      </c>
      <c r="CY622660" t="s">
        <v>396</v>
      </c>
      <c r="CZ622660" t="s">
        <v>396</v>
      </c>
      <c r="DA622660" t="s">
        <v>396</v>
      </c>
      <c r="DB622660" t="s">
        <v>400</v>
      </c>
      <c r="DC622660" t="s">
        <v>400</v>
      </c>
      <c r="DD622660" t="s">
        <v>400</v>
      </c>
      <c r="DE622660" t="s">
        <v>400</v>
      </c>
      <c r="DF622660" t="s">
        <v>400</v>
      </c>
      <c r="DG622660" t="s">
        <v>400</v>
      </c>
      <c r="DH622660" t="s">
        <v>400</v>
      </c>
      <c r="DI622660" t="s">
        <v>121</v>
      </c>
      <c r="DJ622660" t="s">
        <v>121</v>
      </c>
      <c r="DK622660" t="s">
        <v>121</v>
      </c>
      <c r="DL622660" t="s">
        <v>121</v>
      </c>
      <c r="DM622660" t="s">
        <v>121</v>
      </c>
      <c r="DN622660" t="s">
        <v>121</v>
      </c>
      <c r="DO622660" t="s">
        <v>121</v>
      </c>
      <c r="DP622660" t="s">
        <v>121</v>
      </c>
      <c r="DQ622660" t="s">
        <v>121</v>
      </c>
      <c r="DR622660" t="s">
        <v>121</v>
      </c>
      <c r="DS622660" t="s">
        <v>121</v>
      </c>
      <c r="DT622660" t="s">
        <v>121</v>
      </c>
      <c r="DU622660" t="s">
        <v>121</v>
      </c>
      <c r="DV622660" t="s">
        <v>121</v>
      </c>
      <c r="DW622660" t="s">
        <v>121</v>
      </c>
      <c r="DX622660" t="s">
        <v>423</v>
      </c>
      <c r="DY622660" t="s">
        <v>423</v>
      </c>
      <c r="DZ622660" t="s">
        <v>426</v>
      </c>
      <c r="EA622660" t="s">
        <v>426</v>
      </c>
      <c r="EB622660" t="s">
        <v>426</v>
      </c>
      <c r="EC622660" t="s">
        <v>426</v>
      </c>
      <c r="ED622660" t="s">
        <v>426</v>
      </c>
      <c r="EE622660" t="s">
        <v>432</v>
      </c>
      <c r="EF622660" t="s">
        <v>432</v>
      </c>
      <c r="EG622660" t="s">
        <v>432</v>
      </c>
      <c r="EH622660" t="s">
        <v>432</v>
      </c>
      <c r="EI622660" t="s">
        <v>432</v>
      </c>
      <c r="EJ622660" t="s">
        <v>432</v>
      </c>
      <c r="EK622660" t="s">
        <v>432</v>
      </c>
      <c r="EL622660" t="s">
        <v>440</v>
      </c>
      <c r="EM622660" t="s">
        <v>440</v>
      </c>
      <c r="EN622660" t="s">
        <v>440</v>
      </c>
      <c r="EO622660" t="s">
        <v>440</v>
      </c>
      <c r="EP622660" t="s">
        <v>440</v>
      </c>
    </row>
    <row r="622661" spans="2:146">
      <c r="BQ622661" t="s">
        <v>351</v>
      </c>
      <c r="BR622661" t="s">
        <v>355</v>
      </c>
      <c r="BS622661" t="s">
        <v>356</v>
      </c>
      <c r="BT622661" t="s">
        <v>358</v>
      </c>
      <c r="BU622661" t="s">
        <v>359</v>
      </c>
      <c r="BV622661" t="s">
        <v>361</v>
      </c>
      <c r="BW622661" t="s">
        <v>362</v>
      </c>
      <c r="BX622661" t="s">
        <v>363</v>
      </c>
      <c r="BY622661" t="s">
        <v>365</v>
      </c>
      <c r="BZ622661" t="s">
        <v>366</v>
      </c>
      <c r="CA622661" t="s">
        <v>367</v>
      </c>
      <c r="CB622661" t="s">
        <v>369</v>
      </c>
      <c r="CC622661" t="s">
        <v>370</v>
      </c>
      <c r="CD622661" t="s">
        <v>371</v>
      </c>
      <c r="CE622661" t="s">
        <v>353</v>
      </c>
      <c r="CF622661" t="s">
        <v>354</v>
      </c>
      <c r="CG622661" t="s">
        <v>373</v>
      </c>
      <c r="CH622661" t="s">
        <v>374</v>
      </c>
      <c r="CI622661" t="s">
        <v>376</v>
      </c>
      <c r="CJ622661" t="s">
        <v>377</v>
      </c>
      <c r="CK622661" t="s">
        <v>378</v>
      </c>
      <c r="CL622661" t="s">
        <v>380</v>
      </c>
      <c r="CM622661" t="s">
        <v>381</v>
      </c>
      <c r="CN622661" t="s">
        <v>382</v>
      </c>
      <c r="CO622661" t="s">
        <v>384</v>
      </c>
      <c r="CP622661" t="s">
        <v>385</v>
      </c>
      <c r="CQ622661" t="s">
        <v>386</v>
      </c>
      <c r="CR622661" t="s">
        <v>387</v>
      </c>
      <c r="CS622661" t="s">
        <v>388</v>
      </c>
      <c r="CT622661" t="s">
        <v>390</v>
      </c>
      <c r="CU622661" t="s">
        <v>391</v>
      </c>
      <c r="CV622661" t="s">
        <v>392</v>
      </c>
      <c r="CW622661" t="s">
        <v>394</v>
      </c>
      <c r="CX622661" t="s">
        <v>395</v>
      </c>
      <c r="CY622661" t="s">
        <v>397</v>
      </c>
      <c r="CZ622661" t="s">
        <v>398</v>
      </c>
      <c r="DA622661" t="s">
        <v>399</v>
      </c>
      <c r="DB622661" t="s">
        <v>401</v>
      </c>
      <c r="DC622661" t="s">
        <v>402</v>
      </c>
      <c r="DD622661" t="s">
        <v>403</v>
      </c>
      <c r="DE622661" t="s">
        <v>404</v>
      </c>
      <c r="DF622661" t="s">
        <v>405</v>
      </c>
      <c r="DG622661" t="s">
        <v>406</v>
      </c>
      <c r="DH622661" t="s">
        <v>407</v>
      </c>
      <c r="DI622661" t="s">
        <v>408</v>
      </c>
      <c r="DJ622661" t="s">
        <v>409</v>
      </c>
      <c r="DK622661" t="s">
        <v>410</v>
      </c>
      <c r="DL622661" t="s">
        <v>411</v>
      </c>
      <c r="DM622661" t="s">
        <v>412</v>
      </c>
      <c r="DN622661" t="s">
        <v>413</v>
      </c>
      <c r="DO622661" t="s">
        <v>414</v>
      </c>
      <c r="DP622661" t="s">
        <v>415</v>
      </c>
      <c r="DQ622661" t="s">
        <v>416</v>
      </c>
      <c r="DR622661" t="s">
        <v>417</v>
      </c>
      <c r="DS622661" t="s">
        <v>418</v>
      </c>
      <c r="DT622661" t="s">
        <v>419</v>
      </c>
      <c r="DU622661" t="s">
        <v>420</v>
      </c>
      <c r="DV622661" t="s">
        <v>421</v>
      </c>
      <c r="DW622661" t="s">
        <v>422</v>
      </c>
      <c r="DX622661" t="s">
        <v>424</v>
      </c>
      <c r="DY622661" t="s">
        <v>425</v>
      </c>
      <c r="DZ622661" t="s">
        <v>427</v>
      </c>
      <c r="EA622661" t="s">
        <v>428</v>
      </c>
      <c r="EB622661" t="s">
        <v>429</v>
      </c>
      <c r="EC622661" t="s">
        <v>430</v>
      </c>
      <c r="ED622661" t="s">
        <v>431</v>
      </c>
      <c r="EE622661" t="s">
        <v>433</v>
      </c>
      <c r="EF622661" t="s">
        <v>434</v>
      </c>
      <c r="EG622661" t="s">
        <v>435</v>
      </c>
      <c r="EH622661" t="s">
        <v>436</v>
      </c>
      <c r="EI622661" t="s">
        <v>437</v>
      </c>
      <c r="EJ622661" t="s">
        <v>438</v>
      </c>
      <c r="EK622661" t="s">
        <v>439</v>
      </c>
      <c r="EL622661" t="s">
        <v>441</v>
      </c>
      <c r="EM622661" t="s">
        <v>442</v>
      </c>
      <c r="EN622661" t="s">
        <v>443</v>
      </c>
      <c r="EO622661" t="s">
        <v>444</v>
      </c>
      <c r="EP622661" t="s">
        <v>445</v>
      </c>
    </row>
    <row r="622662" spans="2:146">
      <c r="BQ622662">
        <v>67</v>
      </c>
      <c r="BR622662">
        <v>68</v>
      </c>
      <c r="BS622662">
        <v>69</v>
      </c>
      <c r="BT622662">
        <v>70</v>
      </c>
      <c r="BU622662">
        <v>71</v>
      </c>
      <c r="BV622662">
        <v>72</v>
      </c>
      <c r="BW622662">
        <v>73</v>
      </c>
      <c r="BX622662">
        <v>74</v>
      </c>
      <c r="BY622662">
        <v>75</v>
      </c>
      <c r="BZ622662">
        <v>76</v>
      </c>
      <c r="CA622662">
        <v>77</v>
      </c>
      <c r="CB622662">
        <v>78</v>
      </c>
      <c r="CC622662">
        <v>79</v>
      </c>
      <c r="CD622662">
        <v>80</v>
      </c>
      <c r="CE622662">
        <v>81</v>
      </c>
      <c r="CF622662">
        <v>82</v>
      </c>
      <c r="CG622662">
        <v>83</v>
      </c>
      <c r="CH622662">
        <v>84</v>
      </c>
      <c r="CI622662">
        <v>85</v>
      </c>
      <c r="CJ622662">
        <v>86</v>
      </c>
      <c r="CK622662">
        <v>87</v>
      </c>
      <c r="CL622662">
        <v>88</v>
      </c>
      <c r="CM622662">
        <v>89</v>
      </c>
      <c r="CN622662">
        <v>90</v>
      </c>
      <c r="CO622662">
        <v>91</v>
      </c>
      <c r="CP622662">
        <v>92</v>
      </c>
      <c r="CQ622662">
        <v>93</v>
      </c>
      <c r="CR622662">
        <v>94</v>
      </c>
      <c r="CS622662">
        <v>95</v>
      </c>
      <c r="CT622662">
        <v>96</v>
      </c>
      <c r="CU622662">
        <v>97</v>
      </c>
      <c r="CV622662">
        <v>98</v>
      </c>
      <c r="CW622662">
        <v>99</v>
      </c>
      <c r="CX622662">
        <v>100</v>
      </c>
      <c r="CY622662">
        <v>101</v>
      </c>
      <c r="CZ622662">
        <v>102</v>
      </c>
      <c r="DA622662">
        <v>103</v>
      </c>
      <c r="DB622662">
        <v>104</v>
      </c>
      <c r="DC622662">
        <v>105</v>
      </c>
      <c r="DD622662">
        <v>106</v>
      </c>
      <c r="DE622662">
        <v>107</v>
      </c>
      <c r="DF622662">
        <v>108</v>
      </c>
      <c r="DG622662">
        <v>109</v>
      </c>
      <c r="DH622662">
        <v>110</v>
      </c>
      <c r="DI622662">
        <v>111</v>
      </c>
      <c r="DJ622662">
        <v>112</v>
      </c>
      <c r="DK622662">
        <v>113</v>
      </c>
      <c r="DL622662">
        <v>114</v>
      </c>
      <c r="DM622662">
        <v>115</v>
      </c>
      <c r="DN622662">
        <v>116</v>
      </c>
      <c r="DO622662">
        <v>117</v>
      </c>
      <c r="DP622662">
        <v>118</v>
      </c>
      <c r="DQ622662">
        <v>119</v>
      </c>
      <c r="DR622662">
        <v>120</v>
      </c>
      <c r="DS622662">
        <v>121</v>
      </c>
      <c r="DT622662">
        <v>122</v>
      </c>
      <c r="DU622662">
        <v>123</v>
      </c>
      <c r="DV622662">
        <v>124</v>
      </c>
      <c r="DW622662">
        <v>125</v>
      </c>
      <c r="DX622662">
        <v>126</v>
      </c>
      <c r="DY622662">
        <v>127</v>
      </c>
      <c r="DZ622662">
        <v>128</v>
      </c>
      <c r="EA622662">
        <v>129</v>
      </c>
      <c r="EB622662">
        <v>130</v>
      </c>
      <c r="EC622662">
        <v>131</v>
      </c>
      <c r="ED622662">
        <v>132</v>
      </c>
      <c r="EE622662">
        <v>133</v>
      </c>
      <c r="EF622662">
        <v>134</v>
      </c>
      <c r="EG622662">
        <v>135</v>
      </c>
      <c r="EH622662">
        <v>136</v>
      </c>
      <c r="EI622662">
        <v>137</v>
      </c>
      <c r="EJ622662">
        <v>138</v>
      </c>
      <c r="EK622662">
        <v>139</v>
      </c>
      <c r="EL622662">
        <v>140</v>
      </c>
      <c r="EM622662">
        <v>141</v>
      </c>
      <c r="EN622662">
        <v>142</v>
      </c>
      <c r="EO622662">
        <v>143</v>
      </c>
      <c r="EP622662">
        <v>144</v>
      </c>
    </row>
    <row r="622663" spans="2:146">
      <c r="CE622663" t="s">
        <v>451</v>
      </c>
    </row>
    <row r="638978" spans="2:2">
      <c r="B638978">
        <v>200</v>
      </c>
    </row>
    <row r="638979" spans="2:2">
      <c r="B638979">
        <v>200</v>
      </c>
    </row>
    <row r="638980" spans="2:2">
      <c r="B638980">
        <v>800</v>
      </c>
    </row>
    <row r="638981" spans="2:2">
      <c r="B638981">
        <v>200</v>
      </c>
    </row>
    <row r="638982" spans="2:2">
      <c r="B638982">
        <v>1044</v>
      </c>
    </row>
    <row r="638983" spans="2:2">
      <c r="B638983">
        <v>998.40000000000009</v>
      </c>
    </row>
    <row r="638984" spans="2:2">
      <c r="B638984">
        <v>272</v>
      </c>
    </row>
    <row r="638985" spans="2:2">
      <c r="B638985">
        <v>200</v>
      </c>
    </row>
    <row r="638986" spans="2:2">
      <c r="B638986">
        <v>214</v>
      </c>
    </row>
    <row r="638987" spans="2:2">
      <c r="B638987">
        <v>200</v>
      </c>
    </row>
    <row r="638988" spans="2:2">
      <c r="B638988">
        <v>152</v>
      </c>
    </row>
    <row r="638989" spans="2:2">
      <c r="B638989">
        <v>200</v>
      </c>
    </row>
    <row r="638990" spans="2:2">
      <c r="B638990">
        <v>300</v>
      </c>
    </row>
    <row r="638991" spans="2:2">
      <c r="B638991">
        <v>104</v>
      </c>
    </row>
    <row r="638992" spans="2:2">
      <c r="B638992">
        <v>162</v>
      </c>
    </row>
    <row r="638993" spans="2:2">
      <c r="B638993">
        <v>200</v>
      </c>
    </row>
    <row r="638994" spans="2:2">
      <c r="B638994">
        <v>200</v>
      </c>
    </row>
    <row r="638995" spans="2:2">
      <c r="B638995">
        <v>200</v>
      </c>
    </row>
    <row r="638996" spans="2:2">
      <c r="B638996">
        <v>200</v>
      </c>
    </row>
    <row r="638997" spans="2:2">
      <c r="B638997">
        <v>200</v>
      </c>
    </row>
    <row r="638998" spans="2:2">
      <c r="B638998">
        <v>200</v>
      </c>
    </row>
    <row r="638999" spans="2:2">
      <c r="B638999">
        <v>200</v>
      </c>
    </row>
    <row r="639000" spans="2:2">
      <c r="B639000">
        <v>200</v>
      </c>
    </row>
    <row r="639001" spans="2:2">
      <c r="B639001">
        <v>800</v>
      </c>
    </row>
    <row r="639002" spans="2:2">
      <c r="B639002">
        <v>300</v>
      </c>
    </row>
    <row r="639003" spans="2:2">
      <c r="B639003">
        <v>778</v>
      </c>
    </row>
    <row r="639004" spans="2:2">
      <c r="B639004">
        <v>614</v>
      </c>
    </row>
    <row r="639005" spans="2:2">
      <c r="B639005">
        <v>444</v>
      </c>
    </row>
    <row r="639006" spans="2:2">
      <c r="B639006">
        <v>800</v>
      </c>
    </row>
    <row r="639007" spans="2:2">
      <c r="B639007">
        <v>200</v>
      </c>
    </row>
    <row r="639008" spans="2:2">
      <c r="B639008">
        <v>780</v>
      </c>
    </row>
    <row r="639009" spans="2:146">
      <c r="B639009">
        <v>174</v>
      </c>
    </row>
    <row r="639010" spans="2:146">
      <c r="B639010">
        <v>194</v>
      </c>
    </row>
    <row r="639011" spans="2:146">
      <c r="B639011">
        <v>782</v>
      </c>
    </row>
    <row r="639012" spans="2:146">
      <c r="B639012">
        <v>236</v>
      </c>
    </row>
    <row r="639013" spans="2:146">
      <c r="B639013">
        <v>144</v>
      </c>
    </row>
    <row r="639014" spans="2:146">
      <c r="B639014">
        <v>200</v>
      </c>
    </row>
    <row r="639015" spans="2:146">
      <c r="B639015">
        <v>240</v>
      </c>
    </row>
    <row r="639016" spans="2:146">
      <c r="B639016">
        <v>200</v>
      </c>
    </row>
    <row r="639017" spans="2:146">
      <c r="B639017">
        <v>612</v>
      </c>
    </row>
    <row r="639018" spans="2:146">
      <c r="B639018">
        <v>156</v>
      </c>
    </row>
    <row r="639019" spans="2:146">
      <c r="B639019">
        <v>116</v>
      </c>
    </row>
    <row r="639020" spans="2:146">
      <c r="B639020">
        <v>160</v>
      </c>
    </row>
    <row r="639021" spans="2:146">
      <c r="B639021">
        <v>80</v>
      </c>
      <c r="EL639021">
        <v>0.66</v>
      </c>
      <c r="EM639021">
        <v>0.66</v>
      </c>
      <c r="EN639021">
        <v>0.66</v>
      </c>
      <c r="EO639021">
        <v>0.66</v>
      </c>
      <c r="EP639021">
        <v>0.66</v>
      </c>
    </row>
    <row r="639022" spans="2:146">
      <c r="B639022">
        <v>1144</v>
      </c>
      <c r="BV639022">
        <v>5.0999999999999996</v>
      </c>
      <c r="BW639022">
        <v>5.0999999999999996</v>
      </c>
      <c r="DB639022">
        <v>10.210000000000001</v>
      </c>
      <c r="DC639022">
        <v>10.210000000000001</v>
      </c>
      <c r="DD639022">
        <v>10.210000000000001</v>
      </c>
      <c r="DE639022">
        <v>10.210000000000001</v>
      </c>
      <c r="DF639022">
        <v>10.210000000000001</v>
      </c>
      <c r="DG639022">
        <v>10.210000000000001</v>
      </c>
      <c r="DH639022">
        <v>10.210000000000001</v>
      </c>
    </row>
    <row r="639023" spans="2:146">
      <c r="B639023">
        <v>1240</v>
      </c>
      <c r="EE639023">
        <v>8.15</v>
      </c>
      <c r="EF639023">
        <v>8.15</v>
      </c>
      <c r="EG639023">
        <v>8.15</v>
      </c>
      <c r="EH639023">
        <v>8.15</v>
      </c>
      <c r="EI639023">
        <v>8.15</v>
      </c>
      <c r="EJ639023">
        <v>8.15</v>
      </c>
      <c r="EK639023">
        <v>8.15</v>
      </c>
    </row>
    <row r="639024" spans="2:146">
      <c r="B639024">
        <v>2083.2000000000003</v>
      </c>
      <c r="DI639024">
        <v>20.03</v>
      </c>
      <c r="DJ639024">
        <v>20.03</v>
      </c>
      <c r="DQ639024">
        <v>20.03</v>
      </c>
      <c r="DT639024">
        <v>20.03</v>
      </c>
      <c r="DW639024">
        <v>20.03</v>
      </c>
    </row>
    <row r="639025" spans="2:134">
      <c r="B639025">
        <v>357.20000000000005</v>
      </c>
      <c r="DI639025">
        <v>3.88</v>
      </c>
      <c r="DJ639025">
        <v>3.88</v>
      </c>
      <c r="DV639025">
        <v>3.88</v>
      </c>
      <c r="DW639025">
        <v>3.88</v>
      </c>
    </row>
    <row r="639026" spans="2:134">
      <c r="B639026">
        <v>391.20000000000005</v>
      </c>
      <c r="DI639026">
        <v>3.62</v>
      </c>
      <c r="DJ639026">
        <v>3.62</v>
      </c>
      <c r="DR639026">
        <v>3.62</v>
      </c>
      <c r="DU639026">
        <v>3.62</v>
      </c>
      <c r="DV639026">
        <v>3.62</v>
      </c>
    </row>
    <row r="639027" spans="2:134">
      <c r="B639027">
        <v>762.80000000000007</v>
      </c>
      <c r="DI639027">
        <v>6.15</v>
      </c>
      <c r="DJ639027">
        <v>6.15</v>
      </c>
      <c r="DQ639027">
        <v>6.15</v>
      </c>
      <c r="DR639027">
        <v>6.15</v>
      </c>
      <c r="DS639027">
        <v>6.15</v>
      </c>
      <c r="DT639027">
        <v>6.15</v>
      </c>
    </row>
    <row r="639028" spans="2:134">
      <c r="B639028">
        <v>1280</v>
      </c>
      <c r="DI639028">
        <v>10.66</v>
      </c>
      <c r="DJ639028">
        <v>10.66</v>
      </c>
      <c r="DK639028">
        <v>10.66</v>
      </c>
      <c r="DL639028">
        <v>10.66</v>
      </c>
      <c r="DM639028">
        <v>10.66</v>
      </c>
      <c r="DN639028">
        <v>10.66</v>
      </c>
    </row>
    <row r="639029" spans="2:134">
      <c r="B639029">
        <v>234</v>
      </c>
      <c r="CT639029">
        <v>2.5</v>
      </c>
      <c r="CU639029">
        <v>2.5</v>
      </c>
      <c r="CV639029">
        <v>2.5</v>
      </c>
    </row>
    <row r="639030" spans="2:134">
      <c r="B639030">
        <v>354</v>
      </c>
      <c r="CY639030">
        <v>3.98</v>
      </c>
      <c r="CZ639030">
        <v>3.98</v>
      </c>
      <c r="DA639030">
        <v>3.98</v>
      </c>
    </row>
    <row r="639031" spans="2:134">
      <c r="B639031">
        <v>392</v>
      </c>
      <c r="DI639031">
        <v>3.52</v>
      </c>
      <c r="DJ639031">
        <v>3.52</v>
      </c>
      <c r="DL639031">
        <v>3.52</v>
      </c>
      <c r="DO639031">
        <v>3.52</v>
      </c>
    </row>
    <row r="639032" spans="2:134">
      <c r="B639032">
        <v>304</v>
      </c>
      <c r="CE639032">
        <v>3.8</v>
      </c>
      <c r="CF639032">
        <v>3.8</v>
      </c>
    </row>
    <row r="639033" spans="2:134">
      <c r="B639033">
        <v>144</v>
      </c>
      <c r="DZ639033">
        <v>1.62</v>
      </c>
      <c r="EA639033">
        <v>1.62</v>
      </c>
      <c r="EB639033">
        <v>1.62</v>
      </c>
      <c r="EC639033">
        <v>0.81</v>
      </c>
      <c r="ED639033">
        <v>0.81</v>
      </c>
    </row>
    <row r="639034" spans="2:134">
      <c r="B639034">
        <v>602.40000000000009</v>
      </c>
      <c r="BY639034">
        <v>6.02</v>
      </c>
      <c r="BZ639034">
        <v>6.02</v>
      </c>
      <c r="CB639034">
        <v>3.01</v>
      </c>
      <c r="CC639034">
        <v>3.01</v>
      </c>
      <c r="CD639034">
        <v>3.01</v>
      </c>
      <c r="CI639034">
        <v>6.02</v>
      </c>
      <c r="CJ639034">
        <v>6.02</v>
      </c>
      <c r="CK639034">
        <v>6.02</v>
      </c>
    </row>
    <row r="639035" spans="2:134">
      <c r="B639035">
        <v>307.60000000000002</v>
      </c>
      <c r="BY639035">
        <v>3.34</v>
      </c>
      <c r="BZ639035">
        <v>3.34</v>
      </c>
      <c r="CG639035">
        <v>3.34</v>
      </c>
      <c r="CH639035">
        <v>3.34</v>
      </c>
    </row>
    <row r="639036" spans="2:134">
      <c r="B639036">
        <v>358</v>
      </c>
      <c r="BY639036">
        <v>2.37</v>
      </c>
      <c r="BZ639036">
        <v>2.37</v>
      </c>
      <c r="CA639036">
        <v>2.37</v>
      </c>
      <c r="DX639036">
        <v>4.74</v>
      </c>
      <c r="DY639036">
        <v>4.74</v>
      </c>
    </row>
    <row r="639037" spans="2:134">
      <c r="B639037">
        <v>286</v>
      </c>
      <c r="BT639037">
        <v>1.43</v>
      </c>
      <c r="BV639037">
        <v>1.43</v>
      </c>
      <c r="BW639037">
        <v>1.43</v>
      </c>
      <c r="BX639037">
        <v>1.43</v>
      </c>
      <c r="CO639037">
        <v>2.86</v>
      </c>
      <c r="CP639037">
        <v>2.86</v>
      </c>
      <c r="CQ639037">
        <v>2.86</v>
      </c>
      <c r="CR639037">
        <v>2.86</v>
      </c>
      <c r="CS639037">
        <v>2.86</v>
      </c>
    </row>
    <row r="639038" spans="2:134">
      <c r="B639038">
        <v>410</v>
      </c>
      <c r="BY639038">
        <v>2.88</v>
      </c>
      <c r="BZ639038">
        <v>2.88</v>
      </c>
      <c r="CA639038">
        <v>2.88</v>
      </c>
      <c r="CW639038">
        <v>5.76</v>
      </c>
      <c r="CX639038">
        <v>5.76</v>
      </c>
    </row>
    <row r="639039" spans="2:134">
      <c r="B639039">
        <v>346</v>
      </c>
      <c r="BR639039">
        <v>3.6</v>
      </c>
      <c r="BS639039">
        <v>3.6</v>
      </c>
      <c r="BT639039">
        <v>1.8</v>
      </c>
      <c r="CL639039">
        <v>3.6</v>
      </c>
      <c r="CM639039">
        <v>3.6</v>
      </c>
      <c r="CN639039">
        <v>3.6</v>
      </c>
    </row>
    <row r="639040" spans="2:134">
      <c r="B639040">
        <v>302</v>
      </c>
      <c r="BR639040">
        <v>3.28</v>
      </c>
      <c r="BS639040">
        <v>3.28</v>
      </c>
      <c r="BT639040">
        <v>1.64</v>
      </c>
      <c r="BU639040">
        <v>1.64</v>
      </c>
      <c r="CL639040">
        <v>3.28</v>
      </c>
      <c r="CM639040">
        <v>3.28</v>
      </c>
      <c r="CN639040">
        <v>3.28</v>
      </c>
    </row>
    <row r="639041" spans="2:146">
      <c r="B639041">
        <v>204</v>
      </c>
      <c r="BR639041">
        <v>2.12</v>
      </c>
      <c r="BS639041">
        <v>2.12</v>
      </c>
      <c r="BT639041">
        <v>1.06</v>
      </c>
      <c r="CL639041">
        <v>2.12</v>
      </c>
      <c r="CM639041">
        <v>2.12</v>
      </c>
      <c r="CN639041">
        <v>2.12</v>
      </c>
    </row>
    <row r="639043" spans="2:146">
      <c r="B639043">
        <v>26358.800000000003</v>
      </c>
      <c r="BQ639043">
        <v>0</v>
      </c>
      <c r="BR639043">
        <v>9</v>
      </c>
      <c r="BS639043">
        <v>9</v>
      </c>
      <c r="BT639043">
        <v>5.93</v>
      </c>
      <c r="BU639043">
        <v>1.64</v>
      </c>
      <c r="BV639043">
        <v>6.5299999999999994</v>
      </c>
      <c r="BW639043">
        <v>6.5299999999999994</v>
      </c>
      <c r="BX639043">
        <v>1.43</v>
      </c>
      <c r="BY639043">
        <v>14.61</v>
      </c>
      <c r="BZ639043">
        <v>14.61</v>
      </c>
      <c r="CA639043">
        <v>5.25</v>
      </c>
      <c r="CB639043">
        <v>3.01</v>
      </c>
      <c r="CC639043">
        <v>3.01</v>
      </c>
      <c r="CD639043">
        <v>3.01</v>
      </c>
      <c r="CE639043">
        <v>3.8</v>
      </c>
      <c r="CF639043">
        <v>3.8</v>
      </c>
      <c r="CG639043">
        <v>3.34</v>
      </c>
      <c r="CH639043">
        <v>3.34</v>
      </c>
      <c r="CI639043">
        <v>6.02</v>
      </c>
      <c r="CJ639043">
        <v>6.02</v>
      </c>
      <c r="CK639043">
        <v>6.02</v>
      </c>
      <c r="CL639043">
        <v>9</v>
      </c>
      <c r="CM639043">
        <v>9</v>
      </c>
      <c r="CN639043">
        <v>9</v>
      </c>
      <c r="CO639043">
        <v>2.86</v>
      </c>
      <c r="CP639043">
        <v>2.86</v>
      </c>
      <c r="CQ639043">
        <v>2.86</v>
      </c>
      <c r="CR639043">
        <v>2.86</v>
      </c>
      <c r="CS639043">
        <v>2.86</v>
      </c>
      <c r="CT639043">
        <v>2.5</v>
      </c>
      <c r="CU639043">
        <v>2.5</v>
      </c>
      <c r="CV639043">
        <v>2.5</v>
      </c>
      <c r="CW639043">
        <v>5.76</v>
      </c>
      <c r="CX639043">
        <v>5.76</v>
      </c>
      <c r="CY639043">
        <v>3.98</v>
      </c>
      <c r="CZ639043">
        <v>3.98</v>
      </c>
      <c r="DA639043">
        <v>3.98</v>
      </c>
      <c r="DB639043">
        <v>10.210000000000001</v>
      </c>
      <c r="DC639043">
        <v>10.210000000000001</v>
      </c>
      <c r="DD639043">
        <v>10.210000000000001</v>
      </c>
      <c r="DE639043">
        <v>10.210000000000001</v>
      </c>
      <c r="DF639043">
        <v>10.210000000000001</v>
      </c>
      <c r="DG639043">
        <v>10.210000000000001</v>
      </c>
      <c r="DH639043">
        <v>10.210000000000001</v>
      </c>
      <c r="DI639043">
        <v>47.860000000000007</v>
      </c>
      <c r="DJ639043">
        <v>47.860000000000007</v>
      </c>
      <c r="DK639043">
        <v>10.66</v>
      </c>
      <c r="DL639043">
        <v>14.18</v>
      </c>
      <c r="DM639043">
        <v>10.66</v>
      </c>
      <c r="DN639043">
        <v>10.66</v>
      </c>
      <c r="DO639043">
        <v>3.52</v>
      </c>
      <c r="DP639043">
        <v>0</v>
      </c>
      <c r="DQ639043">
        <v>26.18</v>
      </c>
      <c r="DR639043">
        <v>9.77</v>
      </c>
      <c r="DS639043">
        <v>6.15</v>
      </c>
      <c r="DT639043">
        <v>26.18</v>
      </c>
      <c r="DU639043">
        <v>3.62</v>
      </c>
      <c r="DV639043">
        <v>7.5</v>
      </c>
      <c r="DW639043">
        <v>23.91</v>
      </c>
      <c r="DX639043">
        <v>4.74</v>
      </c>
      <c r="DY639043">
        <v>4.74</v>
      </c>
      <c r="DZ639043">
        <v>1.62</v>
      </c>
      <c r="EA639043">
        <v>1.62</v>
      </c>
      <c r="EB639043">
        <v>1.62</v>
      </c>
      <c r="EC639043">
        <v>0.81</v>
      </c>
      <c r="ED639043">
        <v>0.81</v>
      </c>
      <c r="EE639043">
        <v>8.15</v>
      </c>
      <c r="EF639043">
        <v>8.15</v>
      </c>
      <c r="EG639043">
        <v>8.15</v>
      </c>
      <c r="EH639043">
        <v>8.15</v>
      </c>
      <c r="EI639043">
        <v>8.15</v>
      </c>
      <c r="EJ639043">
        <v>8.15</v>
      </c>
      <c r="EK639043">
        <v>8.15</v>
      </c>
      <c r="EL639043">
        <v>0.66</v>
      </c>
      <c r="EM639043">
        <v>0.66</v>
      </c>
      <c r="EN639043">
        <v>0.66</v>
      </c>
      <c r="EO639043">
        <v>0.66</v>
      </c>
      <c r="EP639043">
        <v>0.66</v>
      </c>
    </row>
    <row r="639044" spans="2:146">
      <c r="B639044" t="s">
        <v>265</v>
      </c>
      <c r="BQ639044" t="s">
        <v>345</v>
      </c>
      <c r="BR639044" t="s">
        <v>131</v>
      </c>
      <c r="BS639044" t="s">
        <v>131</v>
      </c>
      <c r="BT639044" t="s">
        <v>357</v>
      </c>
      <c r="BU639044" t="s">
        <v>131</v>
      </c>
      <c r="BV639044" t="s">
        <v>360</v>
      </c>
      <c r="BW639044" t="s">
        <v>360</v>
      </c>
      <c r="BX639044" t="s">
        <v>360</v>
      </c>
      <c r="BY639044" t="s">
        <v>364</v>
      </c>
      <c r="BZ639044" t="s">
        <v>364</v>
      </c>
      <c r="CA639044" t="s">
        <v>364</v>
      </c>
      <c r="CB639044" t="s">
        <v>368</v>
      </c>
      <c r="CC639044" t="s">
        <v>368</v>
      </c>
      <c r="CD639044" t="s">
        <v>368</v>
      </c>
      <c r="CE639044" t="s">
        <v>352</v>
      </c>
      <c r="CF639044" t="s">
        <v>352</v>
      </c>
      <c r="CG639044" t="s">
        <v>372</v>
      </c>
      <c r="CH639044" t="s">
        <v>372</v>
      </c>
      <c r="CI639044" t="s">
        <v>375</v>
      </c>
      <c r="CJ639044" t="s">
        <v>375</v>
      </c>
      <c r="CK639044" t="s">
        <v>375</v>
      </c>
      <c r="CL639044" t="s">
        <v>379</v>
      </c>
      <c r="CM639044" t="s">
        <v>379</v>
      </c>
      <c r="CN639044" t="s">
        <v>379</v>
      </c>
      <c r="CO639044" t="s">
        <v>383</v>
      </c>
      <c r="CP639044" t="s">
        <v>383</v>
      </c>
      <c r="CQ639044" t="s">
        <v>383</v>
      </c>
      <c r="CR639044" t="s">
        <v>383</v>
      </c>
      <c r="CS639044" t="s">
        <v>383</v>
      </c>
      <c r="CT639044" t="s">
        <v>389</v>
      </c>
      <c r="CU639044" t="s">
        <v>389</v>
      </c>
      <c r="CV639044" t="s">
        <v>389</v>
      </c>
      <c r="CW639044" t="s">
        <v>393</v>
      </c>
      <c r="CX639044" t="s">
        <v>393</v>
      </c>
      <c r="CY639044" t="s">
        <v>396</v>
      </c>
      <c r="CZ639044" t="s">
        <v>396</v>
      </c>
      <c r="DA639044" t="s">
        <v>396</v>
      </c>
      <c r="DB639044" t="s">
        <v>400</v>
      </c>
      <c r="DC639044" t="s">
        <v>400</v>
      </c>
      <c r="DD639044" t="s">
        <v>400</v>
      </c>
      <c r="DE639044" t="s">
        <v>400</v>
      </c>
      <c r="DF639044" t="s">
        <v>400</v>
      </c>
      <c r="DG639044" t="s">
        <v>400</v>
      </c>
      <c r="DH639044" t="s">
        <v>400</v>
      </c>
      <c r="DI639044" t="s">
        <v>121</v>
      </c>
      <c r="DJ639044" t="s">
        <v>121</v>
      </c>
      <c r="DK639044" t="s">
        <v>121</v>
      </c>
      <c r="DL639044" t="s">
        <v>121</v>
      </c>
      <c r="DM639044" t="s">
        <v>121</v>
      </c>
      <c r="DN639044" t="s">
        <v>121</v>
      </c>
      <c r="DO639044" t="s">
        <v>121</v>
      </c>
      <c r="DP639044" t="s">
        <v>121</v>
      </c>
      <c r="DQ639044" t="s">
        <v>121</v>
      </c>
      <c r="DR639044" t="s">
        <v>121</v>
      </c>
      <c r="DS639044" t="s">
        <v>121</v>
      </c>
      <c r="DT639044" t="s">
        <v>121</v>
      </c>
      <c r="DU639044" t="s">
        <v>121</v>
      </c>
      <c r="DV639044" t="s">
        <v>121</v>
      </c>
      <c r="DW639044" t="s">
        <v>121</v>
      </c>
      <c r="DX639044" t="s">
        <v>423</v>
      </c>
      <c r="DY639044" t="s">
        <v>423</v>
      </c>
      <c r="DZ639044" t="s">
        <v>426</v>
      </c>
      <c r="EA639044" t="s">
        <v>426</v>
      </c>
      <c r="EB639044" t="s">
        <v>426</v>
      </c>
      <c r="EC639044" t="s">
        <v>426</v>
      </c>
      <c r="ED639044" t="s">
        <v>426</v>
      </c>
      <c r="EE639044" t="s">
        <v>432</v>
      </c>
      <c r="EF639044" t="s">
        <v>432</v>
      </c>
      <c r="EG639044" t="s">
        <v>432</v>
      </c>
      <c r="EH639044" t="s">
        <v>432</v>
      </c>
      <c r="EI639044" t="s">
        <v>432</v>
      </c>
      <c r="EJ639044" t="s">
        <v>432</v>
      </c>
      <c r="EK639044" t="s">
        <v>432</v>
      </c>
      <c r="EL639044" t="s">
        <v>440</v>
      </c>
      <c r="EM639044" t="s">
        <v>440</v>
      </c>
      <c r="EN639044" t="s">
        <v>440</v>
      </c>
      <c r="EO639044" t="s">
        <v>440</v>
      </c>
      <c r="EP639044" t="s">
        <v>440</v>
      </c>
    </row>
    <row r="639045" spans="2:146">
      <c r="BQ639045" t="s">
        <v>351</v>
      </c>
      <c r="BR639045" t="s">
        <v>355</v>
      </c>
      <c r="BS639045" t="s">
        <v>356</v>
      </c>
      <c r="BT639045" t="s">
        <v>358</v>
      </c>
      <c r="BU639045" t="s">
        <v>359</v>
      </c>
      <c r="BV639045" t="s">
        <v>361</v>
      </c>
      <c r="BW639045" t="s">
        <v>362</v>
      </c>
      <c r="BX639045" t="s">
        <v>363</v>
      </c>
      <c r="BY639045" t="s">
        <v>365</v>
      </c>
      <c r="BZ639045" t="s">
        <v>366</v>
      </c>
      <c r="CA639045" t="s">
        <v>367</v>
      </c>
      <c r="CB639045" t="s">
        <v>369</v>
      </c>
      <c r="CC639045" t="s">
        <v>370</v>
      </c>
      <c r="CD639045" t="s">
        <v>371</v>
      </c>
      <c r="CE639045" t="s">
        <v>353</v>
      </c>
      <c r="CF639045" t="s">
        <v>354</v>
      </c>
      <c r="CG639045" t="s">
        <v>373</v>
      </c>
      <c r="CH639045" t="s">
        <v>374</v>
      </c>
      <c r="CI639045" t="s">
        <v>376</v>
      </c>
      <c r="CJ639045" t="s">
        <v>377</v>
      </c>
      <c r="CK639045" t="s">
        <v>378</v>
      </c>
      <c r="CL639045" t="s">
        <v>380</v>
      </c>
      <c r="CM639045" t="s">
        <v>381</v>
      </c>
      <c r="CN639045" t="s">
        <v>382</v>
      </c>
      <c r="CO639045" t="s">
        <v>384</v>
      </c>
      <c r="CP639045" t="s">
        <v>385</v>
      </c>
      <c r="CQ639045" t="s">
        <v>386</v>
      </c>
      <c r="CR639045" t="s">
        <v>387</v>
      </c>
      <c r="CS639045" t="s">
        <v>388</v>
      </c>
      <c r="CT639045" t="s">
        <v>390</v>
      </c>
      <c r="CU639045" t="s">
        <v>391</v>
      </c>
      <c r="CV639045" t="s">
        <v>392</v>
      </c>
      <c r="CW639045" t="s">
        <v>394</v>
      </c>
      <c r="CX639045" t="s">
        <v>395</v>
      </c>
      <c r="CY639045" t="s">
        <v>397</v>
      </c>
      <c r="CZ639045" t="s">
        <v>398</v>
      </c>
      <c r="DA639045" t="s">
        <v>399</v>
      </c>
      <c r="DB639045" t="s">
        <v>401</v>
      </c>
      <c r="DC639045" t="s">
        <v>402</v>
      </c>
      <c r="DD639045" t="s">
        <v>403</v>
      </c>
      <c r="DE639045" t="s">
        <v>404</v>
      </c>
      <c r="DF639045" t="s">
        <v>405</v>
      </c>
      <c r="DG639045" t="s">
        <v>406</v>
      </c>
      <c r="DH639045" t="s">
        <v>407</v>
      </c>
      <c r="DI639045" t="s">
        <v>408</v>
      </c>
      <c r="DJ639045" t="s">
        <v>409</v>
      </c>
      <c r="DK639045" t="s">
        <v>410</v>
      </c>
      <c r="DL639045" t="s">
        <v>411</v>
      </c>
      <c r="DM639045" t="s">
        <v>412</v>
      </c>
      <c r="DN639045" t="s">
        <v>413</v>
      </c>
      <c r="DO639045" t="s">
        <v>414</v>
      </c>
      <c r="DP639045" t="s">
        <v>415</v>
      </c>
      <c r="DQ639045" t="s">
        <v>416</v>
      </c>
      <c r="DR639045" t="s">
        <v>417</v>
      </c>
      <c r="DS639045" t="s">
        <v>418</v>
      </c>
      <c r="DT639045" t="s">
        <v>419</v>
      </c>
      <c r="DU639045" t="s">
        <v>420</v>
      </c>
      <c r="DV639045" t="s">
        <v>421</v>
      </c>
      <c r="DW639045" t="s">
        <v>422</v>
      </c>
      <c r="DX639045" t="s">
        <v>424</v>
      </c>
      <c r="DY639045" t="s">
        <v>425</v>
      </c>
      <c r="DZ639045" t="s">
        <v>427</v>
      </c>
      <c r="EA639045" t="s">
        <v>428</v>
      </c>
      <c r="EB639045" t="s">
        <v>429</v>
      </c>
      <c r="EC639045" t="s">
        <v>430</v>
      </c>
      <c r="ED639045" t="s">
        <v>431</v>
      </c>
      <c r="EE639045" t="s">
        <v>433</v>
      </c>
      <c r="EF639045" t="s">
        <v>434</v>
      </c>
      <c r="EG639045" t="s">
        <v>435</v>
      </c>
      <c r="EH639045" t="s">
        <v>436</v>
      </c>
      <c r="EI639045" t="s">
        <v>437</v>
      </c>
      <c r="EJ639045" t="s">
        <v>438</v>
      </c>
      <c r="EK639045" t="s">
        <v>439</v>
      </c>
      <c r="EL639045" t="s">
        <v>441</v>
      </c>
      <c r="EM639045" t="s">
        <v>442</v>
      </c>
      <c r="EN639045" t="s">
        <v>443</v>
      </c>
      <c r="EO639045" t="s">
        <v>444</v>
      </c>
      <c r="EP639045" t="s">
        <v>445</v>
      </c>
    </row>
    <row r="639046" spans="2:146">
      <c r="BQ639046">
        <v>67</v>
      </c>
      <c r="BR639046">
        <v>68</v>
      </c>
      <c r="BS639046">
        <v>69</v>
      </c>
      <c r="BT639046">
        <v>70</v>
      </c>
      <c r="BU639046">
        <v>71</v>
      </c>
      <c r="BV639046">
        <v>72</v>
      </c>
      <c r="BW639046">
        <v>73</v>
      </c>
      <c r="BX639046">
        <v>74</v>
      </c>
      <c r="BY639046">
        <v>75</v>
      </c>
      <c r="BZ639046">
        <v>76</v>
      </c>
      <c r="CA639046">
        <v>77</v>
      </c>
      <c r="CB639046">
        <v>78</v>
      </c>
      <c r="CC639046">
        <v>79</v>
      </c>
      <c r="CD639046">
        <v>80</v>
      </c>
      <c r="CE639046">
        <v>81</v>
      </c>
      <c r="CF639046">
        <v>82</v>
      </c>
      <c r="CG639046">
        <v>83</v>
      </c>
      <c r="CH639046">
        <v>84</v>
      </c>
      <c r="CI639046">
        <v>85</v>
      </c>
      <c r="CJ639046">
        <v>86</v>
      </c>
      <c r="CK639046">
        <v>87</v>
      </c>
      <c r="CL639046">
        <v>88</v>
      </c>
      <c r="CM639046">
        <v>89</v>
      </c>
      <c r="CN639046">
        <v>90</v>
      </c>
      <c r="CO639046">
        <v>91</v>
      </c>
      <c r="CP639046">
        <v>92</v>
      </c>
      <c r="CQ639046">
        <v>93</v>
      </c>
      <c r="CR639046">
        <v>94</v>
      </c>
      <c r="CS639046">
        <v>95</v>
      </c>
      <c r="CT639046">
        <v>96</v>
      </c>
      <c r="CU639046">
        <v>97</v>
      </c>
      <c r="CV639046">
        <v>98</v>
      </c>
      <c r="CW639046">
        <v>99</v>
      </c>
      <c r="CX639046">
        <v>100</v>
      </c>
      <c r="CY639046">
        <v>101</v>
      </c>
      <c r="CZ639046">
        <v>102</v>
      </c>
      <c r="DA639046">
        <v>103</v>
      </c>
      <c r="DB639046">
        <v>104</v>
      </c>
      <c r="DC639046">
        <v>105</v>
      </c>
      <c r="DD639046">
        <v>106</v>
      </c>
      <c r="DE639046">
        <v>107</v>
      </c>
      <c r="DF639046">
        <v>108</v>
      </c>
      <c r="DG639046">
        <v>109</v>
      </c>
      <c r="DH639046">
        <v>110</v>
      </c>
      <c r="DI639046">
        <v>111</v>
      </c>
      <c r="DJ639046">
        <v>112</v>
      </c>
      <c r="DK639046">
        <v>113</v>
      </c>
      <c r="DL639046">
        <v>114</v>
      </c>
      <c r="DM639046">
        <v>115</v>
      </c>
      <c r="DN639046">
        <v>116</v>
      </c>
      <c r="DO639046">
        <v>117</v>
      </c>
      <c r="DP639046">
        <v>118</v>
      </c>
      <c r="DQ639046">
        <v>119</v>
      </c>
      <c r="DR639046">
        <v>120</v>
      </c>
      <c r="DS639046">
        <v>121</v>
      </c>
      <c r="DT639046">
        <v>122</v>
      </c>
      <c r="DU639046">
        <v>123</v>
      </c>
      <c r="DV639046">
        <v>124</v>
      </c>
      <c r="DW639046">
        <v>125</v>
      </c>
      <c r="DX639046">
        <v>126</v>
      </c>
      <c r="DY639046">
        <v>127</v>
      </c>
      <c r="DZ639046">
        <v>128</v>
      </c>
      <c r="EA639046">
        <v>129</v>
      </c>
      <c r="EB639046">
        <v>130</v>
      </c>
      <c r="EC639046">
        <v>131</v>
      </c>
      <c r="ED639046">
        <v>132</v>
      </c>
      <c r="EE639046">
        <v>133</v>
      </c>
      <c r="EF639046">
        <v>134</v>
      </c>
      <c r="EG639046">
        <v>135</v>
      </c>
      <c r="EH639046">
        <v>136</v>
      </c>
      <c r="EI639046">
        <v>137</v>
      </c>
      <c r="EJ639046">
        <v>138</v>
      </c>
      <c r="EK639046">
        <v>139</v>
      </c>
      <c r="EL639046">
        <v>140</v>
      </c>
      <c r="EM639046">
        <v>141</v>
      </c>
      <c r="EN639046">
        <v>142</v>
      </c>
      <c r="EO639046">
        <v>143</v>
      </c>
      <c r="EP639046">
        <v>144</v>
      </c>
    </row>
    <row r="639047" spans="2:146">
      <c r="CE639047" t="s">
        <v>451</v>
      </c>
    </row>
    <row r="655362" spans="2:2">
      <c r="B655362">
        <v>200</v>
      </c>
    </row>
    <row r="655363" spans="2:2">
      <c r="B655363">
        <v>200</v>
      </c>
    </row>
    <row r="655364" spans="2:2">
      <c r="B655364">
        <v>800</v>
      </c>
    </row>
    <row r="655365" spans="2:2">
      <c r="B655365">
        <v>200</v>
      </c>
    </row>
    <row r="655366" spans="2:2">
      <c r="B655366">
        <v>1044</v>
      </c>
    </row>
    <row r="655367" spans="2:2">
      <c r="B655367">
        <v>998.40000000000009</v>
      </c>
    </row>
    <row r="655368" spans="2:2">
      <c r="B655368">
        <v>272</v>
      </c>
    </row>
    <row r="655369" spans="2:2">
      <c r="B655369">
        <v>200</v>
      </c>
    </row>
    <row r="655370" spans="2:2">
      <c r="B655370">
        <v>214</v>
      </c>
    </row>
    <row r="655371" spans="2:2">
      <c r="B655371">
        <v>200</v>
      </c>
    </row>
    <row r="655372" spans="2:2">
      <c r="B655372">
        <v>152</v>
      </c>
    </row>
    <row r="655373" spans="2:2">
      <c r="B655373">
        <v>200</v>
      </c>
    </row>
    <row r="655374" spans="2:2">
      <c r="B655374">
        <v>300</v>
      </c>
    </row>
    <row r="655375" spans="2:2">
      <c r="B655375">
        <v>104</v>
      </c>
    </row>
    <row r="655376" spans="2:2">
      <c r="B655376">
        <v>162</v>
      </c>
    </row>
    <row r="655377" spans="2:2">
      <c r="B655377">
        <v>200</v>
      </c>
    </row>
    <row r="655378" spans="2:2">
      <c r="B655378">
        <v>200</v>
      </c>
    </row>
    <row r="655379" spans="2:2">
      <c r="B655379">
        <v>200</v>
      </c>
    </row>
    <row r="655380" spans="2:2">
      <c r="B655380">
        <v>200</v>
      </c>
    </row>
    <row r="655381" spans="2:2">
      <c r="B655381">
        <v>200</v>
      </c>
    </row>
    <row r="655382" spans="2:2">
      <c r="B655382">
        <v>200</v>
      </c>
    </row>
    <row r="655383" spans="2:2">
      <c r="B655383">
        <v>200</v>
      </c>
    </row>
    <row r="655384" spans="2:2">
      <c r="B655384">
        <v>200</v>
      </c>
    </row>
    <row r="655385" spans="2:2">
      <c r="B655385">
        <v>800</v>
      </c>
    </row>
    <row r="655386" spans="2:2">
      <c r="B655386">
        <v>300</v>
      </c>
    </row>
    <row r="655387" spans="2:2">
      <c r="B655387">
        <v>778</v>
      </c>
    </row>
    <row r="655388" spans="2:2">
      <c r="B655388">
        <v>614</v>
      </c>
    </row>
    <row r="655389" spans="2:2">
      <c r="B655389">
        <v>444</v>
      </c>
    </row>
    <row r="655390" spans="2:2">
      <c r="B655390">
        <v>800</v>
      </c>
    </row>
    <row r="655391" spans="2:2">
      <c r="B655391">
        <v>200</v>
      </c>
    </row>
    <row r="655392" spans="2:2">
      <c r="B655392">
        <v>780</v>
      </c>
    </row>
    <row r="655393" spans="2:146">
      <c r="B655393">
        <v>174</v>
      </c>
    </row>
    <row r="655394" spans="2:146">
      <c r="B655394">
        <v>194</v>
      </c>
    </row>
    <row r="655395" spans="2:146">
      <c r="B655395">
        <v>782</v>
      </c>
    </row>
    <row r="655396" spans="2:146">
      <c r="B655396">
        <v>236</v>
      </c>
    </row>
    <row r="655397" spans="2:146">
      <c r="B655397">
        <v>144</v>
      </c>
    </row>
    <row r="655398" spans="2:146">
      <c r="B655398">
        <v>200</v>
      </c>
    </row>
    <row r="655399" spans="2:146">
      <c r="B655399">
        <v>240</v>
      </c>
    </row>
    <row r="655400" spans="2:146">
      <c r="B655400">
        <v>200</v>
      </c>
    </row>
    <row r="655401" spans="2:146">
      <c r="B655401">
        <v>612</v>
      </c>
    </row>
    <row r="655402" spans="2:146">
      <c r="B655402">
        <v>156</v>
      </c>
    </row>
    <row r="655403" spans="2:146">
      <c r="B655403">
        <v>116</v>
      </c>
    </row>
    <row r="655404" spans="2:146">
      <c r="B655404">
        <v>160</v>
      </c>
    </row>
    <row r="655405" spans="2:146">
      <c r="B655405">
        <v>80</v>
      </c>
      <c r="EL655405">
        <v>0.66</v>
      </c>
      <c r="EM655405">
        <v>0.66</v>
      </c>
      <c r="EN655405">
        <v>0.66</v>
      </c>
      <c r="EO655405">
        <v>0.66</v>
      </c>
      <c r="EP655405">
        <v>0.66</v>
      </c>
    </row>
    <row r="655406" spans="2:146">
      <c r="B655406">
        <v>1144</v>
      </c>
      <c r="BV655406">
        <v>5.0999999999999996</v>
      </c>
      <c r="BW655406">
        <v>5.0999999999999996</v>
      </c>
      <c r="DB655406">
        <v>10.210000000000001</v>
      </c>
      <c r="DC655406">
        <v>10.210000000000001</v>
      </c>
      <c r="DD655406">
        <v>10.210000000000001</v>
      </c>
      <c r="DE655406">
        <v>10.210000000000001</v>
      </c>
      <c r="DF655406">
        <v>10.210000000000001</v>
      </c>
      <c r="DG655406">
        <v>10.210000000000001</v>
      </c>
      <c r="DH655406">
        <v>10.210000000000001</v>
      </c>
    </row>
    <row r="655407" spans="2:146">
      <c r="B655407">
        <v>1240</v>
      </c>
      <c r="EE655407">
        <v>8.15</v>
      </c>
      <c r="EF655407">
        <v>8.15</v>
      </c>
      <c r="EG655407">
        <v>8.15</v>
      </c>
      <c r="EH655407">
        <v>8.15</v>
      </c>
      <c r="EI655407">
        <v>8.15</v>
      </c>
      <c r="EJ655407">
        <v>8.15</v>
      </c>
      <c r="EK655407">
        <v>8.15</v>
      </c>
    </row>
    <row r="655408" spans="2:146">
      <c r="B655408">
        <v>2083.2000000000003</v>
      </c>
      <c r="DI655408">
        <v>20.03</v>
      </c>
      <c r="DJ655408">
        <v>20.03</v>
      </c>
      <c r="DQ655408">
        <v>20.03</v>
      </c>
      <c r="DT655408">
        <v>20.03</v>
      </c>
      <c r="DW655408">
        <v>20.03</v>
      </c>
    </row>
    <row r="655409" spans="2:134">
      <c r="B655409">
        <v>357.20000000000005</v>
      </c>
      <c r="DI655409">
        <v>3.88</v>
      </c>
      <c r="DJ655409">
        <v>3.88</v>
      </c>
      <c r="DV655409">
        <v>3.88</v>
      </c>
      <c r="DW655409">
        <v>3.88</v>
      </c>
    </row>
    <row r="655410" spans="2:134">
      <c r="B655410">
        <v>391.20000000000005</v>
      </c>
      <c r="DI655410">
        <v>3.62</v>
      </c>
      <c r="DJ655410">
        <v>3.62</v>
      </c>
      <c r="DR655410">
        <v>3.62</v>
      </c>
      <c r="DU655410">
        <v>3.62</v>
      </c>
      <c r="DV655410">
        <v>3.62</v>
      </c>
    </row>
    <row r="655411" spans="2:134">
      <c r="B655411">
        <v>762.80000000000007</v>
      </c>
      <c r="DI655411">
        <v>6.15</v>
      </c>
      <c r="DJ655411">
        <v>6.15</v>
      </c>
      <c r="DQ655411">
        <v>6.15</v>
      </c>
      <c r="DR655411">
        <v>6.15</v>
      </c>
      <c r="DS655411">
        <v>6.15</v>
      </c>
      <c r="DT655411">
        <v>6.15</v>
      </c>
    </row>
    <row r="655412" spans="2:134">
      <c r="B655412">
        <v>1280</v>
      </c>
      <c r="DI655412">
        <v>10.66</v>
      </c>
      <c r="DJ655412">
        <v>10.66</v>
      </c>
      <c r="DK655412">
        <v>10.66</v>
      </c>
      <c r="DL655412">
        <v>10.66</v>
      </c>
      <c r="DM655412">
        <v>10.66</v>
      </c>
      <c r="DN655412">
        <v>10.66</v>
      </c>
    </row>
    <row r="655413" spans="2:134">
      <c r="B655413">
        <v>234</v>
      </c>
      <c r="CT655413">
        <v>2.5</v>
      </c>
      <c r="CU655413">
        <v>2.5</v>
      </c>
      <c r="CV655413">
        <v>2.5</v>
      </c>
    </row>
    <row r="655414" spans="2:134">
      <c r="B655414">
        <v>354</v>
      </c>
      <c r="CY655414">
        <v>3.98</v>
      </c>
      <c r="CZ655414">
        <v>3.98</v>
      </c>
      <c r="DA655414">
        <v>3.98</v>
      </c>
    </row>
    <row r="655415" spans="2:134">
      <c r="B655415">
        <v>392</v>
      </c>
      <c r="DI655415">
        <v>3.52</v>
      </c>
      <c r="DJ655415">
        <v>3.52</v>
      </c>
      <c r="DL655415">
        <v>3.52</v>
      </c>
      <c r="DO655415">
        <v>3.52</v>
      </c>
    </row>
    <row r="655416" spans="2:134">
      <c r="B655416">
        <v>304</v>
      </c>
      <c r="CE655416">
        <v>3.8</v>
      </c>
      <c r="CF655416">
        <v>3.8</v>
      </c>
    </row>
    <row r="655417" spans="2:134">
      <c r="B655417">
        <v>144</v>
      </c>
      <c r="DZ655417">
        <v>1.62</v>
      </c>
      <c r="EA655417">
        <v>1.62</v>
      </c>
      <c r="EB655417">
        <v>1.62</v>
      </c>
      <c r="EC655417">
        <v>0.81</v>
      </c>
      <c r="ED655417">
        <v>0.81</v>
      </c>
    </row>
    <row r="655418" spans="2:134">
      <c r="B655418">
        <v>602.40000000000009</v>
      </c>
      <c r="BY655418">
        <v>6.02</v>
      </c>
      <c r="BZ655418">
        <v>6.02</v>
      </c>
      <c r="CB655418">
        <v>3.01</v>
      </c>
      <c r="CC655418">
        <v>3.01</v>
      </c>
      <c r="CD655418">
        <v>3.01</v>
      </c>
      <c r="CI655418">
        <v>6.02</v>
      </c>
      <c r="CJ655418">
        <v>6.02</v>
      </c>
      <c r="CK655418">
        <v>6.02</v>
      </c>
    </row>
    <row r="655419" spans="2:134">
      <c r="B655419">
        <v>307.60000000000002</v>
      </c>
      <c r="BY655419">
        <v>3.34</v>
      </c>
      <c r="BZ655419">
        <v>3.34</v>
      </c>
      <c r="CG655419">
        <v>3.34</v>
      </c>
      <c r="CH655419">
        <v>3.34</v>
      </c>
    </row>
    <row r="655420" spans="2:134">
      <c r="B655420">
        <v>358</v>
      </c>
      <c r="BY655420">
        <v>2.37</v>
      </c>
      <c r="BZ655420">
        <v>2.37</v>
      </c>
      <c r="CA655420">
        <v>2.37</v>
      </c>
      <c r="DX655420">
        <v>4.74</v>
      </c>
      <c r="DY655420">
        <v>4.74</v>
      </c>
    </row>
    <row r="655421" spans="2:134">
      <c r="B655421">
        <v>286</v>
      </c>
      <c r="BT655421">
        <v>1.43</v>
      </c>
      <c r="BV655421">
        <v>1.43</v>
      </c>
      <c r="BW655421">
        <v>1.43</v>
      </c>
      <c r="BX655421">
        <v>1.43</v>
      </c>
      <c r="CO655421">
        <v>2.86</v>
      </c>
      <c r="CP655421">
        <v>2.86</v>
      </c>
      <c r="CQ655421">
        <v>2.86</v>
      </c>
      <c r="CR655421">
        <v>2.86</v>
      </c>
      <c r="CS655421">
        <v>2.86</v>
      </c>
    </row>
    <row r="655422" spans="2:134">
      <c r="B655422">
        <v>410</v>
      </c>
      <c r="BY655422">
        <v>2.88</v>
      </c>
      <c r="BZ655422">
        <v>2.88</v>
      </c>
      <c r="CA655422">
        <v>2.88</v>
      </c>
      <c r="CW655422">
        <v>5.76</v>
      </c>
      <c r="CX655422">
        <v>5.76</v>
      </c>
    </row>
    <row r="655423" spans="2:134">
      <c r="B655423">
        <v>346</v>
      </c>
      <c r="BR655423">
        <v>3.6</v>
      </c>
      <c r="BS655423">
        <v>3.6</v>
      </c>
      <c r="BT655423">
        <v>1.8</v>
      </c>
      <c r="CL655423">
        <v>3.6</v>
      </c>
      <c r="CM655423">
        <v>3.6</v>
      </c>
      <c r="CN655423">
        <v>3.6</v>
      </c>
    </row>
    <row r="655424" spans="2:134">
      <c r="B655424">
        <v>302</v>
      </c>
      <c r="BR655424">
        <v>3.28</v>
      </c>
      <c r="BS655424">
        <v>3.28</v>
      </c>
      <c r="BT655424">
        <v>1.64</v>
      </c>
      <c r="BU655424">
        <v>1.64</v>
      </c>
      <c r="CL655424">
        <v>3.28</v>
      </c>
      <c r="CM655424">
        <v>3.28</v>
      </c>
      <c r="CN655424">
        <v>3.28</v>
      </c>
    </row>
    <row r="655425" spans="2:146">
      <c r="B655425">
        <v>204</v>
      </c>
      <c r="BR655425">
        <v>2.12</v>
      </c>
      <c r="BS655425">
        <v>2.12</v>
      </c>
      <c r="BT655425">
        <v>1.06</v>
      </c>
      <c r="CL655425">
        <v>2.12</v>
      </c>
      <c r="CM655425">
        <v>2.12</v>
      </c>
      <c r="CN655425">
        <v>2.12</v>
      </c>
    </row>
    <row r="655427" spans="2:146">
      <c r="B655427">
        <v>26358.800000000003</v>
      </c>
      <c r="BQ655427">
        <v>0</v>
      </c>
      <c r="BR655427">
        <v>9</v>
      </c>
      <c r="BS655427">
        <v>9</v>
      </c>
      <c r="BT655427">
        <v>5.93</v>
      </c>
      <c r="BU655427">
        <v>1.64</v>
      </c>
      <c r="BV655427">
        <v>6.5299999999999994</v>
      </c>
      <c r="BW655427">
        <v>6.5299999999999994</v>
      </c>
      <c r="BX655427">
        <v>1.43</v>
      </c>
      <c r="BY655427">
        <v>14.61</v>
      </c>
      <c r="BZ655427">
        <v>14.61</v>
      </c>
      <c r="CA655427">
        <v>5.25</v>
      </c>
      <c r="CB655427">
        <v>3.01</v>
      </c>
      <c r="CC655427">
        <v>3.01</v>
      </c>
      <c r="CD655427">
        <v>3.01</v>
      </c>
      <c r="CE655427">
        <v>3.8</v>
      </c>
      <c r="CF655427">
        <v>3.8</v>
      </c>
      <c r="CG655427">
        <v>3.34</v>
      </c>
      <c r="CH655427">
        <v>3.34</v>
      </c>
      <c r="CI655427">
        <v>6.02</v>
      </c>
      <c r="CJ655427">
        <v>6.02</v>
      </c>
      <c r="CK655427">
        <v>6.02</v>
      </c>
      <c r="CL655427">
        <v>9</v>
      </c>
      <c r="CM655427">
        <v>9</v>
      </c>
      <c r="CN655427">
        <v>9</v>
      </c>
      <c r="CO655427">
        <v>2.86</v>
      </c>
      <c r="CP655427">
        <v>2.86</v>
      </c>
      <c r="CQ655427">
        <v>2.86</v>
      </c>
      <c r="CR655427">
        <v>2.86</v>
      </c>
      <c r="CS655427">
        <v>2.86</v>
      </c>
      <c r="CT655427">
        <v>2.5</v>
      </c>
      <c r="CU655427">
        <v>2.5</v>
      </c>
      <c r="CV655427">
        <v>2.5</v>
      </c>
      <c r="CW655427">
        <v>5.76</v>
      </c>
      <c r="CX655427">
        <v>5.76</v>
      </c>
      <c r="CY655427">
        <v>3.98</v>
      </c>
      <c r="CZ655427">
        <v>3.98</v>
      </c>
      <c r="DA655427">
        <v>3.98</v>
      </c>
      <c r="DB655427">
        <v>10.210000000000001</v>
      </c>
      <c r="DC655427">
        <v>10.210000000000001</v>
      </c>
      <c r="DD655427">
        <v>10.210000000000001</v>
      </c>
      <c r="DE655427">
        <v>10.210000000000001</v>
      </c>
      <c r="DF655427">
        <v>10.210000000000001</v>
      </c>
      <c r="DG655427">
        <v>10.210000000000001</v>
      </c>
      <c r="DH655427">
        <v>10.210000000000001</v>
      </c>
      <c r="DI655427">
        <v>47.860000000000007</v>
      </c>
      <c r="DJ655427">
        <v>47.860000000000007</v>
      </c>
      <c r="DK655427">
        <v>10.66</v>
      </c>
      <c r="DL655427">
        <v>14.18</v>
      </c>
      <c r="DM655427">
        <v>10.66</v>
      </c>
      <c r="DN655427">
        <v>10.66</v>
      </c>
      <c r="DO655427">
        <v>3.52</v>
      </c>
      <c r="DP655427">
        <v>0</v>
      </c>
      <c r="DQ655427">
        <v>26.18</v>
      </c>
      <c r="DR655427">
        <v>9.77</v>
      </c>
      <c r="DS655427">
        <v>6.15</v>
      </c>
      <c r="DT655427">
        <v>26.18</v>
      </c>
      <c r="DU655427">
        <v>3.62</v>
      </c>
      <c r="DV655427">
        <v>7.5</v>
      </c>
      <c r="DW655427">
        <v>23.91</v>
      </c>
      <c r="DX655427">
        <v>4.74</v>
      </c>
      <c r="DY655427">
        <v>4.74</v>
      </c>
      <c r="DZ655427">
        <v>1.62</v>
      </c>
      <c r="EA655427">
        <v>1.62</v>
      </c>
      <c r="EB655427">
        <v>1.62</v>
      </c>
      <c r="EC655427">
        <v>0.81</v>
      </c>
      <c r="ED655427">
        <v>0.81</v>
      </c>
      <c r="EE655427">
        <v>8.15</v>
      </c>
      <c r="EF655427">
        <v>8.15</v>
      </c>
      <c r="EG655427">
        <v>8.15</v>
      </c>
      <c r="EH655427">
        <v>8.15</v>
      </c>
      <c r="EI655427">
        <v>8.15</v>
      </c>
      <c r="EJ655427">
        <v>8.15</v>
      </c>
      <c r="EK655427">
        <v>8.15</v>
      </c>
      <c r="EL655427">
        <v>0.66</v>
      </c>
      <c r="EM655427">
        <v>0.66</v>
      </c>
      <c r="EN655427">
        <v>0.66</v>
      </c>
      <c r="EO655427">
        <v>0.66</v>
      </c>
      <c r="EP655427">
        <v>0.66</v>
      </c>
    </row>
    <row r="655428" spans="2:146">
      <c r="B655428" t="s">
        <v>265</v>
      </c>
      <c r="BQ655428" t="s">
        <v>345</v>
      </c>
      <c r="BR655428" t="s">
        <v>131</v>
      </c>
      <c r="BS655428" t="s">
        <v>131</v>
      </c>
      <c r="BT655428" t="s">
        <v>357</v>
      </c>
      <c r="BU655428" t="s">
        <v>131</v>
      </c>
      <c r="BV655428" t="s">
        <v>360</v>
      </c>
      <c r="BW655428" t="s">
        <v>360</v>
      </c>
      <c r="BX655428" t="s">
        <v>360</v>
      </c>
      <c r="BY655428" t="s">
        <v>364</v>
      </c>
      <c r="BZ655428" t="s">
        <v>364</v>
      </c>
      <c r="CA655428" t="s">
        <v>364</v>
      </c>
      <c r="CB655428" t="s">
        <v>368</v>
      </c>
      <c r="CC655428" t="s">
        <v>368</v>
      </c>
      <c r="CD655428" t="s">
        <v>368</v>
      </c>
      <c r="CE655428" t="s">
        <v>352</v>
      </c>
      <c r="CF655428" t="s">
        <v>352</v>
      </c>
      <c r="CG655428" t="s">
        <v>372</v>
      </c>
      <c r="CH655428" t="s">
        <v>372</v>
      </c>
      <c r="CI655428" t="s">
        <v>375</v>
      </c>
      <c r="CJ655428" t="s">
        <v>375</v>
      </c>
      <c r="CK655428" t="s">
        <v>375</v>
      </c>
      <c r="CL655428" t="s">
        <v>379</v>
      </c>
      <c r="CM655428" t="s">
        <v>379</v>
      </c>
      <c r="CN655428" t="s">
        <v>379</v>
      </c>
      <c r="CO655428" t="s">
        <v>383</v>
      </c>
      <c r="CP655428" t="s">
        <v>383</v>
      </c>
      <c r="CQ655428" t="s">
        <v>383</v>
      </c>
      <c r="CR655428" t="s">
        <v>383</v>
      </c>
      <c r="CS655428" t="s">
        <v>383</v>
      </c>
      <c r="CT655428" t="s">
        <v>389</v>
      </c>
      <c r="CU655428" t="s">
        <v>389</v>
      </c>
      <c r="CV655428" t="s">
        <v>389</v>
      </c>
      <c r="CW655428" t="s">
        <v>393</v>
      </c>
      <c r="CX655428" t="s">
        <v>393</v>
      </c>
      <c r="CY655428" t="s">
        <v>396</v>
      </c>
      <c r="CZ655428" t="s">
        <v>396</v>
      </c>
      <c r="DA655428" t="s">
        <v>396</v>
      </c>
      <c r="DB655428" t="s">
        <v>400</v>
      </c>
      <c r="DC655428" t="s">
        <v>400</v>
      </c>
      <c r="DD655428" t="s">
        <v>400</v>
      </c>
      <c r="DE655428" t="s">
        <v>400</v>
      </c>
      <c r="DF655428" t="s">
        <v>400</v>
      </c>
      <c r="DG655428" t="s">
        <v>400</v>
      </c>
      <c r="DH655428" t="s">
        <v>400</v>
      </c>
      <c r="DI655428" t="s">
        <v>121</v>
      </c>
      <c r="DJ655428" t="s">
        <v>121</v>
      </c>
      <c r="DK655428" t="s">
        <v>121</v>
      </c>
      <c r="DL655428" t="s">
        <v>121</v>
      </c>
      <c r="DM655428" t="s">
        <v>121</v>
      </c>
      <c r="DN655428" t="s">
        <v>121</v>
      </c>
      <c r="DO655428" t="s">
        <v>121</v>
      </c>
      <c r="DP655428" t="s">
        <v>121</v>
      </c>
      <c r="DQ655428" t="s">
        <v>121</v>
      </c>
      <c r="DR655428" t="s">
        <v>121</v>
      </c>
      <c r="DS655428" t="s">
        <v>121</v>
      </c>
      <c r="DT655428" t="s">
        <v>121</v>
      </c>
      <c r="DU655428" t="s">
        <v>121</v>
      </c>
      <c r="DV655428" t="s">
        <v>121</v>
      </c>
      <c r="DW655428" t="s">
        <v>121</v>
      </c>
      <c r="DX655428" t="s">
        <v>423</v>
      </c>
      <c r="DY655428" t="s">
        <v>423</v>
      </c>
      <c r="DZ655428" t="s">
        <v>426</v>
      </c>
      <c r="EA655428" t="s">
        <v>426</v>
      </c>
      <c r="EB655428" t="s">
        <v>426</v>
      </c>
      <c r="EC655428" t="s">
        <v>426</v>
      </c>
      <c r="ED655428" t="s">
        <v>426</v>
      </c>
      <c r="EE655428" t="s">
        <v>432</v>
      </c>
      <c r="EF655428" t="s">
        <v>432</v>
      </c>
      <c r="EG655428" t="s">
        <v>432</v>
      </c>
      <c r="EH655428" t="s">
        <v>432</v>
      </c>
      <c r="EI655428" t="s">
        <v>432</v>
      </c>
      <c r="EJ655428" t="s">
        <v>432</v>
      </c>
      <c r="EK655428" t="s">
        <v>432</v>
      </c>
      <c r="EL655428" t="s">
        <v>440</v>
      </c>
      <c r="EM655428" t="s">
        <v>440</v>
      </c>
      <c r="EN655428" t="s">
        <v>440</v>
      </c>
      <c r="EO655428" t="s">
        <v>440</v>
      </c>
      <c r="EP655428" t="s">
        <v>440</v>
      </c>
    </row>
    <row r="655429" spans="2:146">
      <c r="BQ655429" t="s">
        <v>351</v>
      </c>
      <c r="BR655429" t="s">
        <v>355</v>
      </c>
      <c r="BS655429" t="s">
        <v>356</v>
      </c>
      <c r="BT655429" t="s">
        <v>358</v>
      </c>
      <c r="BU655429" t="s">
        <v>359</v>
      </c>
      <c r="BV655429" t="s">
        <v>361</v>
      </c>
      <c r="BW655429" t="s">
        <v>362</v>
      </c>
      <c r="BX655429" t="s">
        <v>363</v>
      </c>
      <c r="BY655429" t="s">
        <v>365</v>
      </c>
      <c r="BZ655429" t="s">
        <v>366</v>
      </c>
      <c r="CA655429" t="s">
        <v>367</v>
      </c>
      <c r="CB655429" t="s">
        <v>369</v>
      </c>
      <c r="CC655429" t="s">
        <v>370</v>
      </c>
      <c r="CD655429" t="s">
        <v>371</v>
      </c>
      <c r="CE655429" t="s">
        <v>353</v>
      </c>
      <c r="CF655429" t="s">
        <v>354</v>
      </c>
      <c r="CG655429" t="s">
        <v>373</v>
      </c>
      <c r="CH655429" t="s">
        <v>374</v>
      </c>
      <c r="CI655429" t="s">
        <v>376</v>
      </c>
      <c r="CJ655429" t="s">
        <v>377</v>
      </c>
      <c r="CK655429" t="s">
        <v>378</v>
      </c>
      <c r="CL655429" t="s">
        <v>380</v>
      </c>
      <c r="CM655429" t="s">
        <v>381</v>
      </c>
      <c r="CN655429" t="s">
        <v>382</v>
      </c>
      <c r="CO655429" t="s">
        <v>384</v>
      </c>
      <c r="CP655429" t="s">
        <v>385</v>
      </c>
      <c r="CQ655429" t="s">
        <v>386</v>
      </c>
      <c r="CR655429" t="s">
        <v>387</v>
      </c>
      <c r="CS655429" t="s">
        <v>388</v>
      </c>
      <c r="CT655429" t="s">
        <v>390</v>
      </c>
      <c r="CU655429" t="s">
        <v>391</v>
      </c>
      <c r="CV655429" t="s">
        <v>392</v>
      </c>
      <c r="CW655429" t="s">
        <v>394</v>
      </c>
      <c r="CX655429" t="s">
        <v>395</v>
      </c>
      <c r="CY655429" t="s">
        <v>397</v>
      </c>
      <c r="CZ655429" t="s">
        <v>398</v>
      </c>
      <c r="DA655429" t="s">
        <v>399</v>
      </c>
      <c r="DB655429" t="s">
        <v>401</v>
      </c>
      <c r="DC655429" t="s">
        <v>402</v>
      </c>
      <c r="DD655429" t="s">
        <v>403</v>
      </c>
      <c r="DE655429" t="s">
        <v>404</v>
      </c>
      <c r="DF655429" t="s">
        <v>405</v>
      </c>
      <c r="DG655429" t="s">
        <v>406</v>
      </c>
      <c r="DH655429" t="s">
        <v>407</v>
      </c>
      <c r="DI655429" t="s">
        <v>408</v>
      </c>
      <c r="DJ655429" t="s">
        <v>409</v>
      </c>
      <c r="DK655429" t="s">
        <v>410</v>
      </c>
      <c r="DL655429" t="s">
        <v>411</v>
      </c>
      <c r="DM655429" t="s">
        <v>412</v>
      </c>
      <c r="DN655429" t="s">
        <v>413</v>
      </c>
      <c r="DO655429" t="s">
        <v>414</v>
      </c>
      <c r="DP655429" t="s">
        <v>415</v>
      </c>
      <c r="DQ655429" t="s">
        <v>416</v>
      </c>
      <c r="DR655429" t="s">
        <v>417</v>
      </c>
      <c r="DS655429" t="s">
        <v>418</v>
      </c>
      <c r="DT655429" t="s">
        <v>419</v>
      </c>
      <c r="DU655429" t="s">
        <v>420</v>
      </c>
      <c r="DV655429" t="s">
        <v>421</v>
      </c>
      <c r="DW655429" t="s">
        <v>422</v>
      </c>
      <c r="DX655429" t="s">
        <v>424</v>
      </c>
      <c r="DY655429" t="s">
        <v>425</v>
      </c>
      <c r="DZ655429" t="s">
        <v>427</v>
      </c>
      <c r="EA655429" t="s">
        <v>428</v>
      </c>
      <c r="EB655429" t="s">
        <v>429</v>
      </c>
      <c r="EC655429" t="s">
        <v>430</v>
      </c>
      <c r="ED655429" t="s">
        <v>431</v>
      </c>
      <c r="EE655429" t="s">
        <v>433</v>
      </c>
      <c r="EF655429" t="s">
        <v>434</v>
      </c>
      <c r="EG655429" t="s">
        <v>435</v>
      </c>
      <c r="EH655429" t="s">
        <v>436</v>
      </c>
      <c r="EI655429" t="s">
        <v>437</v>
      </c>
      <c r="EJ655429" t="s">
        <v>438</v>
      </c>
      <c r="EK655429" t="s">
        <v>439</v>
      </c>
      <c r="EL655429" t="s">
        <v>441</v>
      </c>
      <c r="EM655429" t="s">
        <v>442</v>
      </c>
      <c r="EN655429" t="s">
        <v>443</v>
      </c>
      <c r="EO655429" t="s">
        <v>444</v>
      </c>
      <c r="EP655429" t="s">
        <v>445</v>
      </c>
    </row>
    <row r="655430" spans="2:146">
      <c r="BQ655430">
        <v>67</v>
      </c>
      <c r="BR655430">
        <v>68</v>
      </c>
      <c r="BS655430">
        <v>69</v>
      </c>
      <c r="BT655430">
        <v>70</v>
      </c>
      <c r="BU655430">
        <v>71</v>
      </c>
      <c r="BV655430">
        <v>72</v>
      </c>
      <c r="BW655430">
        <v>73</v>
      </c>
      <c r="BX655430">
        <v>74</v>
      </c>
      <c r="BY655430">
        <v>75</v>
      </c>
      <c r="BZ655430">
        <v>76</v>
      </c>
      <c r="CA655430">
        <v>77</v>
      </c>
      <c r="CB655430">
        <v>78</v>
      </c>
      <c r="CC655430">
        <v>79</v>
      </c>
      <c r="CD655430">
        <v>80</v>
      </c>
      <c r="CE655430">
        <v>81</v>
      </c>
      <c r="CF655430">
        <v>82</v>
      </c>
      <c r="CG655430">
        <v>83</v>
      </c>
      <c r="CH655430">
        <v>84</v>
      </c>
      <c r="CI655430">
        <v>85</v>
      </c>
      <c r="CJ655430">
        <v>86</v>
      </c>
      <c r="CK655430">
        <v>87</v>
      </c>
      <c r="CL655430">
        <v>88</v>
      </c>
      <c r="CM655430">
        <v>89</v>
      </c>
      <c r="CN655430">
        <v>90</v>
      </c>
      <c r="CO655430">
        <v>91</v>
      </c>
      <c r="CP655430">
        <v>92</v>
      </c>
      <c r="CQ655430">
        <v>93</v>
      </c>
      <c r="CR655430">
        <v>94</v>
      </c>
      <c r="CS655430">
        <v>95</v>
      </c>
      <c r="CT655430">
        <v>96</v>
      </c>
      <c r="CU655430">
        <v>97</v>
      </c>
      <c r="CV655430">
        <v>98</v>
      </c>
      <c r="CW655430">
        <v>99</v>
      </c>
      <c r="CX655430">
        <v>100</v>
      </c>
      <c r="CY655430">
        <v>101</v>
      </c>
      <c r="CZ655430">
        <v>102</v>
      </c>
      <c r="DA655430">
        <v>103</v>
      </c>
      <c r="DB655430">
        <v>104</v>
      </c>
      <c r="DC655430">
        <v>105</v>
      </c>
      <c r="DD655430">
        <v>106</v>
      </c>
      <c r="DE655430">
        <v>107</v>
      </c>
      <c r="DF655430">
        <v>108</v>
      </c>
      <c r="DG655430">
        <v>109</v>
      </c>
      <c r="DH655430">
        <v>110</v>
      </c>
      <c r="DI655430">
        <v>111</v>
      </c>
      <c r="DJ655430">
        <v>112</v>
      </c>
      <c r="DK655430">
        <v>113</v>
      </c>
      <c r="DL655430">
        <v>114</v>
      </c>
      <c r="DM655430">
        <v>115</v>
      </c>
      <c r="DN655430">
        <v>116</v>
      </c>
      <c r="DO655430">
        <v>117</v>
      </c>
      <c r="DP655430">
        <v>118</v>
      </c>
      <c r="DQ655430">
        <v>119</v>
      </c>
      <c r="DR655430">
        <v>120</v>
      </c>
      <c r="DS655430">
        <v>121</v>
      </c>
      <c r="DT655430">
        <v>122</v>
      </c>
      <c r="DU655430">
        <v>123</v>
      </c>
      <c r="DV655430">
        <v>124</v>
      </c>
      <c r="DW655430">
        <v>125</v>
      </c>
      <c r="DX655430">
        <v>126</v>
      </c>
      <c r="DY655430">
        <v>127</v>
      </c>
      <c r="DZ655430">
        <v>128</v>
      </c>
      <c r="EA655430">
        <v>129</v>
      </c>
      <c r="EB655430">
        <v>130</v>
      </c>
      <c r="EC655430">
        <v>131</v>
      </c>
      <c r="ED655430">
        <v>132</v>
      </c>
      <c r="EE655430">
        <v>133</v>
      </c>
      <c r="EF655430">
        <v>134</v>
      </c>
      <c r="EG655430">
        <v>135</v>
      </c>
      <c r="EH655430">
        <v>136</v>
      </c>
      <c r="EI655430">
        <v>137</v>
      </c>
      <c r="EJ655430">
        <v>138</v>
      </c>
      <c r="EK655430">
        <v>139</v>
      </c>
      <c r="EL655430">
        <v>140</v>
      </c>
      <c r="EM655430">
        <v>141</v>
      </c>
      <c r="EN655430">
        <v>142</v>
      </c>
      <c r="EO655430">
        <v>143</v>
      </c>
      <c r="EP655430">
        <v>144</v>
      </c>
    </row>
    <row r="655431" spans="2:146">
      <c r="CE655431" t="s">
        <v>451</v>
      </c>
    </row>
    <row r="671746" spans="2:2">
      <c r="B671746">
        <v>200</v>
      </c>
    </row>
    <row r="671747" spans="2:2">
      <c r="B671747">
        <v>200</v>
      </c>
    </row>
    <row r="671748" spans="2:2">
      <c r="B671748">
        <v>800</v>
      </c>
    </row>
    <row r="671749" spans="2:2">
      <c r="B671749">
        <v>200</v>
      </c>
    </row>
    <row r="671750" spans="2:2">
      <c r="B671750">
        <v>1044</v>
      </c>
    </row>
    <row r="671751" spans="2:2">
      <c r="B671751">
        <v>998.40000000000009</v>
      </c>
    </row>
    <row r="671752" spans="2:2">
      <c r="B671752">
        <v>272</v>
      </c>
    </row>
    <row r="671753" spans="2:2">
      <c r="B671753">
        <v>200</v>
      </c>
    </row>
    <row r="671754" spans="2:2">
      <c r="B671754">
        <v>214</v>
      </c>
    </row>
    <row r="671755" spans="2:2">
      <c r="B671755">
        <v>200</v>
      </c>
    </row>
    <row r="671756" spans="2:2">
      <c r="B671756">
        <v>152</v>
      </c>
    </row>
    <row r="671757" spans="2:2">
      <c r="B671757">
        <v>200</v>
      </c>
    </row>
    <row r="671758" spans="2:2">
      <c r="B671758">
        <v>300</v>
      </c>
    </row>
    <row r="671759" spans="2:2">
      <c r="B671759">
        <v>104</v>
      </c>
    </row>
    <row r="671760" spans="2:2">
      <c r="B671760">
        <v>162</v>
      </c>
    </row>
    <row r="671761" spans="2:2">
      <c r="B671761">
        <v>200</v>
      </c>
    </row>
    <row r="671762" spans="2:2">
      <c r="B671762">
        <v>200</v>
      </c>
    </row>
    <row r="671763" spans="2:2">
      <c r="B671763">
        <v>200</v>
      </c>
    </row>
    <row r="671764" spans="2:2">
      <c r="B671764">
        <v>200</v>
      </c>
    </row>
    <row r="671765" spans="2:2">
      <c r="B671765">
        <v>200</v>
      </c>
    </row>
    <row r="671766" spans="2:2">
      <c r="B671766">
        <v>200</v>
      </c>
    </row>
    <row r="671767" spans="2:2">
      <c r="B671767">
        <v>200</v>
      </c>
    </row>
    <row r="671768" spans="2:2">
      <c r="B671768">
        <v>200</v>
      </c>
    </row>
    <row r="671769" spans="2:2">
      <c r="B671769">
        <v>800</v>
      </c>
    </row>
    <row r="671770" spans="2:2">
      <c r="B671770">
        <v>300</v>
      </c>
    </row>
    <row r="671771" spans="2:2">
      <c r="B671771">
        <v>778</v>
      </c>
    </row>
    <row r="671772" spans="2:2">
      <c r="B671772">
        <v>614</v>
      </c>
    </row>
    <row r="671773" spans="2:2">
      <c r="B671773">
        <v>444</v>
      </c>
    </row>
    <row r="671774" spans="2:2">
      <c r="B671774">
        <v>800</v>
      </c>
    </row>
    <row r="671775" spans="2:2">
      <c r="B671775">
        <v>200</v>
      </c>
    </row>
    <row r="671776" spans="2:2">
      <c r="B671776">
        <v>780</v>
      </c>
    </row>
    <row r="671777" spans="2:146">
      <c r="B671777">
        <v>174</v>
      </c>
    </row>
    <row r="671778" spans="2:146">
      <c r="B671778">
        <v>194</v>
      </c>
    </row>
    <row r="671779" spans="2:146">
      <c r="B671779">
        <v>782</v>
      </c>
    </row>
    <row r="671780" spans="2:146">
      <c r="B671780">
        <v>236</v>
      </c>
    </row>
    <row r="671781" spans="2:146">
      <c r="B671781">
        <v>144</v>
      </c>
    </row>
    <row r="671782" spans="2:146">
      <c r="B671782">
        <v>200</v>
      </c>
    </row>
    <row r="671783" spans="2:146">
      <c r="B671783">
        <v>240</v>
      </c>
    </row>
    <row r="671784" spans="2:146">
      <c r="B671784">
        <v>200</v>
      </c>
    </row>
    <row r="671785" spans="2:146">
      <c r="B671785">
        <v>612</v>
      </c>
    </row>
    <row r="671786" spans="2:146">
      <c r="B671786">
        <v>156</v>
      </c>
    </row>
    <row r="671787" spans="2:146">
      <c r="B671787">
        <v>116</v>
      </c>
    </row>
    <row r="671788" spans="2:146">
      <c r="B671788">
        <v>160</v>
      </c>
    </row>
    <row r="671789" spans="2:146">
      <c r="B671789">
        <v>80</v>
      </c>
      <c r="EL671789">
        <v>0.66</v>
      </c>
      <c r="EM671789">
        <v>0.66</v>
      </c>
      <c r="EN671789">
        <v>0.66</v>
      </c>
      <c r="EO671789">
        <v>0.66</v>
      </c>
      <c r="EP671789">
        <v>0.66</v>
      </c>
    </row>
    <row r="671790" spans="2:146">
      <c r="B671790">
        <v>1144</v>
      </c>
      <c r="BV671790">
        <v>5.0999999999999996</v>
      </c>
      <c r="BW671790">
        <v>5.0999999999999996</v>
      </c>
      <c r="DB671790">
        <v>10.210000000000001</v>
      </c>
      <c r="DC671790">
        <v>10.210000000000001</v>
      </c>
      <c r="DD671790">
        <v>10.210000000000001</v>
      </c>
      <c r="DE671790">
        <v>10.210000000000001</v>
      </c>
      <c r="DF671790">
        <v>10.210000000000001</v>
      </c>
      <c r="DG671790">
        <v>10.210000000000001</v>
      </c>
      <c r="DH671790">
        <v>10.210000000000001</v>
      </c>
    </row>
    <row r="671791" spans="2:146">
      <c r="B671791">
        <v>1240</v>
      </c>
      <c r="EE671791">
        <v>8.15</v>
      </c>
      <c r="EF671791">
        <v>8.15</v>
      </c>
      <c r="EG671791">
        <v>8.15</v>
      </c>
      <c r="EH671791">
        <v>8.15</v>
      </c>
      <c r="EI671791">
        <v>8.15</v>
      </c>
      <c r="EJ671791">
        <v>8.15</v>
      </c>
      <c r="EK671791">
        <v>8.15</v>
      </c>
    </row>
    <row r="671792" spans="2:146">
      <c r="B671792">
        <v>2083.2000000000003</v>
      </c>
      <c r="DI671792">
        <v>20.03</v>
      </c>
      <c r="DJ671792">
        <v>20.03</v>
      </c>
      <c r="DQ671792">
        <v>20.03</v>
      </c>
      <c r="DT671792">
        <v>20.03</v>
      </c>
      <c r="DW671792">
        <v>20.03</v>
      </c>
    </row>
    <row r="671793" spans="2:134">
      <c r="B671793">
        <v>357.20000000000005</v>
      </c>
      <c r="DI671793">
        <v>3.88</v>
      </c>
      <c r="DJ671793">
        <v>3.88</v>
      </c>
      <c r="DV671793">
        <v>3.88</v>
      </c>
      <c r="DW671793">
        <v>3.88</v>
      </c>
    </row>
    <row r="671794" spans="2:134">
      <c r="B671794">
        <v>391.20000000000005</v>
      </c>
      <c r="DI671794">
        <v>3.62</v>
      </c>
      <c r="DJ671794">
        <v>3.62</v>
      </c>
      <c r="DR671794">
        <v>3.62</v>
      </c>
      <c r="DU671794">
        <v>3.62</v>
      </c>
      <c r="DV671794">
        <v>3.62</v>
      </c>
    </row>
    <row r="671795" spans="2:134">
      <c r="B671795">
        <v>762.80000000000007</v>
      </c>
      <c r="DI671795">
        <v>6.15</v>
      </c>
      <c r="DJ671795">
        <v>6.15</v>
      </c>
      <c r="DQ671795">
        <v>6.15</v>
      </c>
      <c r="DR671795">
        <v>6.15</v>
      </c>
      <c r="DS671795">
        <v>6.15</v>
      </c>
      <c r="DT671795">
        <v>6.15</v>
      </c>
    </row>
    <row r="671796" spans="2:134">
      <c r="B671796">
        <v>1280</v>
      </c>
      <c r="DI671796">
        <v>10.66</v>
      </c>
      <c r="DJ671796">
        <v>10.66</v>
      </c>
      <c r="DK671796">
        <v>10.66</v>
      </c>
      <c r="DL671796">
        <v>10.66</v>
      </c>
      <c r="DM671796">
        <v>10.66</v>
      </c>
      <c r="DN671796">
        <v>10.66</v>
      </c>
    </row>
    <row r="671797" spans="2:134">
      <c r="B671797">
        <v>234</v>
      </c>
      <c r="CT671797">
        <v>2.5</v>
      </c>
      <c r="CU671797">
        <v>2.5</v>
      </c>
      <c r="CV671797">
        <v>2.5</v>
      </c>
    </row>
    <row r="671798" spans="2:134">
      <c r="B671798">
        <v>354</v>
      </c>
      <c r="CY671798">
        <v>3.98</v>
      </c>
      <c r="CZ671798">
        <v>3.98</v>
      </c>
      <c r="DA671798">
        <v>3.98</v>
      </c>
    </row>
    <row r="671799" spans="2:134">
      <c r="B671799">
        <v>392</v>
      </c>
      <c r="DI671799">
        <v>3.52</v>
      </c>
      <c r="DJ671799">
        <v>3.52</v>
      </c>
      <c r="DL671799">
        <v>3.52</v>
      </c>
      <c r="DO671799">
        <v>3.52</v>
      </c>
    </row>
    <row r="671800" spans="2:134">
      <c r="B671800">
        <v>304</v>
      </c>
      <c r="CE671800">
        <v>3.8</v>
      </c>
      <c r="CF671800">
        <v>3.8</v>
      </c>
    </row>
    <row r="671801" spans="2:134">
      <c r="B671801">
        <v>144</v>
      </c>
      <c r="DZ671801">
        <v>1.62</v>
      </c>
      <c r="EA671801">
        <v>1.62</v>
      </c>
      <c r="EB671801">
        <v>1.62</v>
      </c>
      <c r="EC671801">
        <v>0.81</v>
      </c>
      <c r="ED671801">
        <v>0.81</v>
      </c>
    </row>
    <row r="671802" spans="2:134">
      <c r="B671802">
        <v>602.40000000000009</v>
      </c>
      <c r="BY671802">
        <v>6.02</v>
      </c>
      <c r="BZ671802">
        <v>6.02</v>
      </c>
      <c r="CB671802">
        <v>3.01</v>
      </c>
      <c r="CC671802">
        <v>3.01</v>
      </c>
      <c r="CD671802">
        <v>3.01</v>
      </c>
      <c r="CI671802">
        <v>6.02</v>
      </c>
      <c r="CJ671802">
        <v>6.02</v>
      </c>
      <c r="CK671802">
        <v>6.02</v>
      </c>
    </row>
    <row r="671803" spans="2:134">
      <c r="B671803">
        <v>307.60000000000002</v>
      </c>
      <c r="BY671803">
        <v>3.34</v>
      </c>
      <c r="BZ671803">
        <v>3.34</v>
      </c>
      <c r="CG671803">
        <v>3.34</v>
      </c>
      <c r="CH671803">
        <v>3.34</v>
      </c>
    </row>
    <row r="671804" spans="2:134">
      <c r="B671804">
        <v>358</v>
      </c>
      <c r="BY671804">
        <v>2.37</v>
      </c>
      <c r="BZ671804">
        <v>2.37</v>
      </c>
      <c r="CA671804">
        <v>2.37</v>
      </c>
      <c r="DX671804">
        <v>4.74</v>
      </c>
      <c r="DY671804">
        <v>4.74</v>
      </c>
    </row>
    <row r="671805" spans="2:134">
      <c r="B671805">
        <v>286</v>
      </c>
      <c r="BT671805">
        <v>1.43</v>
      </c>
      <c r="BV671805">
        <v>1.43</v>
      </c>
      <c r="BW671805">
        <v>1.43</v>
      </c>
      <c r="BX671805">
        <v>1.43</v>
      </c>
      <c r="CO671805">
        <v>2.86</v>
      </c>
      <c r="CP671805">
        <v>2.86</v>
      </c>
      <c r="CQ671805">
        <v>2.86</v>
      </c>
      <c r="CR671805">
        <v>2.86</v>
      </c>
      <c r="CS671805">
        <v>2.86</v>
      </c>
    </row>
    <row r="671806" spans="2:134">
      <c r="B671806">
        <v>410</v>
      </c>
      <c r="BY671806">
        <v>2.88</v>
      </c>
      <c r="BZ671806">
        <v>2.88</v>
      </c>
      <c r="CA671806">
        <v>2.88</v>
      </c>
      <c r="CW671806">
        <v>5.76</v>
      </c>
      <c r="CX671806">
        <v>5.76</v>
      </c>
    </row>
    <row r="671807" spans="2:134">
      <c r="B671807">
        <v>346</v>
      </c>
      <c r="BR671807">
        <v>3.6</v>
      </c>
      <c r="BS671807">
        <v>3.6</v>
      </c>
      <c r="BT671807">
        <v>1.8</v>
      </c>
      <c r="CL671807">
        <v>3.6</v>
      </c>
      <c r="CM671807">
        <v>3.6</v>
      </c>
      <c r="CN671807">
        <v>3.6</v>
      </c>
    </row>
    <row r="671808" spans="2:134">
      <c r="B671808">
        <v>302</v>
      </c>
      <c r="BR671808">
        <v>3.28</v>
      </c>
      <c r="BS671808">
        <v>3.28</v>
      </c>
      <c r="BT671808">
        <v>1.64</v>
      </c>
      <c r="BU671808">
        <v>1.64</v>
      </c>
      <c r="CL671808">
        <v>3.28</v>
      </c>
      <c r="CM671808">
        <v>3.28</v>
      </c>
      <c r="CN671808">
        <v>3.28</v>
      </c>
    </row>
    <row r="671809" spans="2:146">
      <c r="B671809">
        <v>204</v>
      </c>
      <c r="BR671809">
        <v>2.12</v>
      </c>
      <c r="BS671809">
        <v>2.12</v>
      </c>
      <c r="BT671809">
        <v>1.06</v>
      </c>
      <c r="CL671809">
        <v>2.12</v>
      </c>
      <c r="CM671809">
        <v>2.12</v>
      </c>
      <c r="CN671809">
        <v>2.12</v>
      </c>
    </row>
    <row r="671811" spans="2:146">
      <c r="B671811">
        <v>26358.800000000003</v>
      </c>
      <c r="BQ671811">
        <v>0</v>
      </c>
      <c r="BR671811">
        <v>9</v>
      </c>
      <c r="BS671811">
        <v>9</v>
      </c>
      <c r="BT671811">
        <v>5.93</v>
      </c>
      <c r="BU671811">
        <v>1.64</v>
      </c>
      <c r="BV671811">
        <v>6.5299999999999994</v>
      </c>
      <c r="BW671811">
        <v>6.5299999999999994</v>
      </c>
      <c r="BX671811">
        <v>1.43</v>
      </c>
      <c r="BY671811">
        <v>14.61</v>
      </c>
      <c r="BZ671811">
        <v>14.61</v>
      </c>
      <c r="CA671811">
        <v>5.25</v>
      </c>
      <c r="CB671811">
        <v>3.01</v>
      </c>
      <c r="CC671811">
        <v>3.01</v>
      </c>
      <c r="CD671811">
        <v>3.01</v>
      </c>
      <c r="CE671811">
        <v>3.8</v>
      </c>
      <c r="CF671811">
        <v>3.8</v>
      </c>
      <c r="CG671811">
        <v>3.34</v>
      </c>
      <c r="CH671811">
        <v>3.34</v>
      </c>
      <c r="CI671811">
        <v>6.02</v>
      </c>
      <c r="CJ671811">
        <v>6.02</v>
      </c>
      <c r="CK671811">
        <v>6.02</v>
      </c>
      <c r="CL671811">
        <v>9</v>
      </c>
      <c r="CM671811">
        <v>9</v>
      </c>
      <c r="CN671811">
        <v>9</v>
      </c>
      <c r="CO671811">
        <v>2.86</v>
      </c>
      <c r="CP671811">
        <v>2.86</v>
      </c>
      <c r="CQ671811">
        <v>2.86</v>
      </c>
      <c r="CR671811">
        <v>2.86</v>
      </c>
      <c r="CS671811">
        <v>2.86</v>
      </c>
      <c r="CT671811">
        <v>2.5</v>
      </c>
      <c r="CU671811">
        <v>2.5</v>
      </c>
      <c r="CV671811">
        <v>2.5</v>
      </c>
      <c r="CW671811">
        <v>5.76</v>
      </c>
      <c r="CX671811">
        <v>5.76</v>
      </c>
      <c r="CY671811">
        <v>3.98</v>
      </c>
      <c r="CZ671811">
        <v>3.98</v>
      </c>
      <c r="DA671811">
        <v>3.98</v>
      </c>
      <c r="DB671811">
        <v>10.210000000000001</v>
      </c>
      <c r="DC671811">
        <v>10.210000000000001</v>
      </c>
      <c r="DD671811">
        <v>10.210000000000001</v>
      </c>
      <c r="DE671811">
        <v>10.210000000000001</v>
      </c>
      <c r="DF671811">
        <v>10.210000000000001</v>
      </c>
      <c r="DG671811">
        <v>10.210000000000001</v>
      </c>
      <c r="DH671811">
        <v>10.210000000000001</v>
      </c>
      <c r="DI671811">
        <v>47.860000000000007</v>
      </c>
      <c r="DJ671811">
        <v>47.860000000000007</v>
      </c>
      <c r="DK671811">
        <v>10.66</v>
      </c>
      <c r="DL671811">
        <v>14.18</v>
      </c>
      <c r="DM671811">
        <v>10.66</v>
      </c>
      <c r="DN671811">
        <v>10.66</v>
      </c>
      <c r="DO671811">
        <v>3.52</v>
      </c>
      <c r="DP671811">
        <v>0</v>
      </c>
      <c r="DQ671811">
        <v>26.18</v>
      </c>
      <c r="DR671811">
        <v>9.77</v>
      </c>
      <c r="DS671811">
        <v>6.15</v>
      </c>
      <c r="DT671811">
        <v>26.18</v>
      </c>
      <c r="DU671811">
        <v>3.62</v>
      </c>
      <c r="DV671811">
        <v>7.5</v>
      </c>
      <c r="DW671811">
        <v>23.91</v>
      </c>
      <c r="DX671811">
        <v>4.74</v>
      </c>
      <c r="DY671811">
        <v>4.74</v>
      </c>
      <c r="DZ671811">
        <v>1.62</v>
      </c>
      <c r="EA671811">
        <v>1.62</v>
      </c>
      <c r="EB671811">
        <v>1.62</v>
      </c>
      <c r="EC671811">
        <v>0.81</v>
      </c>
      <c r="ED671811">
        <v>0.81</v>
      </c>
      <c r="EE671811">
        <v>8.15</v>
      </c>
      <c r="EF671811">
        <v>8.15</v>
      </c>
      <c r="EG671811">
        <v>8.15</v>
      </c>
      <c r="EH671811">
        <v>8.15</v>
      </c>
      <c r="EI671811">
        <v>8.15</v>
      </c>
      <c r="EJ671811">
        <v>8.15</v>
      </c>
      <c r="EK671811">
        <v>8.15</v>
      </c>
      <c r="EL671811">
        <v>0.66</v>
      </c>
      <c r="EM671811">
        <v>0.66</v>
      </c>
      <c r="EN671811">
        <v>0.66</v>
      </c>
      <c r="EO671811">
        <v>0.66</v>
      </c>
      <c r="EP671811">
        <v>0.66</v>
      </c>
    </row>
    <row r="671812" spans="2:146">
      <c r="B671812" t="s">
        <v>265</v>
      </c>
      <c r="BQ671812" t="s">
        <v>345</v>
      </c>
      <c r="BR671812" t="s">
        <v>131</v>
      </c>
      <c r="BS671812" t="s">
        <v>131</v>
      </c>
      <c r="BT671812" t="s">
        <v>357</v>
      </c>
      <c r="BU671812" t="s">
        <v>131</v>
      </c>
      <c r="BV671812" t="s">
        <v>360</v>
      </c>
      <c r="BW671812" t="s">
        <v>360</v>
      </c>
      <c r="BX671812" t="s">
        <v>360</v>
      </c>
      <c r="BY671812" t="s">
        <v>364</v>
      </c>
      <c r="BZ671812" t="s">
        <v>364</v>
      </c>
      <c r="CA671812" t="s">
        <v>364</v>
      </c>
      <c r="CB671812" t="s">
        <v>368</v>
      </c>
      <c r="CC671812" t="s">
        <v>368</v>
      </c>
      <c r="CD671812" t="s">
        <v>368</v>
      </c>
      <c r="CE671812" t="s">
        <v>352</v>
      </c>
      <c r="CF671812" t="s">
        <v>352</v>
      </c>
      <c r="CG671812" t="s">
        <v>372</v>
      </c>
      <c r="CH671812" t="s">
        <v>372</v>
      </c>
      <c r="CI671812" t="s">
        <v>375</v>
      </c>
      <c r="CJ671812" t="s">
        <v>375</v>
      </c>
      <c r="CK671812" t="s">
        <v>375</v>
      </c>
      <c r="CL671812" t="s">
        <v>379</v>
      </c>
      <c r="CM671812" t="s">
        <v>379</v>
      </c>
      <c r="CN671812" t="s">
        <v>379</v>
      </c>
      <c r="CO671812" t="s">
        <v>383</v>
      </c>
      <c r="CP671812" t="s">
        <v>383</v>
      </c>
      <c r="CQ671812" t="s">
        <v>383</v>
      </c>
      <c r="CR671812" t="s">
        <v>383</v>
      </c>
      <c r="CS671812" t="s">
        <v>383</v>
      </c>
      <c r="CT671812" t="s">
        <v>389</v>
      </c>
      <c r="CU671812" t="s">
        <v>389</v>
      </c>
      <c r="CV671812" t="s">
        <v>389</v>
      </c>
      <c r="CW671812" t="s">
        <v>393</v>
      </c>
      <c r="CX671812" t="s">
        <v>393</v>
      </c>
      <c r="CY671812" t="s">
        <v>396</v>
      </c>
      <c r="CZ671812" t="s">
        <v>396</v>
      </c>
      <c r="DA671812" t="s">
        <v>396</v>
      </c>
      <c r="DB671812" t="s">
        <v>400</v>
      </c>
      <c r="DC671812" t="s">
        <v>400</v>
      </c>
      <c r="DD671812" t="s">
        <v>400</v>
      </c>
      <c r="DE671812" t="s">
        <v>400</v>
      </c>
      <c r="DF671812" t="s">
        <v>400</v>
      </c>
      <c r="DG671812" t="s">
        <v>400</v>
      </c>
      <c r="DH671812" t="s">
        <v>400</v>
      </c>
      <c r="DI671812" t="s">
        <v>121</v>
      </c>
      <c r="DJ671812" t="s">
        <v>121</v>
      </c>
      <c r="DK671812" t="s">
        <v>121</v>
      </c>
      <c r="DL671812" t="s">
        <v>121</v>
      </c>
      <c r="DM671812" t="s">
        <v>121</v>
      </c>
      <c r="DN671812" t="s">
        <v>121</v>
      </c>
      <c r="DO671812" t="s">
        <v>121</v>
      </c>
      <c r="DP671812" t="s">
        <v>121</v>
      </c>
      <c r="DQ671812" t="s">
        <v>121</v>
      </c>
      <c r="DR671812" t="s">
        <v>121</v>
      </c>
      <c r="DS671812" t="s">
        <v>121</v>
      </c>
      <c r="DT671812" t="s">
        <v>121</v>
      </c>
      <c r="DU671812" t="s">
        <v>121</v>
      </c>
      <c r="DV671812" t="s">
        <v>121</v>
      </c>
      <c r="DW671812" t="s">
        <v>121</v>
      </c>
      <c r="DX671812" t="s">
        <v>423</v>
      </c>
      <c r="DY671812" t="s">
        <v>423</v>
      </c>
      <c r="DZ671812" t="s">
        <v>426</v>
      </c>
      <c r="EA671812" t="s">
        <v>426</v>
      </c>
      <c r="EB671812" t="s">
        <v>426</v>
      </c>
      <c r="EC671812" t="s">
        <v>426</v>
      </c>
      <c r="ED671812" t="s">
        <v>426</v>
      </c>
      <c r="EE671812" t="s">
        <v>432</v>
      </c>
      <c r="EF671812" t="s">
        <v>432</v>
      </c>
      <c r="EG671812" t="s">
        <v>432</v>
      </c>
      <c r="EH671812" t="s">
        <v>432</v>
      </c>
      <c r="EI671812" t="s">
        <v>432</v>
      </c>
      <c r="EJ671812" t="s">
        <v>432</v>
      </c>
      <c r="EK671812" t="s">
        <v>432</v>
      </c>
      <c r="EL671812" t="s">
        <v>440</v>
      </c>
      <c r="EM671812" t="s">
        <v>440</v>
      </c>
      <c r="EN671812" t="s">
        <v>440</v>
      </c>
      <c r="EO671812" t="s">
        <v>440</v>
      </c>
      <c r="EP671812" t="s">
        <v>440</v>
      </c>
    </row>
    <row r="671813" spans="2:146">
      <c r="BQ671813" t="s">
        <v>351</v>
      </c>
      <c r="BR671813" t="s">
        <v>355</v>
      </c>
      <c r="BS671813" t="s">
        <v>356</v>
      </c>
      <c r="BT671813" t="s">
        <v>358</v>
      </c>
      <c r="BU671813" t="s">
        <v>359</v>
      </c>
      <c r="BV671813" t="s">
        <v>361</v>
      </c>
      <c r="BW671813" t="s">
        <v>362</v>
      </c>
      <c r="BX671813" t="s">
        <v>363</v>
      </c>
      <c r="BY671813" t="s">
        <v>365</v>
      </c>
      <c r="BZ671813" t="s">
        <v>366</v>
      </c>
      <c r="CA671813" t="s">
        <v>367</v>
      </c>
      <c r="CB671813" t="s">
        <v>369</v>
      </c>
      <c r="CC671813" t="s">
        <v>370</v>
      </c>
      <c r="CD671813" t="s">
        <v>371</v>
      </c>
      <c r="CE671813" t="s">
        <v>353</v>
      </c>
      <c r="CF671813" t="s">
        <v>354</v>
      </c>
      <c r="CG671813" t="s">
        <v>373</v>
      </c>
      <c r="CH671813" t="s">
        <v>374</v>
      </c>
      <c r="CI671813" t="s">
        <v>376</v>
      </c>
      <c r="CJ671813" t="s">
        <v>377</v>
      </c>
      <c r="CK671813" t="s">
        <v>378</v>
      </c>
      <c r="CL671813" t="s">
        <v>380</v>
      </c>
      <c r="CM671813" t="s">
        <v>381</v>
      </c>
      <c r="CN671813" t="s">
        <v>382</v>
      </c>
      <c r="CO671813" t="s">
        <v>384</v>
      </c>
      <c r="CP671813" t="s">
        <v>385</v>
      </c>
      <c r="CQ671813" t="s">
        <v>386</v>
      </c>
      <c r="CR671813" t="s">
        <v>387</v>
      </c>
      <c r="CS671813" t="s">
        <v>388</v>
      </c>
      <c r="CT671813" t="s">
        <v>390</v>
      </c>
      <c r="CU671813" t="s">
        <v>391</v>
      </c>
      <c r="CV671813" t="s">
        <v>392</v>
      </c>
      <c r="CW671813" t="s">
        <v>394</v>
      </c>
      <c r="CX671813" t="s">
        <v>395</v>
      </c>
      <c r="CY671813" t="s">
        <v>397</v>
      </c>
      <c r="CZ671813" t="s">
        <v>398</v>
      </c>
      <c r="DA671813" t="s">
        <v>399</v>
      </c>
      <c r="DB671813" t="s">
        <v>401</v>
      </c>
      <c r="DC671813" t="s">
        <v>402</v>
      </c>
      <c r="DD671813" t="s">
        <v>403</v>
      </c>
      <c r="DE671813" t="s">
        <v>404</v>
      </c>
      <c r="DF671813" t="s">
        <v>405</v>
      </c>
      <c r="DG671813" t="s">
        <v>406</v>
      </c>
      <c r="DH671813" t="s">
        <v>407</v>
      </c>
      <c r="DI671813" t="s">
        <v>408</v>
      </c>
      <c r="DJ671813" t="s">
        <v>409</v>
      </c>
      <c r="DK671813" t="s">
        <v>410</v>
      </c>
      <c r="DL671813" t="s">
        <v>411</v>
      </c>
      <c r="DM671813" t="s">
        <v>412</v>
      </c>
      <c r="DN671813" t="s">
        <v>413</v>
      </c>
      <c r="DO671813" t="s">
        <v>414</v>
      </c>
      <c r="DP671813" t="s">
        <v>415</v>
      </c>
      <c r="DQ671813" t="s">
        <v>416</v>
      </c>
      <c r="DR671813" t="s">
        <v>417</v>
      </c>
      <c r="DS671813" t="s">
        <v>418</v>
      </c>
      <c r="DT671813" t="s">
        <v>419</v>
      </c>
      <c r="DU671813" t="s">
        <v>420</v>
      </c>
      <c r="DV671813" t="s">
        <v>421</v>
      </c>
      <c r="DW671813" t="s">
        <v>422</v>
      </c>
      <c r="DX671813" t="s">
        <v>424</v>
      </c>
      <c r="DY671813" t="s">
        <v>425</v>
      </c>
      <c r="DZ671813" t="s">
        <v>427</v>
      </c>
      <c r="EA671813" t="s">
        <v>428</v>
      </c>
      <c r="EB671813" t="s">
        <v>429</v>
      </c>
      <c r="EC671813" t="s">
        <v>430</v>
      </c>
      <c r="ED671813" t="s">
        <v>431</v>
      </c>
      <c r="EE671813" t="s">
        <v>433</v>
      </c>
      <c r="EF671813" t="s">
        <v>434</v>
      </c>
      <c r="EG671813" t="s">
        <v>435</v>
      </c>
      <c r="EH671813" t="s">
        <v>436</v>
      </c>
      <c r="EI671813" t="s">
        <v>437</v>
      </c>
      <c r="EJ671813" t="s">
        <v>438</v>
      </c>
      <c r="EK671813" t="s">
        <v>439</v>
      </c>
      <c r="EL671813" t="s">
        <v>441</v>
      </c>
      <c r="EM671813" t="s">
        <v>442</v>
      </c>
      <c r="EN671813" t="s">
        <v>443</v>
      </c>
      <c r="EO671813" t="s">
        <v>444</v>
      </c>
      <c r="EP671813" t="s">
        <v>445</v>
      </c>
    </row>
    <row r="671814" spans="2:146">
      <c r="BQ671814">
        <v>67</v>
      </c>
      <c r="BR671814">
        <v>68</v>
      </c>
      <c r="BS671814">
        <v>69</v>
      </c>
      <c r="BT671814">
        <v>70</v>
      </c>
      <c r="BU671814">
        <v>71</v>
      </c>
      <c r="BV671814">
        <v>72</v>
      </c>
      <c r="BW671814">
        <v>73</v>
      </c>
      <c r="BX671814">
        <v>74</v>
      </c>
      <c r="BY671814">
        <v>75</v>
      </c>
      <c r="BZ671814">
        <v>76</v>
      </c>
      <c r="CA671814">
        <v>77</v>
      </c>
      <c r="CB671814">
        <v>78</v>
      </c>
      <c r="CC671814">
        <v>79</v>
      </c>
      <c r="CD671814">
        <v>80</v>
      </c>
      <c r="CE671814">
        <v>81</v>
      </c>
      <c r="CF671814">
        <v>82</v>
      </c>
      <c r="CG671814">
        <v>83</v>
      </c>
      <c r="CH671814">
        <v>84</v>
      </c>
      <c r="CI671814">
        <v>85</v>
      </c>
      <c r="CJ671814">
        <v>86</v>
      </c>
      <c r="CK671814">
        <v>87</v>
      </c>
      <c r="CL671814">
        <v>88</v>
      </c>
      <c r="CM671814">
        <v>89</v>
      </c>
      <c r="CN671814">
        <v>90</v>
      </c>
      <c r="CO671814">
        <v>91</v>
      </c>
      <c r="CP671814">
        <v>92</v>
      </c>
      <c r="CQ671814">
        <v>93</v>
      </c>
      <c r="CR671814">
        <v>94</v>
      </c>
      <c r="CS671814">
        <v>95</v>
      </c>
      <c r="CT671814">
        <v>96</v>
      </c>
      <c r="CU671814">
        <v>97</v>
      </c>
      <c r="CV671814">
        <v>98</v>
      </c>
      <c r="CW671814">
        <v>99</v>
      </c>
      <c r="CX671814">
        <v>100</v>
      </c>
      <c r="CY671814">
        <v>101</v>
      </c>
      <c r="CZ671814">
        <v>102</v>
      </c>
      <c r="DA671814">
        <v>103</v>
      </c>
      <c r="DB671814">
        <v>104</v>
      </c>
      <c r="DC671814">
        <v>105</v>
      </c>
      <c r="DD671814">
        <v>106</v>
      </c>
      <c r="DE671814">
        <v>107</v>
      </c>
      <c r="DF671814">
        <v>108</v>
      </c>
      <c r="DG671814">
        <v>109</v>
      </c>
      <c r="DH671814">
        <v>110</v>
      </c>
      <c r="DI671814">
        <v>111</v>
      </c>
      <c r="DJ671814">
        <v>112</v>
      </c>
      <c r="DK671814">
        <v>113</v>
      </c>
      <c r="DL671814">
        <v>114</v>
      </c>
      <c r="DM671814">
        <v>115</v>
      </c>
      <c r="DN671814">
        <v>116</v>
      </c>
      <c r="DO671814">
        <v>117</v>
      </c>
      <c r="DP671814">
        <v>118</v>
      </c>
      <c r="DQ671814">
        <v>119</v>
      </c>
      <c r="DR671814">
        <v>120</v>
      </c>
      <c r="DS671814">
        <v>121</v>
      </c>
      <c r="DT671814">
        <v>122</v>
      </c>
      <c r="DU671814">
        <v>123</v>
      </c>
      <c r="DV671814">
        <v>124</v>
      </c>
      <c r="DW671814">
        <v>125</v>
      </c>
      <c r="DX671814">
        <v>126</v>
      </c>
      <c r="DY671814">
        <v>127</v>
      </c>
      <c r="DZ671814">
        <v>128</v>
      </c>
      <c r="EA671814">
        <v>129</v>
      </c>
      <c r="EB671814">
        <v>130</v>
      </c>
      <c r="EC671814">
        <v>131</v>
      </c>
      <c r="ED671814">
        <v>132</v>
      </c>
      <c r="EE671814">
        <v>133</v>
      </c>
      <c r="EF671814">
        <v>134</v>
      </c>
      <c r="EG671814">
        <v>135</v>
      </c>
      <c r="EH671814">
        <v>136</v>
      </c>
      <c r="EI671814">
        <v>137</v>
      </c>
      <c r="EJ671814">
        <v>138</v>
      </c>
      <c r="EK671814">
        <v>139</v>
      </c>
      <c r="EL671814">
        <v>140</v>
      </c>
      <c r="EM671814">
        <v>141</v>
      </c>
      <c r="EN671814">
        <v>142</v>
      </c>
      <c r="EO671814">
        <v>143</v>
      </c>
      <c r="EP671814">
        <v>144</v>
      </c>
    </row>
    <row r="671815" spans="2:146">
      <c r="CE671815" t="s">
        <v>451</v>
      </c>
    </row>
    <row r="688130" spans="2:2">
      <c r="B688130">
        <v>200</v>
      </c>
    </row>
    <row r="688131" spans="2:2">
      <c r="B688131">
        <v>200</v>
      </c>
    </row>
    <row r="688132" spans="2:2">
      <c r="B688132">
        <v>800</v>
      </c>
    </row>
    <row r="688133" spans="2:2">
      <c r="B688133">
        <v>200</v>
      </c>
    </row>
    <row r="688134" spans="2:2">
      <c r="B688134">
        <v>1044</v>
      </c>
    </row>
    <row r="688135" spans="2:2">
      <c r="B688135">
        <v>998.40000000000009</v>
      </c>
    </row>
    <row r="688136" spans="2:2">
      <c r="B688136">
        <v>272</v>
      </c>
    </row>
    <row r="688137" spans="2:2">
      <c r="B688137">
        <v>200</v>
      </c>
    </row>
    <row r="688138" spans="2:2">
      <c r="B688138">
        <v>214</v>
      </c>
    </row>
    <row r="688139" spans="2:2">
      <c r="B688139">
        <v>200</v>
      </c>
    </row>
    <row r="688140" spans="2:2">
      <c r="B688140">
        <v>152</v>
      </c>
    </row>
    <row r="688141" spans="2:2">
      <c r="B688141">
        <v>200</v>
      </c>
    </row>
    <row r="688142" spans="2:2">
      <c r="B688142">
        <v>300</v>
      </c>
    </row>
    <row r="688143" spans="2:2">
      <c r="B688143">
        <v>104</v>
      </c>
    </row>
    <row r="688144" spans="2:2">
      <c r="B688144">
        <v>162</v>
      </c>
    </row>
    <row r="688145" spans="2:2">
      <c r="B688145">
        <v>200</v>
      </c>
    </row>
    <row r="688146" spans="2:2">
      <c r="B688146">
        <v>200</v>
      </c>
    </row>
    <row r="688147" spans="2:2">
      <c r="B688147">
        <v>200</v>
      </c>
    </row>
    <row r="688148" spans="2:2">
      <c r="B688148">
        <v>200</v>
      </c>
    </row>
    <row r="688149" spans="2:2">
      <c r="B688149">
        <v>200</v>
      </c>
    </row>
    <row r="688150" spans="2:2">
      <c r="B688150">
        <v>200</v>
      </c>
    </row>
    <row r="688151" spans="2:2">
      <c r="B688151">
        <v>200</v>
      </c>
    </row>
    <row r="688152" spans="2:2">
      <c r="B688152">
        <v>200</v>
      </c>
    </row>
    <row r="688153" spans="2:2">
      <c r="B688153">
        <v>800</v>
      </c>
    </row>
    <row r="688154" spans="2:2">
      <c r="B688154">
        <v>300</v>
      </c>
    </row>
    <row r="688155" spans="2:2">
      <c r="B688155">
        <v>778</v>
      </c>
    </row>
    <row r="688156" spans="2:2">
      <c r="B688156">
        <v>614</v>
      </c>
    </row>
    <row r="688157" spans="2:2">
      <c r="B688157">
        <v>444</v>
      </c>
    </row>
    <row r="688158" spans="2:2">
      <c r="B688158">
        <v>800</v>
      </c>
    </row>
    <row r="688159" spans="2:2">
      <c r="B688159">
        <v>200</v>
      </c>
    </row>
    <row r="688160" spans="2:2">
      <c r="B688160">
        <v>780</v>
      </c>
    </row>
    <row r="688161" spans="2:146">
      <c r="B688161">
        <v>174</v>
      </c>
    </row>
    <row r="688162" spans="2:146">
      <c r="B688162">
        <v>194</v>
      </c>
    </row>
    <row r="688163" spans="2:146">
      <c r="B688163">
        <v>782</v>
      </c>
    </row>
    <row r="688164" spans="2:146">
      <c r="B688164">
        <v>236</v>
      </c>
    </row>
    <row r="688165" spans="2:146">
      <c r="B688165">
        <v>144</v>
      </c>
    </row>
    <row r="688166" spans="2:146">
      <c r="B688166">
        <v>200</v>
      </c>
    </row>
    <row r="688167" spans="2:146">
      <c r="B688167">
        <v>240</v>
      </c>
    </row>
    <row r="688168" spans="2:146">
      <c r="B688168">
        <v>200</v>
      </c>
    </row>
    <row r="688169" spans="2:146">
      <c r="B688169">
        <v>612</v>
      </c>
    </row>
    <row r="688170" spans="2:146">
      <c r="B688170">
        <v>156</v>
      </c>
    </row>
    <row r="688171" spans="2:146">
      <c r="B688171">
        <v>116</v>
      </c>
    </row>
    <row r="688172" spans="2:146">
      <c r="B688172">
        <v>160</v>
      </c>
    </row>
    <row r="688173" spans="2:146">
      <c r="B688173">
        <v>80</v>
      </c>
      <c r="EL688173">
        <v>0.66</v>
      </c>
      <c r="EM688173">
        <v>0.66</v>
      </c>
      <c r="EN688173">
        <v>0.66</v>
      </c>
      <c r="EO688173">
        <v>0.66</v>
      </c>
      <c r="EP688173">
        <v>0.66</v>
      </c>
    </row>
    <row r="688174" spans="2:146">
      <c r="B688174">
        <v>1144</v>
      </c>
      <c r="BV688174">
        <v>5.0999999999999996</v>
      </c>
      <c r="BW688174">
        <v>5.0999999999999996</v>
      </c>
      <c r="DB688174">
        <v>10.210000000000001</v>
      </c>
      <c r="DC688174">
        <v>10.210000000000001</v>
      </c>
      <c r="DD688174">
        <v>10.210000000000001</v>
      </c>
      <c r="DE688174">
        <v>10.210000000000001</v>
      </c>
      <c r="DF688174">
        <v>10.210000000000001</v>
      </c>
      <c r="DG688174">
        <v>10.210000000000001</v>
      </c>
      <c r="DH688174">
        <v>10.210000000000001</v>
      </c>
    </row>
    <row r="688175" spans="2:146">
      <c r="B688175">
        <v>1240</v>
      </c>
      <c r="EE688175">
        <v>8.15</v>
      </c>
      <c r="EF688175">
        <v>8.15</v>
      </c>
      <c r="EG688175">
        <v>8.15</v>
      </c>
      <c r="EH688175">
        <v>8.15</v>
      </c>
      <c r="EI688175">
        <v>8.15</v>
      </c>
      <c r="EJ688175">
        <v>8.15</v>
      </c>
      <c r="EK688175">
        <v>8.15</v>
      </c>
    </row>
    <row r="688176" spans="2:146">
      <c r="B688176">
        <v>2083.2000000000003</v>
      </c>
      <c r="DI688176">
        <v>20.03</v>
      </c>
      <c r="DJ688176">
        <v>20.03</v>
      </c>
      <c r="DQ688176">
        <v>20.03</v>
      </c>
      <c r="DT688176">
        <v>20.03</v>
      </c>
      <c r="DW688176">
        <v>20.03</v>
      </c>
    </row>
    <row r="688177" spans="2:134">
      <c r="B688177">
        <v>357.20000000000005</v>
      </c>
      <c r="DI688177">
        <v>3.88</v>
      </c>
      <c r="DJ688177">
        <v>3.88</v>
      </c>
      <c r="DV688177">
        <v>3.88</v>
      </c>
      <c r="DW688177">
        <v>3.88</v>
      </c>
    </row>
    <row r="688178" spans="2:134">
      <c r="B688178">
        <v>391.20000000000005</v>
      </c>
      <c r="DI688178">
        <v>3.62</v>
      </c>
      <c r="DJ688178">
        <v>3.62</v>
      </c>
      <c r="DR688178">
        <v>3.62</v>
      </c>
      <c r="DU688178">
        <v>3.62</v>
      </c>
      <c r="DV688178">
        <v>3.62</v>
      </c>
    </row>
    <row r="688179" spans="2:134">
      <c r="B688179">
        <v>762.80000000000007</v>
      </c>
      <c r="DI688179">
        <v>6.15</v>
      </c>
      <c r="DJ688179">
        <v>6.15</v>
      </c>
      <c r="DQ688179">
        <v>6.15</v>
      </c>
      <c r="DR688179">
        <v>6.15</v>
      </c>
      <c r="DS688179">
        <v>6.15</v>
      </c>
      <c r="DT688179">
        <v>6.15</v>
      </c>
    </row>
    <row r="688180" spans="2:134">
      <c r="B688180">
        <v>1280</v>
      </c>
      <c r="DI688180">
        <v>10.66</v>
      </c>
      <c r="DJ688180">
        <v>10.66</v>
      </c>
      <c r="DK688180">
        <v>10.66</v>
      </c>
      <c r="DL688180">
        <v>10.66</v>
      </c>
      <c r="DM688180">
        <v>10.66</v>
      </c>
      <c r="DN688180">
        <v>10.66</v>
      </c>
    </row>
    <row r="688181" spans="2:134">
      <c r="B688181">
        <v>234</v>
      </c>
      <c r="CT688181">
        <v>2.5</v>
      </c>
      <c r="CU688181">
        <v>2.5</v>
      </c>
      <c r="CV688181">
        <v>2.5</v>
      </c>
    </row>
    <row r="688182" spans="2:134">
      <c r="B688182">
        <v>354</v>
      </c>
      <c r="CY688182">
        <v>3.98</v>
      </c>
      <c r="CZ688182">
        <v>3.98</v>
      </c>
      <c r="DA688182">
        <v>3.98</v>
      </c>
    </row>
    <row r="688183" spans="2:134">
      <c r="B688183">
        <v>392</v>
      </c>
      <c r="DI688183">
        <v>3.52</v>
      </c>
      <c r="DJ688183">
        <v>3.52</v>
      </c>
      <c r="DL688183">
        <v>3.52</v>
      </c>
      <c r="DO688183">
        <v>3.52</v>
      </c>
    </row>
    <row r="688184" spans="2:134">
      <c r="B688184">
        <v>304</v>
      </c>
      <c r="CE688184">
        <v>3.8</v>
      </c>
      <c r="CF688184">
        <v>3.8</v>
      </c>
    </row>
    <row r="688185" spans="2:134">
      <c r="B688185">
        <v>144</v>
      </c>
      <c r="DZ688185">
        <v>1.62</v>
      </c>
      <c r="EA688185">
        <v>1.62</v>
      </c>
      <c r="EB688185">
        <v>1.62</v>
      </c>
      <c r="EC688185">
        <v>0.81</v>
      </c>
      <c r="ED688185">
        <v>0.81</v>
      </c>
    </row>
    <row r="688186" spans="2:134">
      <c r="B688186">
        <v>602.40000000000009</v>
      </c>
      <c r="BY688186">
        <v>6.02</v>
      </c>
      <c r="BZ688186">
        <v>6.02</v>
      </c>
      <c r="CB688186">
        <v>3.01</v>
      </c>
      <c r="CC688186">
        <v>3.01</v>
      </c>
      <c r="CD688186">
        <v>3.01</v>
      </c>
      <c r="CI688186">
        <v>6.02</v>
      </c>
      <c r="CJ688186">
        <v>6.02</v>
      </c>
      <c r="CK688186">
        <v>6.02</v>
      </c>
    </row>
    <row r="688187" spans="2:134">
      <c r="B688187">
        <v>307.60000000000002</v>
      </c>
      <c r="BY688187">
        <v>3.34</v>
      </c>
      <c r="BZ688187">
        <v>3.34</v>
      </c>
      <c r="CG688187">
        <v>3.34</v>
      </c>
      <c r="CH688187">
        <v>3.34</v>
      </c>
    </row>
    <row r="688188" spans="2:134">
      <c r="B688188">
        <v>358</v>
      </c>
      <c r="BY688188">
        <v>2.37</v>
      </c>
      <c r="BZ688188">
        <v>2.37</v>
      </c>
      <c r="CA688188">
        <v>2.37</v>
      </c>
      <c r="DX688188">
        <v>4.74</v>
      </c>
      <c r="DY688188">
        <v>4.74</v>
      </c>
    </row>
    <row r="688189" spans="2:134">
      <c r="B688189">
        <v>286</v>
      </c>
      <c r="BT688189">
        <v>1.43</v>
      </c>
      <c r="BV688189">
        <v>1.43</v>
      </c>
      <c r="BW688189">
        <v>1.43</v>
      </c>
      <c r="BX688189">
        <v>1.43</v>
      </c>
      <c r="CO688189">
        <v>2.86</v>
      </c>
      <c r="CP688189">
        <v>2.86</v>
      </c>
      <c r="CQ688189">
        <v>2.86</v>
      </c>
      <c r="CR688189">
        <v>2.86</v>
      </c>
      <c r="CS688189">
        <v>2.86</v>
      </c>
    </row>
    <row r="688190" spans="2:134">
      <c r="B688190">
        <v>410</v>
      </c>
      <c r="BY688190">
        <v>2.88</v>
      </c>
      <c r="BZ688190">
        <v>2.88</v>
      </c>
      <c r="CA688190">
        <v>2.88</v>
      </c>
      <c r="CW688190">
        <v>5.76</v>
      </c>
      <c r="CX688190">
        <v>5.76</v>
      </c>
    </row>
    <row r="688191" spans="2:134">
      <c r="B688191">
        <v>346</v>
      </c>
      <c r="BR688191">
        <v>3.6</v>
      </c>
      <c r="BS688191">
        <v>3.6</v>
      </c>
      <c r="BT688191">
        <v>1.8</v>
      </c>
      <c r="CL688191">
        <v>3.6</v>
      </c>
      <c r="CM688191">
        <v>3.6</v>
      </c>
      <c r="CN688191">
        <v>3.6</v>
      </c>
    </row>
    <row r="688192" spans="2:134">
      <c r="B688192">
        <v>302</v>
      </c>
      <c r="BR688192">
        <v>3.28</v>
      </c>
      <c r="BS688192">
        <v>3.28</v>
      </c>
      <c r="BT688192">
        <v>1.64</v>
      </c>
      <c r="BU688192">
        <v>1.64</v>
      </c>
      <c r="CL688192">
        <v>3.28</v>
      </c>
      <c r="CM688192">
        <v>3.28</v>
      </c>
      <c r="CN688192">
        <v>3.28</v>
      </c>
    </row>
    <row r="688193" spans="2:146">
      <c r="B688193">
        <v>204</v>
      </c>
      <c r="BR688193">
        <v>2.12</v>
      </c>
      <c r="BS688193">
        <v>2.12</v>
      </c>
      <c r="BT688193">
        <v>1.06</v>
      </c>
      <c r="CL688193">
        <v>2.12</v>
      </c>
      <c r="CM688193">
        <v>2.12</v>
      </c>
      <c r="CN688193">
        <v>2.12</v>
      </c>
    </row>
    <row r="688195" spans="2:146">
      <c r="B688195">
        <v>26358.800000000003</v>
      </c>
      <c r="BQ688195">
        <v>0</v>
      </c>
      <c r="BR688195">
        <v>9</v>
      </c>
      <c r="BS688195">
        <v>9</v>
      </c>
      <c r="BT688195">
        <v>5.93</v>
      </c>
      <c r="BU688195">
        <v>1.64</v>
      </c>
      <c r="BV688195">
        <v>6.5299999999999994</v>
      </c>
      <c r="BW688195">
        <v>6.5299999999999994</v>
      </c>
      <c r="BX688195">
        <v>1.43</v>
      </c>
      <c r="BY688195">
        <v>14.61</v>
      </c>
      <c r="BZ688195">
        <v>14.61</v>
      </c>
      <c r="CA688195">
        <v>5.25</v>
      </c>
      <c r="CB688195">
        <v>3.01</v>
      </c>
      <c r="CC688195">
        <v>3.01</v>
      </c>
      <c r="CD688195">
        <v>3.01</v>
      </c>
      <c r="CE688195">
        <v>3.8</v>
      </c>
      <c r="CF688195">
        <v>3.8</v>
      </c>
      <c r="CG688195">
        <v>3.34</v>
      </c>
      <c r="CH688195">
        <v>3.34</v>
      </c>
      <c r="CI688195">
        <v>6.02</v>
      </c>
      <c r="CJ688195">
        <v>6.02</v>
      </c>
      <c r="CK688195">
        <v>6.02</v>
      </c>
      <c r="CL688195">
        <v>9</v>
      </c>
      <c r="CM688195">
        <v>9</v>
      </c>
      <c r="CN688195">
        <v>9</v>
      </c>
      <c r="CO688195">
        <v>2.86</v>
      </c>
      <c r="CP688195">
        <v>2.86</v>
      </c>
      <c r="CQ688195">
        <v>2.86</v>
      </c>
      <c r="CR688195">
        <v>2.86</v>
      </c>
      <c r="CS688195">
        <v>2.86</v>
      </c>
      <c r="CT688195">
        <v>2.5</v>
      </c>
      <c r="CU688195">
        <v>2.5</v>
      </c>
      <c r="CV688195">
        <v>2.5</v>
      </c>
      <c r="CW688195">
        <v>5.76</v>
      </c>
      <c r="CX688195">
        <v>5.76</v>
      </c>
      <c r="CY688195">
        <v>3.98</v>
      </c>
      <c r="CZ688195">
        <v>3.98</v>
      </c>
      <c r="DA688195">
        <v>3.98</v>
      </c>
      <c r="DB688195">
        <v>10.210000000000001</v>
      </c>
      <c r="DC688195">
        <v>10.210000000000001</v>
      </c>
      <c r="DD688195">
        <v>10.210000000000001</v>
      </c>
      <c r="DE688195">
        <v>10.210000000000001</v>
      </c>
      <c r="DF688195">
        <v>10.210000000000001</v>
      </c>
      <c r="DG688195">
        <v>10.210000000000001</v>
      </c>
      <c r="DH688195">
        <v>10.210000000000001</v>
      </c>
      <c r="DI688195">
        <v>47.860000000000007</v>
      </c>
      <c r="DJ688195">
        <v>47.860000000000007</v>
      </c>
      <c r="DK688195">
        <v>10.66</v>
      </c>
      <c r="DL688195">
        <v>14.18</v>
      </c>
      <c r="DM688195">
        <v>10.66</v>
      </c>
      <c r="DN688195">
        <v>10.66</v>
      </c>
      <c r="DO688195">
        <v>3.52</v>
      </c>
      <c r="DP688195">
        <v>0</v>
      </c>
      <c r="DQ688195">
        <v>26.18</v>
      </c>
      <c r="DR688195">
        <v>9.77</v>
      </c>
      <c r="DS688195">
        <v>6.15</v>
      </c>
      <c r="DT688195">
        <v>26.18</v>
      </c>
      <c r="DU688195">
        <v>3.62</v>
      </c>
      <c r="DV688195">
        <v>7.5</v>
      </c>
      <c r="DW688195">
        <v>23.91</v>
      </c>
      <c r="DX688195">
        <v>4.74</v>
      </c>
      <c r="DY688195">
        <v>4.74</v>
      </c>
      <c r="DZ688195">
        <v>1.62</v>
      </c>
      <c r="EA688195">
        <v>1.62</v>
      </c>
      <c r="EB688195">
        <v>1.62</v>
      </c>
      <c r="EC688195">
        <v>0.81</v>
      </c>
      <c r="ED688195">
        <v>0.81</v>
      </c>
      <c r="EE688195">
        <v>8.15</v>
      </c>
      <c r="EF688195">
        <v>8.15</v>
      </c>
      <c r="EG688195">
        <v>8.15</v>
      </c>
      <c r="EH688195">
        <v>8.15</v>
      </c>
      <c r="EI688195">
        <v>8.15</v>
      </c>
      <c r="EJ688195">
        <v>8.15</v>
      </c>
      <c r="EK688195">
        <v>8.15</v>
      </c>
      <c r="EL688195">
        <v>0.66</v>
      </c>
      <c r="EM688195">
        <v>0.66</v>
      </c>
      <c r="EN688195">
        <v>0.66</v>
      </c>
      <c r="EO688195">
        <v>0.66</v>
      </c>
      <c r="EP688195">
        <v>0.66</v>
      </c>
    </row>
    <row r="688196" spans="2:146">
      <c r="B688196" t="s">
        <v>265</v>
      </c>
      <c r="BQ688196" t="s">
        <v>345</v>
      </c>
      <c r="BR688196" t="s">
        <v>131</v>
      </c>
      <c r="BS688196" t="s">
        <v>131</v>
      </c>
      <c r="BT688196" t="s">
        <v>357</v>
      </c>
      <c r="BU688196" t="s">
        <v>131</v>
      </c>
      <c r="BV688196" t="s">
        <v>360</v>
      </c>
      <c r="BW688196" t="s">
        <v>360</v>
      </c>
      <c r="BX688196" t="s">
        <v>360</v>
      </c>
      <c r="BY688196" t="s">
        <v>364</v>
      </c>
      <c r="BZ688196" t="s">
        <v>364</v>
      </c>
      <c r="CA688196" t="s">
        <v>364</v>
      </c>
      <c r="CB688196" t="s">
        <v>368</v>
      </c>
      <c r="CC688196" t="s">
        <v>368</v>
      </c>
      <c r="CD688196" t="s">
        <v>368</v>
      </c>
      <c r="CE688196" t="s">
        <v>352</v>
      </c>
      <c r="CF688196" t="s">
        <v>352</v>
      </c>
      <c r="CG688196" t="s">
        <v>372</v>
      </c>
      <c r="CH688196" t="s">
        <v>372</v>
      </c>
      <c r="CI688196" t="s">
        <v>375</v>
      </c>
      <c r="CJ688196" t="s">
        <v>375</v>
      </c>
      <c r="CK688196" t="s">
        <v>375</v>
      </c>
      <c r="CL688196" t="s">
        <v>379</v>
      </c>
      <c r="CM688196" t="s">
        <v>379</v>
      </c>
      <c r="CN688196" t="s">
        <v>379</v>
      </c>
      <c r="CO688196" t="s">
        <v>383</v>
      </c>
      <c r="CP688196" t="s">
        <v>383</v>
      </c>
      <c r="CQ688196" t="s">
        <v>383</v>
      </c>
      <c r="CR688196" t="s">
        <v>383</v>
      </c>
      <c r="CS688196" t="s">
        <v>383</v>
      </c>
      <c r="CT688196" t="s">
        <v>389</v>
      </c>
      <c r="CU688196" t="s">
        <v>389</v>
      </c>
      <c r="CV688196" t="s">
        <v>389</v>
      </c>
      <c r="CW688196" t="s">
        <v>393</v>
      </c>
      <c r="CX688196" t="s">
        <v>393</v>
      </c>
      <c r="CY688196" t="s">
        <v>396</v>
      </c>
      <c r="CZ688196" t="s">
        <v>396</v>
      </c>
      <c r="DA688196" t="s">
        <v>396</v>
      </c>
      <c r="DB688196" t="s">
        <v>400</v>
      </c>
      <c r="DC688196" t="s">
        <v>400</v>
      </c>
      <c r="DD688196" t="s">
        <v>400</v>
      </c>
      <c r="DE688196" t="s">
        <v>400</v>
      </c>
      <c r="DF688196" t="s">
        <v>400</v>
      </c>
      <c r="DG688196" t="s">
        <v>400</v>
      </c>
      <c r="DH688196" t="s">
        <v>400</v>
      </c>
      <c r="DI688196" t="s">
        <v>121</v>
      </c>
      <c r="DJ688196" t="s">
        <v>121</v>
      </c>
      <c r="DK688196" t="s">
        <v>121</v>
      </c>
      <c r="DL688196" t="s">
        <v>121</v>
      </c>
      <c r="DM688196" t="s">
        <v>121</v>
      </c>
      <c r="DN688196" t="s">
        <v>121</v>
      </c>
      <c r="DO688196" t="s">
        <v>121</v>
      </c>
      <c r="DP688196" t="s">
        <v>121</v>
      </c>
      <c r="DQ688196" t="s">
        <v>121</v>
      </c>
      <c r="DR688196" t="s">
        <v>121</v>
      </c>
      <c r="DS688196" t="s">
        <v>121</v>
      </c>
      <c r="DT688196" t="s">
        <v>121</v>
      </c>
      <c r="DU688196" t="s">
        <v>121</v>
      </c>
      <c r="DV688196" t="s">
        <v>121</v>
      </c>
      <c r="DW688196" t="s">
        <v>121</v>
      </c>
      <c r="DX688196" t="s">
        <v>423</v>
      </c>
      <c r="DY688196" t="s">
        <v>423</v>
      </c>
      <c r="DZ688196" t="s">
        <v>426</v>
      </c>
      <c r="EA688196" t="s">
        <v>426</v>
      </c>
      <c r="EB688196" t="s">
        <v>426</v>
      </c>
      <c r="EC688196" t="s">
        <v>426</v>
      </c>
      <c r="ED688196" t="s">
        <v>426</v>
      </c>
      <c r="EE688196" t="s">
        <v>432</v>
      </c>
      <c r="EF688196" t="s">
        <v>432</v>
      </c>
      <c r="EG688196" t="s">
        <v>432</v>
      </c>
      <c r="EH688196" t="s">
        <v>432</v>
      </c>
      <c r="EI688196" t="s">
        <v>432</v>
      </c>
      <c r="EJ688196" t="s">
        <v>432</v>
      </c>
      <c r="EK688196" t="s">
        <v>432</v>
      </c>
      <c r="EL688196" t="s">
        <v>440</v>
      </c>
      <c r="EM688196" t="s">
        <v>440</v>
      </c>
      <c r="EN688196" t="s">
        <v>440</v>
      </c>
      <c r="EO688196" t="s">
        <v>440</v>
      </c>
      <c r="EP688196" t="s">
        <v>440</v>
      </c>
    </row>
    <row r="688197" spans="2:146">
      <c r="BQ688197" t="s">
        <v>351</v>
      </c>
      <c r="BR688197" t="s">
        <v>355</v>
      </c>
      <c r="BS688197" t="s">
        <v>356</v>
      </c>
      <c r="BT688197" t="s">
        <v>358</v>
      </c>
      <c r="BU688197" t="s">
        <v>359</v>
      </c>
      <c r="BV688197" t="s">
        <v>361</v>
      </c>
      <c r="BW688197" t="s">
        <v>362</v>
      </c>
      <c r="BX688197" t="s">
        <v>363</v>
      </c>
      <c r="BY688197" t="s">
        <v>365</v>
      </c>
      <c r="BZ688197" t="s">
        <v>366</v>
      </c>
      <c r="CA688197" t="s">
        <v>367</v>
      </c>
      <c r="CB688197" t="s">
        <v>369</v>
      </c>
      <c r="CC688197" t="s">
        <v>370</v>
      </c>
      <c r="CD688197" t="s">
        <v>371</v>
      </c>
      <c r="CE688197" t="s">
        <v>353</v>
      </c>
      <c r="CF688197" t="s">
        <v>354</v>
      </c>
      <c r="CG688197" t="s">
        <v>373</v>
      </c>
      <c r="CH688197" t="s">
        <v>374</v>
      </c>
      <c r="CI688197" t="s">
        <v>376</v>
      </c>
      <c r="CJ688197" t="s">
        <v>377</v>
      </c>
      <c r="CK688197" t="s">
        <v>378</v>
      </c>
      <c r="CL688197" t="s">
        <v>380</v>
      </c>
      <c r="CM688197" t="s">
        <v>381</v>
      </c>
      <c r="CN688197" t="s">
        <v>382</v>
      </c>
      <c r="CO688197" t="s">
        <v>384</v>
      </c>
      <c r="CP688197" t="s">
        <v>385</v>
      </c>
      <c r="CQ688197" t="s">
        <v>386</v>
      </c>
      <c r="CR688197" t="s">
        <v>387</v>
      </c>
      <c r="CS688197" t="s">
        <v>388</v>
      </c>
      <c r="CT688197" t="s">
        <v>390</v>
      </c>
      <c r="CU688197" t="s">
        <v>391</v>
      </c>
      <c r="CV688197" t="s">
        <v>392</v>
      </c>
      <c r="CW688197" t="s">
        <v>394</v>
      </c>
      <c r="CX688197" t="s">
        <v>395</v>
      </c>
      <c r="CY688197" t="s">
        <v>397</v>
      </c>
      <c r="CZ688197" t="s">
        <v>398</v>
      </c>
      <c r="DA688197" t="s">
        <v>399</v>
      </c>
      <c r="DB688197" t="s">
        <v>401</v>
      </c>
      <c r="DC688197" t="s">
        <v>402</v>
      </c>
      <c r="DD688197" t="s">
        <v>403</v>
      </c>
      <c r="DE688197" t="s">
        <v>404</v>
      </c>
      <c r="DF688197" t="s">
        <v>405</v>
      </c>
      <c r="DG688197" t="s">
        <v>406</v>
      </c>
      <c r="DH688197" t="s">
        <v>407</v>
      </c>
      <c r="DI688197" t="s">
        <v>408</v>
      </c>
      <c r="DJ688197" t="s">
        <v>409</v>
      </c>
      <c r="DK688197" t="s">
        <v>410</v>
      </c>
      <c r="DL688197" t="s">
        <v>411</v>
      </c>
      <c r="DM688197" t="s">
        <v>412</v>
      </c>
      <c r="DN688197" t="s">
        <v>413</v>
      </c>
      <c r="DO688197" t="s">
        <v>414</v>
      </c>
      <c r="DP688197" t="s">
        <v>415</v>
      </c>
      <c r="DQ688197" t="s">
        <v>416</v>
      </c>
      <c r="DR688197" t="s">
        <v>417</v>
      </c>
      <c r="DS688197" t="s">
        <v>418</v>
      </c>
      <c r="DT688197" t="s">
        <v>419</v>
      </c>
      <c r="DU688197" t="s">
        <v>420</v>
      </c>
      <c r="DV688197" t="s">
        <v>421</v>
      </c>
      <c r="DW688197" t="s">
        <v>422</v>
      </c>
      <c r="DX688197" t="s">
        <v>424</v>
      </c>
      <c r="DY688197" t="s">
        <v>425</v>
      </c>
      <c r="DZ688197" t="s">
        <v>427</v>
      </c>
      <c r="EA688197" t="s">
        <v>428</v>
      </c>
      <c r="EB688197" t="s">
        <v>429</v>
      </c>
      <c r="EC688197" t="s">
        <v>430</v>
      </c>
      <c r="ED688197" t="s">
        <v>431</v>
      </c>
      <c r="EE688197" t="s">
        <v>433</v>
      </c>
      <c r="EF688197" t="s">
        <v>434</v>
      </c>
      <c r="EG688197" t="s">
        <v>435</v>
      </c>
      <c r="EH688197" t="s">
        <v>436</v>
      </c>
      <c r="EI688197" t="s">
        <v>437</v>
      </c>
      <c r="EJ688197" t="s">
        <v>438</v>
      </c>
      <c r="EK688197" t="s">
        <v>439</v>
      </c>
      <c r="EL688197" t="s">
        <v>441</v>
      </c>
      <c r="EM688197" t="s">
        <v>442</v>
      </c>
      <c r="EN688197" t="s">
        <v>443</v>
      </c>
      <c r="EO688197" t="s">
        <v>444</v>
      </c>
      <c r="EP688197" t="s">
        <v>445</v>
      </c>
    </row>
    <row r="688198" spans="2:146">
      <c r="BQ688198">
        <v>67</v>
      </c>
      <c r="BR688198">
        <v>68</v>
      </c>
      <c r="BS688198">
        <v>69</v>
      </c>
      <c r="BT688198">
        <v>70</v>
      </c>
      <c r="BU688198">
        <v>71</v>
      </c>
      <c r="BV688198">
        <v>72</v>
      </c>
      <c r="BW688198">
        <v>73</v>
      </c>
      <c r="BX688198">
        <v>74</v>
      </c>
      <c r="BY688198">
        <v>75</v>
      </c>
      <c r="BZ688198">
        <v>76</v>
      </c>
      <c r="CA688198">
        <v>77</v>
      </c>
      <c r="CB688198">
        <v>78</v>
      </c>
      <c r="CC688198">
        <v>79</v>
      </c>
      <c r="CD688198">
        <v>80</v>
      </c>
      <c r="CE688198">
        <v>81</v>
      </c>
      <c r="CF688198">
        <v>82</v>
      </c>
      <c r="CG688198">
        <v>83</v>
      </c>
      <c r="CH688198">
        <v>84</v>
      </c>
      <c r="CI688198">
        <v>85</v>
      </c>
      <c r="CJ688198">
        <v>86</v>
      </c>
      <c r="CK688198">
        <v>87</v>
      </c>
      <c r="CL688198">
        <v>88</v>
      </c>
      <c r="CM688198">
        <v>89</v>
      </c>
      <c r="CN688198">
        <v>90</v>
      </c>
      <c r="CO688198">
        <v>91</v>
      </c>
      <c r="CP688198">
        <v>92</v>
      </c>
      <c r="CQ688198">
        <v>93</v>
      </c>
      <c r="CR688198">
        <v>94</v>
      </c>
      <c r="CS688198">
        <v>95</v>
      </c>
      <c r="CT688198">
        <v>96</v>
      </c>
      <c r="CU688198">
        <v>97</v>
      </c>
      <c r="CV688198">
        <v>98</v>
      </c>
      <c r="CW688198">
        <v>99</v>
      </c>
      <c r="CX688198">
        <v>100</v>
      </c>
      <c r="CY688198">
        <v>101</v>
      </c>
      <c r="CZ688198">
        <v>102</v>
      </c>
      <c r="DA688198">
        <v>103</v>
      </c>
      <c r="DB688198">
        <v>104</v>
      </c>
      <c r="DC688198">
        <v>105</v>
      </c>
      <c r="DD688198">
        <v>106</v>
      </c>
      <c r="DE688198">
        <v>107</v>
      </c>
      <c r="DF688198">
        <v>108</v>
      </c>
      <c r="DG688198">
        <v>109</v>
      </c>
      <c r="DH688198">
        <v>110</v>
      </c>
      <c r="DI688198">
        <v>111</v>
      </c>
      <c r="DJ688198">
        <v>112</v>
      </c>
      <c r="DK688198">
        <v>113</v>
      </c>
      <c r="DL688198">
        <v>114</v>
      </c>
      <c r="DM688198">
        <v>115</v>
      </c>
      <c r="DN688198">
        <v>116</v>
      </c>
      <c r="DO688198">
        <v>117</v>
      </c>
      <c r="DP688198">
        <v>118</v>
      </c>
      <c r="DQ688198">
        <v>119</v>
      </c>
      <c r="DR688198">
        <v>120</v>
      </c>
      <c r="DS688198">
        <v>121</v>
      </c>
      <c r="DT688198">
        <v>122</v>
      </c>
      <c r="DU688198">
        <v>123</v>
      </c>
      <c r="DV688198">
        <v>124</v>
      </c>
      <c r="DW688198">
        <v>125</v>
      </c>
      <c r="DX688198">
        <v>126</v>
      </c>
      <c r="DY688198">
        <v>127</v>
      </c>
      <c r="DZ688198">
        <v>128</v>
      </c>
      <c r="EA688198">
        <v>129</v>
      </c>
      <c r="EB688198">
        <v>130</v>
      </c>
      <c r="EC688198">
        <v>131</v>
      </c>
      <c r="ED688198">
        <v>132</v>
      </c>
      <c r="EE688198">
        <v>133</v>
      </c>
      <c r="EF688198">
        <v>134</v>
      </c>
      <c r="EG688198">
        <v>135</v>
      </c>
      <c r="EH688198">
        <v>136</v>
      </c>
      <c r="EI688198">
        <v>137</v>
      </c>
      <c r="EJ688198">
        <v>138</v>
      </c>
      <c r="EK688198">
        <v>139</v>
      </c>
      <c r="EL688198">
        <v>140</v>
      </c>
      <c r="EM688198">
        <v>141</v>
      </c>
      <c r="EN688198">
        <v>142</v>
      </c>
      <c r="EO688198">
        <v>143</v>
      </c>
      <c r="EP688198">
        <v>144</v>
      </c>
    </row>
    <row r="688199" spans="2:146">
      <c r="CE688199" t="s">
        <v>451</v>
      </c>
    </row>
    <row r="704514" spans="2:2">
      <c r="B704514">
        <v>200</v>
      </c>
    </row>
    <row r="704515" spans="2:2">
      <c r="B704515">
        <v>200</v>
      </c>
    </row>
    <row r="704516" spans="2:2">
      <c r="B704516">
        <v>800</v>
      </c>
    </row>
    <row r="704517" spans="2:2">
      <c r="B704517">
        <v>200</v>
      </c>
    </row>
    <row r="704518" spans="2:2">
      <c r="B704518">
        <v>1044</v>
      </c>
    </row>
    <row r="704519" spans="2:2">
      <c r="B704519">
        <v>998.40000000000009</v>
      </c>
    </row>
    <row r="704520" spans="2:2">
      <c r="B704520">
        <v>272</v>
      </c>
    </row>
    <row r="704521" spans="2:2">
      <c r="B704521">
        <v>200</v>
      </c>
    </row>
    <row r="704522" spans="2:2">
      <c r="B704522">
        <v>214</v>
      </c>
    </row>
    <row r="704523" spans="2:2">
      <c r="B704523">
        <v>200</v>
      </c>
    </row>
    <row r="704524" spans="2:2">
      <c r="B704524">
        <v>152</v>
      </c>
    </row>
    <row r="704525" spans="2:2">
      <c r="B704525">
        <v>200</v>
      </c>
    </row>
    <row r="704526" spans="2:2">
      <c r="B704526">
        <v>300</v>
      </c>
    </row>
    <row r="704527" spans="2:2">
      <c r="B704527">
        <v>104</v>
      </c>
    </row>
    <row r="704528" spans="2:2">
      <c r="B704528">
        <v>162</v>
      </c>
    </row>
    <row r="704529" spans="2:2">
      <c r="B704529">
        <v>200</v>
      </c>
    </row>
    <row r="704530" spans="2:2">
      <c r="B704530">
        <v>200</v>
      </c>
    </row>
    <row r="704531" spans="2:2">
      <c r="B704531">
        <v>200</v>
      </c>
    </row>
    <row r="704532" spans="2:2">
      <c r="B704532">
        <v>200</v>
      </c>
    </row>
    <row r="704533" spans="2:2">
      <c r="B704533">
        <v>200</v>
      </c>
    </row>
    <row r="704534" spans="2:2">
      <c r="B704534">
        <v>200</v>
      </c>
    </row>
    <row r="704535" spans="2:2">
      <c r="B704535">
        <v>200</v>
      </c>
    </row>
    <row r="704536" spans="2:2">
      <c r="B704536">
        <v>200</v>
      </c>
    </row>
    <row r="704537" spans="2:2">
      <c r="B704537">
        <v>800</v>
      </c>
    </row>
    <row r="704538" spans="2:2">
      <c r="B704538">
        <v>300</v>
      </c>
    </row>
    <row r="704539" spans="2:2">
      <c r="B704539">
        <v>778</v>
      </c>
    </row>
    <row r="704540" spans="2:2">
      <c r="B704540">
        <v>614</v>
      </c>
    </row>
    <row r="704541" spans="2:2">
      <c r="B704541">
        <v>444</v>
      </c>
    </row>
    <row r="704542" spans="2:2">
      <c r="B704542">
        <v>800</v>
      </c>
    </row>
    <row r="704543" spans="2:2">
      <c r="B704543">
        <v>200</v>
      </c>
    </row>
    <row r="704544" spans="2:2">
      <c r="B704544">
        <v>780</v>
      </c>
    </row>
    <row r="704545" spans="2:146">
      <c r="B704545">
        <v>174</v>
      </c>
    </row>
    <row r="704546" spans="2:146">
      <c r="B704546">
        <v>194</v>
      </c>
    </row>
    <row r="704547" spans="2:146">
      <c r="B704547">
        <v>782</v>
      </c>
    </row>
    <row r="704548" spans="2:146">
      <c r="B704548">
        <v>236</v>
      </c>
    </row>
    <row r="704549" spans="2:146">
      <c r="B704549">
        <v>144</v>
      </c>
    </row>
    <row r="704550" spans="2:146">
      <c r="B704550">
        <v>200</v>
      </c>
    </row>
    <row r="704551" spans="2:146">
      <c r="B704551">
        <v>240</v>
      </c>
    </row>
    <row r="704552" spans="2:146">
      <c r="B704552">
        <v>200</v>
      </c>
    </row>
    <row r="704553" spans="2:146">
      <c r="B704553">
        <v>612</v>
      </c>
    </row>
    <row r="704554" spans="2:146">
      <c r="B704554">
        <v>156</v>
      </c>
    </row>
    <row r="704555" spans="2:146">
      <c r="B704555">
        <v>116</v>
      </c>
    </row>
    <row r="704556" spans="2:146">
      <c r="B704556">
        <v>160</v>
      </c>
    </row>
    <row r="704557" spans="2:146">
      <c r="B704557">
        <v>80</v>
      </c>
      <c r="EL704557">
        <v>0.66</v>
      </c>
      <c r="EM704557">
        <v>0.66</v>
      </c>
      <c r="EN704557">
        <v>0.66</v>
      </c>
      <c r="EO704557">
        <v>0.66</v>
      </c>
      <c r="EP704557">
        <v>0.66</v>
      </c>
    </row>
    <row r="704558" spans="2:146">
      <c r="B704558">
        <v>1144</v>
      </c>
      <c r="BV704558">
        <v>5.0999999999999996</v>
      </c>
      <c r="BW704558">
        <v>5.0999999999999996</v>
      </c>
      <c r="DB704558">
        <v>10.210000000000001</v>
      </c>
      <c r="DC704558">
        <v>10.210000000000001</v>
      </c>
      <c r="DD704558">
        <v>10.210000000000001</v>
      </c>
      <c r="DE704558">
        <v>10.210000000000001</v>
      </c>
      <c r="DF704558">
        <v>10.210000000000001</v>
      </c>
      <c r="DG704558">
        <v>10.210000000000001</v>
      </c>
      <c r="DH704558">
        <v>10.210000000000001</v>
      </c>
    </row>
    <row r="704559" spans="2:146">
      <c r="B704559">
        <v>1240</v>
      </c>
      <c r="EE704559">
        <v>8.15</v>
      </c>
      <c r="EF704559">
        <v>8.15</v>
      </c>
      <c r="EG704559">
        <v>8.15</v>
      </c>
      <c r="EH704559">
        <v>8.15</v>
      </c>
      <c r="EI704559">
        <v>8.15</v>
      </c>
      <c r="EJ704559">
        <v>8.15</v>
      </c>
      <c r="EK704559">
        <v>8.15</v>
      </c>
    </row>
    <row r="704560" spans="2:146">
      <c r="B704560">
        <v>2083.2000000000003</v>
      </c>
      <c r="DI704560">
        <v>20.03</v>
      </c>
      <c r="DJ704560">
        <v>20.03</v>
      </c>
      <c r="DQ704560">
        <v>20.03</v>
      </c>
      <c r="DT704560">
        <v>20.03</v>
      </c>
      <c r="DW704560">
        <v>20.03</v>
      </c>
    </row>
    <row r="704561" spans="2:134">
      <c r="B704561">
        <v>357.20000000000005</v>
      </c>
      <c r="DI704561">
        <v>3.88</v>
      </c>
      <c r="DJ704561">
        <v>3.88</v>
      </c>
      <c r="DV704561">
        <v>3.88</v>
      </c>
      <c r="DW704561">
        <v>3.88</v>
      </c>
    </row>
    <row r="704562" spans="2:134">
      <c r="B704562">
        <v>391.20000000000005</v>
      </c>
      <c r="DI704562">
        <v>3.62</v>
      </c>
      <c r="DJ704562">
        <v>3.62</v>
      </c>
      <c r="DR704562">
        <v>3.62</v>
      </c>
      <c r="DU704562">
        <v>3.62</v>
      </c>
      <c r="DV704562">
        <v>3.62</v>
      </c>
    </row>
    <row r="704563" spans="2:134">
      <c r="B704563">
        <v>762.80000000000007</v>
      </c>
      <c r="DI704563">
        <v>6.15</v>
      </c>
      <c r="DJ704563">
        <v>6.15</v>
      </c>
      <c r="DQ704563">
        <v>6.15</v>
      </c>
      <c r="DR704563">
        <v>6.15</v>
      </c>
      <c r="DS704563">
        <v>6.15</v>
      </c>
      <c r="DT704563">
        <v>6.15</v>
      </c>
    </row>
    <row r="704564" spans="2:134">
      <c r="B704564">
        <v>1280</v>
      </c>
      <c r="DI704564">
        <v>10.66</v>
      </c>
      <c r="DJ704564">
        <v>10.66</v>
      </c>
      <c r="DK704564">
        <v>10.66</v>
      </c>
      <c r="DL704564">
        <v>10.66</v>
      </c>
      <c r="DM704564">
        <v>10.66</v>
      </c>
      <c r="DN704564">
        <v>10.66</v>
      </c>
    </row>
    <row r="704565" spans="2:134">
      <c r="B704565">
        <v>234</v>
      </c>
      <c r="CT704565">
        <v>2.5</v>
      </c>
      <c r="CU704565">
        <v>2.5</v>
      </c>
      <c r="CV704565">
        <v>2.5</v>
      </c>
    </row>
    <row r="704566" spans="2:134">
      <c r="B704566">
        <v>354</v>
      </c>
      <c r="CY704566">
        <v>3.98</v>
      </c>
      <c r="CZ704566">
        <v>3.98</v>
      </c>
      <c r="DA704566">
        <v>3.98</v>
      </c>
    </row>
    <row r="704567" spans="2:134">
      <c r="B704567">
        <v>392</v>
      </c>
      <c r="DI704567">
        <v>3.52</v>
      </c>
      <c r="DJ704567">
        <v>3.52</v>
      </c>
      <c r="DL704567">
        <v>3.52</v>
      </c>
      <c r="DO704567">
        <v>3.52</v>
      </c>
    </row>
    <row r="704568" spans="2:134">
      <c r="B704568">
        <v>304</v>
      </c>
      <c r="CE704568">
        <v>3.8</v>
      </c>
      <c r="CF704568">
        <v>3.8</v>
      </c>
    </row>
    <row r="704569" spans="2:134">
      <c r="B704569">
        <v>144</v>
      </c>
      <c r="DZ704569">
        <v>1.62</v>
      </c>
      <c r="EA704569">
        <v>1.62</v>
      </c>
      <c r="EB704569">
        <v>1.62</v>
      </c>
      <c r="EC704569">
        <v>0.81</v>
      </c>
      <c r="ED704569">
        <v>0.81</v>
      </c>
    </row>
    <row r="704570" spans="2:134">
      <c r="B704570">
        <v>602.40000000000009</v>
      </c>
      <c r="BY704570">
        <v>6.02</v>
      </c>
      <c r="BZ704570">
        <v>6.02</v>
      </c>
      <c r="CB704570">
        <v>3.01</v>
      </c>
      <c r="CC704570">
        <v>3.01</v>
      </c>
      <c r="CD704570">
        <v>3.01</v>
      </c>
      <c r="CI704570">
        <v>6.02</v>
      </c>
      <c r="CJ704570">
        <v>6.02</v>
      </c>
      <c r="CK704570">
        <v>6.02</v>
      </c>
    </row>
    <row r="704571" spans="2:134">
      <c r="B704571">
        <v>307.60000000000002</v>
      </c>
      <c r="BY704571">
        <v>3.34</v>
      </c>
      <c r="BZ704571">
        <v>3.34</v>
      </c>
      <c r="CG704571">
        <v>3.34</v>
      </c>
      <c r="CH704571">
        <v>3.34</v>
      </c>
    </row>
    <row r="704572" spans="2:134">
      <c r="B704572">
        <v>358</v>
      </c>
      <c r="BY704572">
        <v>2.37</v>
      </c>
      <c r="BZ704572">
        <v>2.37</v>
      </c>
      <c r="CA704572">
        <v>2.37</v>
      </c>
      <c r="DX704572">
        <v>4.74</v>
      </c>
      <c r="DY704572">
        <v>4.74</v>
      </c>
    </row>
    <row r="704573" spans="2:134">
      <c r="B704573">
        <v>286</v>
      </c>
      <c r="BT704573">
        <v>1.43</v>
      </c>
      <c r="BV704573">
        <v>1.43</v>
      </c>
      <c r="BW704573">
        <v>1.43</v>
      </c>
      <c r="BX704573">
        <v>1.43</v>
      </c>
      <c r="CO704573">
        <v>2.86</v>
      </c>
      <c r="CP704573">
        <v>2.86</v>
      </c>
      <c r="CQ704573">
        <v>2.86</v>
      </c>
      <c r="CR704573">
        <v>2.86</v>
      </c>
      <c r="CS704573">
        <v>2.86</v>
      </c>
    </row>
    <row r="704574" spans="2:134">
      <c r="B704574">
        <v>410</v>
      </c>
      <c r="BY704574">
        <v>2.88</v>
      </c>
      <c r="BZ704574">
        <v>2.88</v>
      </c>
      <c r="CA704574">
        <v>2.88</v>
      </c>
      <c r="CW704574">
        <v>5.76</v>
      </c>
      <c r="CX704574">
        <v>5.76</v>
      </c>
    </row>
    <row r="704575" spans="2:134">
      <c r="B704575">
        <v>346</v>
      </c>
      <c r="BR704575">
        <v>3.6</v>
      </c>
      <c r="BS704575">
        <v>3.6</v>
      </c>
      <c r="BT704575">
        <v>1.8</v>
      </c>
      <c r="CL704575">
        <v>3.6</v>
      </c>
      <c r="CM704575">
        <v>3.6</v>
      </c>
      <c r="CN704575">
        <v>3.6</v>
      </c>
    </row>
    <row r="704576" spans="2:134">
      <c r="B704576">
        <v>302</v>
      </c>
      <c r="BR704576">
        <v>3.28</v>
      </c>
      <c r="BS704576">
        <v>3.28</v>
      </c>
      <c r="BT704576">
        <v>1.64</v>
      </c>
      <c r="BU704576">
        <v>1.64</v>
      </c>
      <c r="CL704576">
        <v>3.28</v>
      </c>
      <c r="CM704576">
        <v>3.28</v>
      </c>
      <c r="CN704576">
        <v>3.28</v>
      </c>
    </row>
    <row r="704577" spans="2:146">
      <c r="B704577">
        <v>204</v>
      </c>
      <c r="BR704577">
        <v>2.12</v>
      </c>
      <c r="BS704577">
        <v>2.12</v>
      </c>
      <c r="BT704577">
        <v>1.06</v>
      </c>
      <c r="CL704577">
        <v>2.12</v>
      </c>
      <c r="CM704577">
        <v>2.12</v>
      </c>
      <c r="CN704577">
        <v>2.12</v>
      </c>
    </row>
    <row r="704579" spans="2:146">
      <c r="B704579">
        <v>26358.800000000003</v>
      </c>
      <c r="BQ704579">
        <v>0</v>
      </c>
      <c r="BR704579">
        <v>9</v>
      </c>
      <c r="BS704579">
        <v>9</v>
      </c>
      <c r="BT704579">
        <v>5.93</v>
      </c>
      <c r="BU704579">
        <v>1.64</v>
      </c>
      <c r="BV704579">
        <v>6.5299999999999994</v>
      </c>
      <c r="BW704579">
        <v>6.5299999999999994</v>
      </c>
      <c r="BX704579">
        <v>1.43</v>
      </c>
      <c r="BY704579">
        <v>14.61</v>
      </c>
      <c r="BZ704579">
        <v>14.61</v>
      </c>
      <c r="CA704579">
        <v>5.25</v>
      </c>
      <c r="CB704579">
        <v>3.01</v>
      </c>
      <c r="CC704579">
        <v>3.01</v>
      </c>
      <c r="CD704579">
        <v>3.01</v>
      </c>
      <c r="CE704579">
        <v>3.8</v>
      </c>
      <c r="CF704579">
        <v>3.8</v>
      </c>
      <c r="CG704579">
        <v>3.34</v>
      </c>
      <c r="CH704579">
        <v>3.34</v>
      </c>
      <c r="CI704579">
        <v>6.02</v>
      </c>
      <c r="CJ704579">
        <v>6.02</v>
      </c>
      <c r="CK704579">
        <v>6.02</v>
      </c>
      <c r="CL704579">
        <v>9</v>
      </c>
      <c r="CM704579">
        <v>9</v>
      </c>
      <c r="CN704579">
        <v>9</v>
      </c>
      <c r="CO704579">
        <v>2.86</v>
      </c>
      <c r="CP704579">
        <v>2.86</v>
      </c>
      <c r="CQ704579">
        <v>2.86</v>
      </c>
      <c r="CR704579">
        <v>2.86</v>
      </c>
      <c r="CS704579">
        <v>2.86</v>
      </c>
      <c r="CT704579">
        <v>2.5</v>
      </c>
      <c r="CU704579">
        <v>2.5</v>
      </c>
      <c r="CV704579">
        <v>2.5</v>
      </c>
      <c r="CW704579">
        <v>5.76</v>
      </c>
      <c r="CX704579">
        <v>5.76</v>
      </c>
      <c r="CY704579">
        <v>3.98</v>
      </c>
      <c r="CZ704579">
        <v>3.98</v>
      </c>
      <c r="DA704579">
        <v>3.98</v>
      </c>
      <c r="DB704579">
        <v>10.210000000000001</v>
      </c>
      <c r="DC704579">
        <v>10.210000000000001</v>
      </c>
      <c r="DD704579">
        <v>10.210000000000001</v>
      </c>
      <c r="DE704579">
        <v>10.210000000000001</v>
      </c>
      <c r="DF704579">
        <v>10.210000000000001</v>
      </c>
      <c r="DG704579">
        <v>10.210000000000001</v>
      </c>
      <c r="DH704579">
        <v>10.210000000000001</v>
      </c>
      <c r="DI704579">
        <v>47.860000000000007</v>
      </c>
      <c r="DJ704579">
        <v>47.860000000000007</v>
      </c>
      <c r="DK704579">
        <v>10.66</v>
      </c>
      <c r="DL704579">
        <v>14.18</v>
      </c>
      <c r="DM704579">
        <v>10.66</v>
      </c>
      <c r="DN704579">
        <v>10.66</v>
      </c>
      <c r="DO704579">
        <v>3.52</v>
      </c>
      <c r="DP704579">
        <v>0</v>
      </c>
      <c r="DQ704579">
        <v>26.18</v>
      </c>
      <c r="DR704579">
        <v>9.77</v>
      </c>
      <c r="DS704579">
        <v>6.15</v>
      </c>
      <c r="DT704579">
        <v>26.18</v>
      </c>
      <c r="DU704579">
        <v>3.62</v>
      </c>
      <c r="DV704579">
        <v>7.5</v>
      </c>
      <c r="DW704579">
        <v>23.91</v>
      </c>
      <c r="DX704579">
        <v>4.74</v>
      </c>
      <c r="DY704579">
        <v>4.74</v>
      </c>
      <c r="DZ704579">
        <v>1.62</v>
      </c>
      <c r="EA704579">
        <v>1.62</v>
      </c>
      <c r="EB704579">
        <v>1.62</v>
      </c>
      <c r="EC704579">
        <v>0.81</v>
      </c>
      <c r="ED704579">
        <v>0.81</v>
      </c>
      <c r="EE704579">
        <v>8.15</v>
      </c>
      <c r="EF704579">
        <v>8.15</v>
      </c>
      <c r="EG704579">
        <v>8.15</v>
      </c>
      <c r="EH704579">
        <v>8.15</v>
      </c>
      <c r="EI704579">
        <v>8.15</v>
      </c>
      <c r="EJ704579">
        <v>8.15</v>
      </c>
      <c r="EK704579">
        <v>8.15</v>
      </c>
      <c r="EL704579">
        <v>0.66</v>
      </c>
      <c r="EM704579">
        <v>0.66</v>
      </c>
      <c r="EN704579">
        <v>0.66</v>
      </c>
      <c r="EO704579">
        <v>0.66</v>
      </c>
      <c r="EP704579">
        <v>0.66</v>
      </c>
    </row>
    <row r="704580" spans="2:146">
      <c r="B704580" t="s">
        <v>265</v>
      </c>
      <c r="BQ704580" t="s">
        <v>345</v>
      </c>
      <c r="BR704580" t="s">
        <v>131</v>
      </c>
      <c r="BS704580" t="s">
        <v>131</v>
      </c>
      <c r="BT704580" t="s">
        <v>357</v>
      </c>
      <c r="BU704580" t="s">
        <v>131</v>
      </c>
      <c r="BV704580" t="s">
        <v>360</v>
      </c>
      <c r="BW704580" t="s">
        <v>360</v>
      </c>
      <c r="BX704580" t="s">
        <v>360</v>
      </c>
      <c r="BY704580" t="s">
        <v>364</v>
      </c>
      <c r="BZ704580" t="s">
        <v>364</v>
      </c>
      <c r="CA704580" t="s">
        <v>364</v>
      </c>
      <c r="CB704580" t="s">
        <v>368</v>
      </c>
      <c r="CC704580" t="s">
        <v>368</v>
      </c>
      <c r="CD704580" t="s">
        <v>368</v>
      </c>
      <c r="CE704580" t="s">
        <v>352</v>
      </c>
      <c r="CF704580" t="s">
        <v>352</v>
      </c>
      <c r="CG704580" t="s">
        <v>372</v>
      </c>
      <c r="CH704580" t="s">
        <v>372</v>
      </c>
      <c r="CI704580" t="s">
        <v>375</v>
      </c>
      <c r="CJ704580" t="s">
        <v>375</v>
      </c>
      <c r="CK704580" t="s">
        <v>375</v>
      </c>
      <c r="CL704580" t="s">
        <v>379</v>
      </c>
      <c r="CM704580" t="s">
        <v>379</v>
      </c>
      <c r="CN704580" t="s">
        <v>379</v>
      </c>
      <c r="CO704580" t="s">
        <v>383</v>
      </c>
      <c r="CP704580" t="s">
        <v>383</v>
      </c>
      <c r="CQ704580" t="s">
        <v>383</v>
      </c>
      <c r="CR704580" t="s">
        <v>383</v>
      </c>
      <c r="CS704580" t="s">
        <v>383</v>
      </c>
      <c r="CT704580" t="s">
        <v>389</v>
      </c>
      <c r="CU704580" t="s">
        <v>389</v>
      </c>
      <c r="CV704580" t="s">
        <v>389</v>
      </c>
      <c r="CW704580" t="s">
        <v>393</v>
      </c>
      <c r="CX704580" t="s">
        <v>393</v>
      </c>
      <c r="CY704580" t="s">
        <v>396</v>
      </c>
      <c r="CZ704580" t="s">
        <v>396</v>
      </c>
      <c r="DA704580" t="s">
        <v>396</v>
      </c>
      <c r="DB704580" t="s">
        <v>400</v>
      </c>
      <c r="DC704580" t="s">
        <v>400</v>
      </c>
      <c r="DD704580" t="s">
        <v>400</v>
      </c>
      <c r="DE704580" t="s">
        <v>400</v>
      </c>
      <c r="DF704580" t="s">
        <v>400</v>
      </c>
      <c r="DG704580" t="s">
        <v>400</v>
      </c>
      <c r="DH704580" t="s">
        <v>400</v>
      </c>
      <c r="DI704580" t="s">
        <v>121</v>
      </c>
      <c r="DJ704580" t="s">
        <v>121</v>
      </c>
      <c r="DK704580" t="s">
        <v>121</v>
      </c>
      <c r="DL704580" t="s">
        <v>121</v>
      </c>
      <c r="DM704580" t="s">
        <v>121</v>
      </c>
      <c r="DN704580" t="s">
        <v>121</v>
      </c>
      <c r="DO704580" t="s">
        <v>121</v>
      </c>
      <c r="DP704580" t="s">
        <v>121</v>
      </c>
      <c r="DQ704580" t="s">
        <v>121</v>
      </c>
      <c r="DR704580" t="s">
        <v>121</v>
      </c>
      <c r="DS704580" t="s">
        <v>121</v>
      </c>
      <c r="DT704580" t="s">
        <v>121</v>
      </c>
      <c r="DU704580" t="s">
        <v>121</v>
      </c>
      <c r="DV704580" t="s">
        <v>121</v>
      </c>
      <c r="DW704580" t="s">
        <v>121</v>
      </c>
      <c r="DX704580" t="s">
        <v>423</v>
      </c>
      <c r="DY704580" t="s">
        <v>423</v>
      </c>
      <c r="DZ704580" t="s">
        <v>426</v>
      </c>
      <c r="EA704580" t="s">
        <v>426</v>
      </c>
      <c r="EB704580" t="s">
        <v>426</v>
      </c>
      <c r="EC704580" t="s">
        <v>426</v>
      </c>
      <c r="ED704580" t="s">
        <v>426</v>
      </c>
      <c r="EE704580" t="s">
        <v>432</v>
      </c>
      <c r="EF704580" t="s">
        <v>432</v>
      </c>
      <c r="EG704580" t="s">
        <v>432</v>
      </c>
      <c r="EH704580" t="s">
        <v>432</v>
      </c>
      <c r="EI704580" t="s">
        <v>432</v>
      </c>
      <c r="EJ704580" t="s">
        <v>432</v>
      </c>
      <c r="EK704580" t="s">
        <v>432</v>
      </c>
      <c r="EL704580" t="s">
        <v>440</v>
      </c>
      <c r="EM704580" t="s">
        <v>440</v>
      </c>
      <c r="EN704580" t="s">
        <v>440</v>
      </c>
      <c r="EO704580" t="s">
        <v>440</v>
      </c>
      <c r="EP704580" t="s">
        <v>440</v>
      </c>
    </row>
    <row r="704581" spans="2:146">
      <c r="BQ704581" t="s">
        <v>351</v>
      </c>
      <c r="BR704581" t="s">
        <v>355</v>
      </c>
      <c r="BS704581" t="s">
        <v>356</v>
      </c>
      <c r="BT704581" t="s">
        <v>358</v>
      </c>
      <c r="BU704581" t="s">
        <v>359</v>
      </c>
      <c r="BV704581" t="s">
        <v>361</v>
      </c>
      <c r="BW704581" t="s">
        <v>362</v>
      </c>
      <c r="BX704581" t="s">
        <v>363</v>
      </c>
      <c r="BY704581" t="s">
        <v>365</v>
      </c>
      <c r="BZ704581" t="s">
        <v>366</v>
      </c>
      <c r="CA704581" t="s">
        <v>367</v>
      </c>
      <c r="CB704581" t="s">
        <v>369</v>
      </c>
      <c r="CC704581" t="s">
        <v>370</v>
      </c>
      <c r="CD704581" t="s">
        <v>371</v>
      </c>
      <c r="CE704581" t="s">
        <v>353</v>
      </c>
      <c r="CF704581" t="s">
        <v>354</v>
      </c>
      <c r="CG704581" t="s">
        <v>373</v>
      </c>
      <c r="CH704581" t="s">
        <v>374</v>
      </c>
      <c r="CI704581" t="s">
        <v>376</v>
      </c>
      <c r="CJ704581" t="s">
        <v>377</v>
      </c>
      <c r="CK704581" t="s">
        <v>378</v>
      </c>
      <c r="CL704581" t="s">
        <v>380</v>
      </c>
      <c r="CM704581" t="s">
        <v>381</v>
      </c>
      <c r="CN704581" t="s">
        <v>382</v>
      </c>
      <c r="CO704581" t="s">
        <v>384</v>
      </c>
      <c r="CP704581" t="s">
        <v>385</v>
      </c>
      <c r="CQ704581" t="s">
        <v>386</v>
      </c>
      <c r="CR704581" t="s">
        <v>387</v>
      </c>
      <c r="CS704581" t="s">
        <v>388</v>
      </c>
      <c r="CT704581" t="s">
        <v>390</v>
      </c>
      <c r="CU704581" t="s">
        <v>391</v>
      </c>
      <c r="CV704581" t="s">
        <v>392</v>
      </c>
      <c r="CW704581" t="s">
        <v>394</v>
      </c>
      <c r="CX704581" t="s">
        <v>395</v>
      </c>
      <c r="CY704581" t="s">
        <v>397</v>
      </c>
      <c r="CZ704581" t="s">
        <v>398</v>
      </c>
      <c r="DA704581" t="s">
        <v>399</v>
      </c>
      <c r="DB704581" t="s">
        <v>401</v>
      </c>
      <c r="DC704581" t="s">
        <v>402</v>
      </c>
      <c r="DD704581" t="s">
        <v>403</v>
      </c>
      <c r="DE704581" t="s">
        <v>404</v>
      </c>
      <c r="DF704581" t="s">
        <v>405</v>
      </c>
      <c r="DG704581" t="s">
        <v>406</v>
      </c>
      <c r="DH704581" t="s">
        <v>407</v>
      </c>
      <c r="DI704581" t="s">
        <v>408</v>
      </c>
      <c r="DJ704581" t="s">
        <v>409</v>
      </c>
      <c r="DK704581" t="s">
        <v>410</v>
      </c>
      <c r="DL704581" t="s">
        <v>411</v>
      </c>
      <c r="DM704581" t="s">
        <v>412</v>
      </c>
      <c r="DN704581" t="s">
        <v>413</v>
      </c>
      <c r="DO704581" t="s">
        <v>414</v>
      </c>
      <c r="DP704581" t="s">
        <v>415</v>
      </c>
      <c r="DQ704581" t="s">
        <v>416</v>
      </c>
      <c r="DR704581" t="s">
        <v>417</v>
      </c>
      <c r="DS704581" t="s">
        <v>418</v>
      </c>
      <c r="DT704581" t="s">
        <v>419</v>
      </c>
      <c r="DU704581" t="s">
        <v>420</v>
      </c>
      <c r="DV704581" t="s">
        <v>421</v>
      </c>
      <c r="DW704581" t="s">
        <v>422</v>
      </c>
      <c r="DX704581" t="s">
        <v>424</v>
      </c>
      <c r="DY704581" t="s">
        <v>425</v>
      </c>
      <c r="DZ704581" t="s">
        <v>427</v>
      </c>
      <c r="EA704581" t="s">
        <v>428</v>
      </c>
      <c r="EB704581" t="s">
        <v>429</v>
      </c>
      <c r="EC704581" t="s">
        <v>430</v>
      </c>
      <c r="ED704581" t="s">
        <v>431</v>
      </c>
      <c r="EE704581" t="s">
        <v>433</v>
      </c>
      <c r="EF704581" t="s">
        <v>434</v>
      </c>
      <c r="EG704581" t="s">
        <v>435</v>
      </c>
      <c r="EH704581" t="s">
        <v>436</v>
      </c>
      <c r="EI704581" t="s">
        <v>437</v>
      </c>
      <c r="EJ704581" t="s">
        <v>438</v>
      </c>
      <c r="EK704581" t="s">
        <v>439</v>
      </c>
      <c r="EL704581" t="s">
        <v>441</v>
      </c>
      <c r="EM704581" t="s">
        <v>442</v>
      </c>
      <c r="EN704581" t="s">
        <v>443</v>
      </c>
      <c r="EO704581" t="s">
        <v>444</v>
      </c>
      <c r="EP704581" t="s">
        <v>445</v>
      </c>
    </row>
    <row r="704582" spans="2:146">
      <c r="BQ704582">
        <v>67</v>
      </c>
      <c r="BR704582">
        <v>68</v>
      </c>
      <c r="BS704582">
        <v>69</v>
      </c>
      <c r="BT704582">
        <v>70</v>
      </c>
      <c r="BU704582">
        <v>71</v>
      </c>
      <c r="BV704582">
        <v>72</v>
      </c>
      <c r="BW704582">
        <v>73</v>
      </c>
      <c r="BX704582">
        <v>74</v>
      </c>
      <c r="BY704582">
        <v>75</v>
      </c>
      <c r="BZ704582">
        <v>76</v>
      </c>
      <c r="CA704582">
        <v>77</v>
      </c>
      <c r="CB704582">
        <v>78</v>
      </c>
      <c r="CC704582">
        <v>79</v>
      </c>
      <c r="CD704582">
        <v>80</v>
      </c>
      <c r="CE704582">
        <v>81</v>
      </c>
      <c r="CF704582">
        <v>82</v>
      </c>
      <c r="CG704582">
        <v>83</v>
      </c>
      <c r="CH704582">
        <v>84</v>
      </c>
      <c r="CI704582">
        <v>85</v>
      </c>
      <c r="CJ704582">
        <v>86</v>
      </c>
      <c r="CK704582">
        <v>87</v>
      </c>
      <c r="CL704582">
        <v>88</v>
      </c>
      <c r="CM704582">
        <v>89</v>
      </c>
      <c r="CN704582">
        <v>90</v>
      </c>
      <c r="CO704582">
        <v>91</v>
      </c>
      <c r="CP704582">
        <v>92</v>
      </c>
      <c r="CQ704582">
        <v>93</v>
      </c>
      <c r="CR704582">
        <v>94</v>
      </c>
      <c r="CS704582">
        <v>95</v>
      </c>
      <c r="CT704582">
        <v>96</v>
      </c>
      <c r="CU704582">
        <v>97</v>
      </c>
      <c r="CV704582">
        <v>98</v>
      </c>
      <c r="CW704582">
        <v>99</v>
      </c>
      <c r="CX704582">
        <v>100</v>
      </c>
      <c r="CY704582">
        <v>101</v>
      </c>
      <c r="CZ704582">
        <v>102</v>
      </c>
      <c r="DA704582">
        <v>103</v>
      </c>
      <c r="DB704582">
        <v>104</v>
      </c>
      <c r="DC704582">
        <v>105</v>
      </c>
      <c r="DD704582">
        <v>106</v>
      </c>
      <c r="DE704582">
        <v>107</v>
      </c>
      <c r="DF704582">
        <v>108</v>
      </c>
      <c r="DG704582">
        <v>109</v>
      </c>
      <c r="DH704582">
        <v>110</v>
      </c>
      <c r="DI704582">
        <v>111</v>
      </c>
      <c r="DJ704582">
        <v>112</v>
      </c>
      <c r="DK704582">
        <v>113</v>
      </c>
      <c r="DL704582">
        <v>114</v>
      </c>
      <c r="DM704582">
        <v>115</v>
      </c>
      <c r="DN704582">
        <v>116</v>
      </c>
      <c r="DO704582">
        <v>117</v>
      </c>
      <c r="DP704582">
        <v>118</v>
      </c>
      <c r="DQ704582">
        <v>119</v>
      </c>
      <c r="DR704582">
        <v>120</v>
      </c>
      <c r="DS704582">
        <v>121</v>
      </c>
      <c r="DT704582">
        <v>122</v>
      </c>
      <c r="DU704582">
        <v>123</v>
      </c>
      <c r="DV704582">
        <v>124</v>
      </c>
      <c r="DW704582">
        <v>125</v>
      </c>
      <c r="DX704582">
        <v>126</v>
      </c>
      <c r="DY704582">
        <v>127</v>
      </c>
      <c r="DZ704582">
        <v>128</v>
      </c>
      <c r="EA704582">
        <v>129</v>
      </c>
      <c r="EB704582">
        <v>130</v>
      </c>
      <c r="EC704582">
        <v>131</v>
      </c>
      <c r="ED704582">
        <v>132</v>
      </c>
      <c r="EE704582">
        <v>133</v>
      </c>
      <c r="EF704582">
        <v>134</v>
      </c>
      <c r="EG704582">
        <v>135</v>
      </c>
      <c r="EH704582">
        <v>136</v>
      </c>
      <c r="EI704582">
        <v>137</v>
      </c>
      <c r="EJ704582">
        <v>138</v>
      </c>
      <c r="EK704582">
        <v>139</v>
      </c>
      <c r="EL704582">
        <v>140</v>
      </c>
      <c r="EM704582">
        <v>141</v>
      </c>
      <c r="EN704582">
        <v>142</v>
      </c>
      <c r="EO704582">
        <v>143</v>
      </c>
      <c r="EP704582">
        <v>144</v>
      </c>
    </row>
    <row r="704583" spans="2:146">
      <c r="CE704583" t="s">
        <v>451</v>
      </c>
    </row>
    <row r="720898" spans="2:2">
      <c r="B720898">
        <v>200</v>
      </c>
    </row>
    <row r="720899" spans="2:2">
      <c r="B720899">
        <v>200</v>
      </c>
    </row>
    <row r="720900" spans="2:2">
      <c r="B720900">
        <v>800</v>
      </c>
    </row>
    <row r="720901" spans="2:2">
      <c r="B720901">
        <v>200</v>
      </c>
    </row>
    <row r="720902" spans="2:2">
      <c r="B720902">
        <v>1044</v>
      </c>
    </row>
    <row r="720903" spans="2:2">
      <c r="B720903">
        <v>998.40000000000009</v>
      </c>
    </row>
    <row r="720904" spans="2:2">
      <c r="B720904">
        <v>272</v>
      </c>
    </row>
    <row r="720905" spans="2:2">
      <c r="B720905">
        <v>200</v>
      </c>
    </row>
    <row r="720906" spans="2:2">
      <c r="B720906">
        <v>214</v>
      </c>
    </row>
    <row r="720907" spans="2:2">
      <c r="B720907">
        <v>200</v>
      </c>
    </row>
    <row r="720908" spans="2:2">
      <c r="B720908">
        <v>152</v>
      </c>
    </row>
    <row r="720909" spans="2:2">
      <c r="B720909">
        <v>200</v>
      </c>
    </row>
    <row r="720910" spans="2:2">
      <c r="B720910">
        <v>300</v>
      </c>
    </row>
    <row r="720911" spans="2:2">
      <c r="B720911">
        <v>104</v>
      </c>
    </row>
    <row r="720912" spans="2:2">
      <c r="B720912">
        <v>162</v>
      </c>
    </row>
    <row r="720913" spans="2:2">
      <c r="B720913">
        <v>200</v>
      </c>
    </row>
    <row r="720914" spans="2:2">
      <c r="B720914">
        <v>200</v>
      </c>
    </row>
    <row r="720915" spans="2:2">
      <c r="B720915">
        <v>200</v>
      </c>
    </row>
    <row r="720916" spans="2:2">
      <c r="B720916">
        <v>200</v>
      </c>
    </row>
    <row r="720917" spans="2:2">
      <c r="B720917">
        <v>200</v>
      </c>
    </row>
    <row r="720918" spans="2:2">
      <c r="B720918">
        <v>200</v>
      </c>
    </row>
    <row r="720919" spans="2:2">
      <c r="B720919">
        <v>200</v>
      </c>
    </row>
    <row r="720920" spans="2:2">
      <c r="B720920">
        <v>200</v>
      </c>
    </row>
    <row r="720921" spans="2:2">
      <c r="B720921">
        <v>800</v>
      </c>
    </row>
    <row r="720922" spans="2:2">
      <c r="B720922">
        <v>300</v>
      </c>
    </row>
    <row r="720923" spans="2:2">
      <c r="B720923">
        <v>778</v>
      </c>
    </row>
    <row r="720924" spans="2:2">
      <c r="B720924">
        <v>614</v>
      </c>
    </row>
    <row r="720925" spans="2:2">
      <c r="B720925">
        <v>444</v>
      </c>
    </row>
    <row r="720926" spans="2:2">
      <c r="B720926">
        <v>800</v>
      </c>
    </row>
    <row r="720927" spans="2:2">
      <c r="B720927">
        <v>200</v>
      </c>
    </row>
    <row r="720928" spans="2:2">
      <c r="B720928">
        <v>780</v>
      </c>
    </row>
    <row r="720929" spans="2:146">
      <c r="B720929">
        <v>174</v>
      </c>
    </row>
    <row r="720930" spans="2:146">
      <c r="B720930">
        <v>194</v>
      </c>
    </row>
    <row r="720931" spans="2:146">
      <c r="B720931">
        <v>782</v>
      </c>
    </row>
    <row r="720932" spans="2:146">
      <c r="B720932">
        <v>236</v>
      </c>
    </row>
    <row r="720933" spans="2:146">
      <c r="B720933">
        <v>144</v>
      </c>
    </row>
    <row r="720934" spans="2:146">
      <c r="B720934">
        <v>200</v>
      </c>
    </row>
    <row r="720935" spans="2:146">
      <c r="B720935">
        <v>240</v>
      </c>
    </row>
    <row r="720936" spans="2:146">
      <c r="B720936">
        <v>200</v>
      </c>
    </row>
    <row r="720937" spans="2:146">
      <c r="B720937">
        <v>612</v>
      </c>
    </row>
    <row r="720938" spans="2:146">
      <c r="B720938">
        <v>156</v>
      </c>
    </row>
    <row r="720939" spans="2:146">
      <c r="B720939">
        <v>116</v>
      </c>
    </row>
    <row r="720940" spans="2:146">
      <c r="B720940">
        <v>160</v>
      </c>
    </row>
    <row r="720941" spans="2:146">
      <c r="B720941">
        <v>80</v>
      </c>
      <c r="EL720941">
        <v>0.66</v>
      </c>
      <c r="EM720941">
        <v>0.66</v>
      </c>
      <c r="EN720941">
        <v>0.66</v>
      </c>
      <c r="EO720941">
        <v>0.66</v>
      </c>
      <c r="EP720941">
        <v>0.66</v>
      </c>
    </row>
    <row r="720942" spans="2:146">
      <c r="B720942">
        <v>1144</v>
      </c>
      <c r="BV720942">
        <v>5.0999999999999996</v>
      </c>
      <c r="BW720942">
        <v>5.0999999999999996</v>
      </c>
      <c r="DB720942">
        <v>10.210000000000001</v>
      </c>
      <c r="DC720942">
        <v>10.210000000000001</v>
      </c>
      <c r="DD720942">
        <v>10.210000000000001</v>
      </c>
      <c r="DE720942">
        <v>10.210000000000001</v>
      </c>
      <c r="DF720942">
        <v>10.210000000000001</v>
      </c>
      <c r="DG720942">
        <v>10.210000000000001</v>
      </c>
      <c r="DH720942">
        <v>10.210000000000001</v>
      </c>
    </row>
    <row r="720943" spans="2:146">
      <c r="B720943">
        <v>1240</v>
      </c>
      <c r="EE720943">
        <v>8.15</v>
      </c>
      <c r="EF720943">
        <v>8.15</v>
      </c>
      <c r="EG720943">
        <v>8.15</v>
      </c>
      <c r="EH720943">
        <v>8.15</v>
      </c>
      <c r="EI720943">
        <v>8.15</v>
      </c>
      <c r="EJ720943">
        <v>8.15</v>
      </c>
      <c r="EK720943">
        <v>8.15</v>
      </c>
    </row>
    <row r="720944" spans="2:146">
      <c r="B720944">
        <v>2083.2000000000003</v>
      </c>
      <c r="DI720944">
        <v>20.03</v>
      </c>
      <c r="DJ720944">
        <v>20.03</v>
      </c>
      <c r="DQ720944">
        <v>20.03</v>
      </c>
      <c r="DT720944">
        <v>20.03</v>
      </c>
      <c r="DW720944">
        <v>20.03</v>
      </c>
    </row>
    <row r="720945" spans="2:134">
      <c r="B720945">
        <v>357.20000000000005</v>
      </c>
      <c r="DI720945">
        <v>3.88</v>
      </c>
      <c r="DJ720945">
        <v>3.88</v>
      </c>
      <c r="DV720945">
        <v>3.88</v>
      </c>
      <c r="DW720945">
        <v>3.88</v>
      </c>
    </row>
    <row r="720946" spans="2:134">
      <c r="B720946">
        <v>391.20000000000005</v>
      </c>
      <c r="DI720946">
        <v>3.62</v>
      </c>
      <c r="DJ720946">
        <v>3.62</v>
      </c>
      <c r="DR720946">
        <v>3.62</v>
      </c>
      <c r="DU720946">
        <v>3.62</v>
      </c>
      <c r="DV720946">
        <v>3.62</v>
      </c>
    </row>
    <row r="720947" spans="2:134">
      <c r="B720947">
        <v>762.80000000000007</v>
      </c>
      <c r="DI720947">
        <v>6.15</v>
      </c>
      <c r="DJ720947">
        <v>6.15</v>
      </c>
      <c r="DQ720947">
        <v>6.15</v>
      </c>
      <c r="DR720947">
        <v>6.15</v>
      </c>
      <c r="DS720947">
        <v>6.15</v>
      </c>
      <c r="DT720947">
        <v>6.15</v>
      </c>
    </row>
    <row r="720948" spans="2:134">
      <c r="B720948">
        <v>1280</v>
      </c>
      <c r="DI720948">
        <v>10.66</v>
      </c>
      <c r="DJ720948">
        <v>10.66</v>
      </c>
      <c r="DK720948">
        <v>10.66</v>
      </c>
      <c r="DL720948">
        <v>10.66</v>
      </c>
      <c r="DM720948">
        <v>10.66</v>
      </c>
      <c r="DN720948">
        <v>10.66</v>
      </c>
    </row>
    <row r="720949" spans="2:134">
      <c r="B720949">
        <v>234</v>
      </c>
      <c r="CT720949">
        <v>2.5</v>
      </c>
      <c r="CU720949">
        <v>2.5</v>
      </c>
      <c r="CV720949">
        <v>2.5</v>
      </c>
    </row>
    <row r="720950" spans="2:134">
      <c r="B720950">
        <v>354</v>
      </c>
      <c r="CY720950">
        <v>3.98</v>
      </c>
      <c r="CZ720950">
        <v>3.98</v>
      </c>
      <c r="DA720950">
        <v>3.98</v>
      </c>
    </row>
    <row r="720951" spans="2:134">
      <c r="B720951">
        <v>392</v>
      </c>
      <c r="DI720951">
        <v>3.52</v>
      </c>
      <c r="DJ720951">
        <v>3.52</v>
      </c>
      <c r="DL720951">
        <v>3.52</v>
      </c>
      <c r="DO720951">
        <v>3.52</v>
      </c>
    </row>
    <row r="720952" spans="2:134">
      <c r="B720952">
        <v>304</v>
      </c>
      <c r="CE720952">
        <v>3.8</v>
      </c>
      <c r="CF720952">
        <v>3.8</v>
      </c>
    </row>
    <row r="720953" spans="2:134">
      <c r="B720953">
        <v>144</v>
      </c>
      <c r="DZ720953">
        <v>1.62</v>
      </c>
      <c r="EA720953">
        <v>1.62</v>
      </c>
      <c r="EB720953">
        <v>1.62</v>
      </c>
      <c r="EC720953">
        <v>0.81</v>
      </c>
      <c r="ED720953">
        <v>0.81</v>
      </c>
    </row>
    <row r="720954" spans="2:134">
      <c r="B720954">
        <v>602.40000000000009</v>
      </c>
      <c r="BY720954">
        <v>6.02</v>
      </c>
      <c r="BZ720954">
        <v>6.02</v>
      </c>
      <c r="CB720954">
        <v>3.01</v>
      </c>
      <c r="CC720954">
        <v>3.01</v>
      </c>
      <c r="CD720954">
        <v>3.01</v>
      </c>
      <c r="CI720954">
        <v>6.02</v>
      </c>
      <c r="CJ720954">
        <v>6.02</v>
      </c>
      <c r="CK720954">
        <v>6.02</v>
      </c>
    </row>
    <row r="720955" spans="2:134">
      <c r="B720955">
        <v>307.60000000000002</v>
      </c>
      <c r="BY720955">
        <v>3.34</v>
      </c>
      <c r="BZ720955">
        <v>3.34</v>
      </c>
      <c r="CG720955">
        <v>3.34</v>
      </c>
      <c r="CH720955">
        <v>3.34</v>
      </c>
    </row>
    <row r="720956" spans="2:134">
      <c r="B720956">
        <v>358</v>
      </c>
      <c r="BY720956">
        <v>2.37</v>
      </c>
      <c r="BZ720956">
        <v>2.37</v>
      </c>
      <c r="CA720956">
        <v>2.37</v>
      </c>
      <c r="DX720956">
        <v>4.74</v>
      </c>
      <c r="DY720956">
        <v>4.74</v>
      </c>
    </row>
    <row r="720957" spans="2:134">
      <c r="B720957">
        <v>286</v>
      </c>
      <c r="BT720957">
        <v>1.43</v>
      </c>
      <c r="BV720957">
        <v>1.43</v>
      </c>
      <c r="BW720957">
        <v>1.43</v>
      </c>
      <c r="BX720957">
        <v>1.43</v>
      </c>
      <c r="CO720957">
        <v>2.86</v>
      </c>
      <c r="CP720957">
        <v>2.86</v>
      </c>
      <c r="CQ720957">
        <v>2.86</v>
      </c>
      <c r="CR720957">
        <v>2.86</v>
      </c>
      <c r="CS720957">
        <v>2.86</v>
      </c>
    </row>
    <row r="720958" spans="2:134">
      <c r="B720958">
        <v>410</v>
      </c>
      <c r="BY720958">
        <v>2.88</v>
      </c>
      <c r="BZ720958">
        <v>2.88</v>
      </c>
      <c r="CA720958">
        <v>2.88</v>
      </c>
      <c r="CW720958">
        <v>5.76</v>
      </c>
      <c r="CX720958">
        <v>5.76</v>
      </c>
    </row>
    <row r="720959" spans="2:134">
      <c r="B720959">
        <v>346</v>
      </c>
      <c r="BR720959">
        <v>3.6</v>
      </c>
      <c r="BS720959">
        <v>3.6</v>
      </c>
      <c r="BT720959">
        <v>1.8</v>
      </c>
      <c r="CL720959">
        <v>3.6</v>
      </c>
      <c r="CM720959">
        <v>3.6</v>
      </c>
      <c r="CN720959">
        <v>3.6</v>
      </c>
    </row>
    <row r="720960" spans="2:134">
      <c r="B720960">
        <v>302</v>
      </c>
      <c r="BR720960">
        <v>3.28</v>
      </c>
      <c r="BS720960">
        <v>3.28</v>
      </c>
      <c r="BT720960">
        <v>1.64</v>
      </c>
      <c r="BU720960">
        <v>1.64</v>
      </c>
      <c r="CL720960">
        <v>3.28</v>
      </c>
      <c r="CM720960">
        <v>3.28</v>
      </c>
      <c r="CN720960">
        <v>3.28</v>
      </c>
    </row>
    <row r="720961" spans="2:146">
      <c r="B720961">
        <v>204</v>
      </c>
      <c r="BR720961">
        <v>2.12</v>
      </c>
      <c r="BS720961">
        <v>2.12</v>
      </c>
      <c r="BT720961">
        <v>1.06</v>
      </c>
      <c r="CL720961">
        <v>2.12</v>
      </c>
      <c r="CM720961">
        <v>2.12</v>
      </c>
      <c r="CN720961">
        <v>2.12</v>
      </c>
    </row>
    <row r="720963" spans="2:146">
      <c r="B720963">
        <v>26358.800000000003</v>
      </c>
      <c r="BQ720963">
        <v>0</v>
      </c>
      <c r="BR720963">
        <v>9</v>
      </c>
      <c r="BS720963">
        <v>9</v>
      </c>
      <c r="BT720963">
        <v>5.93</v>
      </c>
      <c r="BU720963">
        <v>1.64</v>
      </c>
      <c r="BV720963">
        <v>6.5299999999999994</v>
      </c>
      <c r="BW720963">
        <v>6.5299999999999994</v>
      </c>
      <c r="BX720963">
        <v>1.43</v>
      </c>
      <c r="BY720963">
        <v>14.61</v>
      </c>
      <c r="BZ720963">
        <v>14.61</v>
      </c>
      <c r="CA720963">
        <v>5.25</v>
      </c>
      <c r="CB720963">
        <v>3.01</v>
      </c>
      <c r="CC720963">
        <v>3.01</v>
      </c>
      <c r="CD720963">
        <v>3.01</v>
      </c>
      <c r="CE720963">
        <v>3.8</v>
      </c>
      <c r="CF720963">
        <v>3.8</v>
      </c>
      <c r="CG720963">
        <v>3.34</v>
      </c>
      <c r="CH720963">
        <v>3.34</v>
      </c>
      <c r="CI720963">
        <v>6.02</v>
      </c>
      <c r="CJ720963">
        <v>6.02</v>
      </c>
      <c r="CK720963">
        <v>6.02</v>
      </c>
      <c r="CL720963">
        <v>9</v>
      </c>
      <c r="CM720963">
        <v>9</v>
      </c>
      <c r="CN720963">
        <v>9</v>
      </c>
      <c r="CO720963">
        <v>2.86</v>
      </c>
      <c r="CP720963">
        <v>2.86</v>
      </c>
      <c r="CQ720963">
        <v>2.86</v>
      </c>
      <c r="CR720963">
        <v>2.86</v>
      </c>
      <c r="CS720963">
        <v>2.86</v>
      </c>
      <c r="CT720963">
        <v>2.5</v>
      </c>
      <c r="CU720963">
        <v>2.5</v>
      </c>
      <c r="CV720963">
        <v>2.5</v>
      </c>
      <c r="CW720963">
        <v>5.76</v>
      </c>
      <c r="CX720963">
        <v>5.76</v>
      </c>
      <c r="CY720963">
        <v>3.98</v>
      </c>
      <c r="CZ720963">
        <v>3.98</v>
      </c>
      <c r="DA720963">
        <v>3.98</v>
      </c>
      <c r="DB720963">
        <v>10.210000000000001</v>
      </c>
      <c r="DC720963">
        <v>10.210000000000001</v>
      </c>
      <c r="DD720963">
        <v>10.210000000000001</v>
      </c>
      <c r="DE720963">
        <v>10.210000000000001</v>
      </c>
      <c r="DF720963">
        <v>10.210000000000001</v>
      </c>
      <c r="DG720963">
        <v>10.210000000000001</v>
      </c>
      <c r="DH720963">
        <v>10.210000000000001</v>
      </c>
      <c r="DI720963">
        <v>47.860000000000007</v>
      </c>
      <c r="DJ720963">
        <v>47.860000000000007</v>
      </c>
      <c r="DK720963">
        <v>10.66</v>
      </c>
      <c r="DL720963">
        <v>14.18</v>
      </c>
      <c r="DM720963">
        <v>10.66</v>
      </c>
      <c r="DN720963">
        <v>10.66</v>
      </c>
      <c r="DO720963">
        <v>3.52</v>
      </c>
      <c r="DP720963">
        <v>0</v>
      </c>
      <c r="DQ720963">
        <v>26.18</v>
      </c>
      <c r="DR720963">
        <v>9.77</v>
      </c>
      <c r="DS720963">
        <v>6.15</v>
      </c>
      <c r="DT720963">
        <v>26.18</v>
      </c>
      <c r="DU720963">
        <v>3.62</v>
      </c>
      <c r="DV720963">
        <v>7.5</v>
      </c>
      <c r="DW720963">
        <v>23.91</v>
      </c>
      <c r="DX720963">
        <v>4.74</v>
      </c>
      <c r="DY720963">
        <v>4.74</v>
      </c>
      <c r="DZ720963">
        <v>1.62</v>
      </c>
      <c r="EA720963">
        <v>1.62</v>
      </c>
      <c r="EB720963">
        <v>1.62</v>
      </c>
      <c r="EC720963">
        <v>0.81</v>
      </c>
      <c r="ED720963">
        <v>0.81</v>
      </c>
      <c r="EE720963">
        <v>8.15</v>
      </c>
      <c r="EF720963">
        <v>8.15</v>
      </c>
      <c r="EG720963">
        <v>8.15</v>
      </c>
      <c r="EH720963">
        <v>8.15</v>
      </c>
      <c r="EI720963">
        <v>8.15</v>
      </c>
      <c r="EJ720963">
        <v>8.15</v>
      </c>
      <c r="EK720963">
        <v>8.15</v>
      </c>
      <c r="EL720963">
        <v>0.66</v>
      </c>
      <c r="EM720963">
        <v>0.66</v>
      </c>
      <c r="EN720963">
        <v>0.66</v>
      </c>
      <c r="EO720963">
        <v>0.66</v>
      </c>
      <c r="EP720963">
        <v>0.66</v>
      </c>
    </row>
    <row r="720964" spans="2:146">
      <c r="B720964" t="s">
        <v>265</v>
      </c>
      <c r="BQ720964" t="s">
        <v>345</v>
      </c>
      <c r="BR720964" t="s">
        <v>131</v>
      </c>
      <c r="BS720964" t="s">
        <v>131</v>
      </c>
      <c r="BT720964" t="s">
        <v>357</v>
      </c>
      <c r="BU720964" t="s">
        <v>131</v>
      </c>
      <c r="BV720964" t="s">
        <v>360</v>
      </c>
      <c r="BW720964" t="s">
        <v>360</v>
      </c>
      <c r="BX720964" t="s">
        <v>360</v>
      </c>
      <c r="BY720964" t="s">
        <v>364</v>
      </c>
      <c r="BZ720964" t="s">
        <v>364</v>
      </c>
      <c r="CA720964" t="s">
        <v>364</v>
      </c>
      <c r="CB720964" t="s">
        <v>368</v>
      </c>
      <c r="CC720964" t="s">
        <v>368</v>
      </c>
      <c r="CD720964" t="s">
        <v>368</v>
      </c>
      <c r="CE720964" t="s">
        <v>352</v>
      </c>
      <c r="CF720964" t="s">
        <v>352</v>
      </c>
      <c r="CG720964" t="s">
        <v>372</v>
      </c>
      <c r="CH720964" t="s">
        <v>372</v>
      </c>
      <c r="CI720964" t="s">
        <v>375</v>
      </c>
      <c r="CJ720964" t="s">
        <v>375</v>
      </c>
      <c r="CK720964" t="s">
        <v>375</v>
      </c>
      <c r="CL720964" t="s">
        <v>379</v>
      </c>
      <c r="CM720964" t="s">
        <v>379</v>
      </c>
      <c r="CN720964" t="s">
        <v>379</v>
      </c>
      <c r="CO720964" t="s">
        <v>383</v>
      </c>
      <c r="CP720964" t="s">
        <v>383</v>
      </c>
      <c r="CQ720964" t="s">
        <v>383</v>
      </c>
      <c r="CR720964" t="s">
        <v>383</v>
      </c>
      <c r="CS720964" t="s">
        <v>383</v>
      </c>
      <c r="CT720964" t="s">
        <v>389</v>
      </c>
      <c r="CU720964" t="s">
        <v>389</v>
      </c>
      <c r="CV720964" t="s">
        <v>389</v>
      </c>
      <c r="CW720964" t="s">
        <v>393</v>
      </c>
      <c r="CX720964" t="s">
        <v>393</v>
      </c>
      <c r="CY720964" t="s">
        <v>396</v>
      </c>
      <c r="CZ720964" t="s">
        <v>396</v>
      </c>
      <c r="DA720964" t="s">
        <v>396</v>
      </c>
      <c r="DB720964" t="s">
        <v>400</v>
      </c>
      <c r="DC720964" t="s">
        <v>400</v>
      </c>
      <c r="DD720964" t="s">
        <v>400</v>
      </c>
      <c r="DE720964" t="s">
        <v>400</v>
      </c>
      <c r="DF720964" t="s">
        <v>400</v>
      </c>
      <c r="DG720964" t="s">
        <v>400</v>
      </c>
      <c r="DH720964" t="s">
        <v>400</v>
      </c>
      <c r="DI720964" t="s">
        <v>121</v>
      </c>
      <c r="DJ720964" t="s">
        <v>121</v>
      </c>
      <c r="DK720964" t="s">
        <v>121</v>
      </c>
      <c r="DL720964" t="s">
        <v>121</v>
      </c>
      <c r="DM720964" t="s">
        <v>121</v>
      </c>
      <c r="DN720964" t="s">
        <v>121</v>
      </c>
      <c r="DO720964" t="s">
        <v>121</v>
      </c>
      <c r="DP720964" t="s">
        <v>121</v>
      </c>
      <c r="DQ720964" t="s">
        <v>121</v>
      </c>
      <c r="DR720964" t="s">
        <v>121</v>
      </c>
      <c r="DS720964" t="s">
        <v>121</v>
      </c>
      <c r="DT720964" t="s">
        <v>121</v>
      </c>
      <c r="DU720964" t="s">
        <v>121</v>
      </c>
      <c r="DV720964" t="s">
        <v>121</v>
      </c>
      <c r="DW720964" t="s">
        <v>121</v>
      </c>
      <c r="DX720964" t="s">
        <v>423</v>
      </c>
      <c r="DY720964" t="s">
        <v>423</v>
      </c>
      <c r="DZ720964" t="s">
        <v>426</v>
      </c>
      <c r="EA720964" t="s">
        <v>426</v>
      </c>
      <c r="EB720964" t="s">
        <v>426</v>
      </c>
      <c r="EC720964" t="s">
        <v>426</v>
      </c>
      <c r="ED720964" t="s">
        <v>426</v>
      </c>
      <c r="EE720964" t="s">
        <v>432</v>
      </c>
      <c r="EF720964" t="s">
        <v>432</v>
      </c>
      <c r="EG720964" t="s">
        <v>432</v>
      </c>
      <c r="EH720964" t="s">
        <v>432</v>
      </c>
      <c r="EI720964" t="s">
        <v>432</v>
      </c>
      <c r="EJ720964" t="s">
        <v>432</v>
      </c>
      <c r="EK720964" t="s">
        <v>432</v>
      </c>
      <c r="EL720964" t="s">
        <v>440</v>
      </c>
      <c r="EM720964" t="s">
        <v>440</v>
      </c>
      <c r="EN720964" t="s">
        <v>440</v>
      </c>
      <c r="EO720964" t="s">
        <v>440</v>
      </c>
      <c r="EP720964" t="s">
        <v>440</v>
      </c>
    </row>
    <row r="720965" spans="2:146">
      <c r="BQ720965" t="s">
        <v>351</v>
      </c>
      <c r="BR720965" t="s">
        <v>355</v>
      </c>
      <c r="BS720965" t="s">
        <v>356</v>
      </c>
      <c r="BT720965" t="s">
        <v>358</v>
      </c>
      <c r="BU720965" t="s">
        <v>359</v>
      </c>
      <c r="BV720965" t="s">
        <v>361</v>
      </c>
      <c r="BW720965" t="s">
        <v>362</v>
      </c>
      <c r="BX720965" t="s">
        <v>363</v>
      </c>
      <c r="BY720965" t="s">
        <v>365</v>
      </c>
      <c r="BZ720965" t="s">
        <v>366</v>
      </c>
      <c r="CA720965" t="s">
        <v>367</v>
      </c>
      <c r="CB720965" t="s">
        <v>369</v>
      </c>
      <c r="CC720965" t="s">
        <v>370</v>
      </c>
      <c r="CD720965" t="s">
        <v>371</v>
      </c>
      <c r="CE720965" t="s">
        <v>353</v>
      </c>
      <c r="CF720965" t="s">
        <v>354</v>
      </c>
      <c r="CG720965" t="s">
        <v>373</v>
      </c>
      <c r="CH720965" t="s">
        <v>374</v>
      </c>
      <c r="CI720965" t="s">
        <v>376</v>
      </c>
      <c r="CJ720965" t="s">
        <v>377</v>
      </c>
      <c r="CK720965" t="s">
        <v>378</v>
      </c>
      <c r="CL720965" t="s">
        <v>380</v>
      </c>
      <c r="CM720965" t="s">
        <v>381</v>
      </c>
      <c r="CN720965" t="s">
        <v>382</v>
      </c>
      <c r="CO720965" t="s">
        <v>384</v>
      </c>
      <c r="CP720965" t="s">
        <v>385</v>
      </c>
      <c r="CQ720965" t="s">
        <v>386</v>
      </c>
      <c r="CR720965" t="s">
        <v>387</v>
      </c>
      <c r="CS720965" t="s">
        <v>388</v>
      </c>
      <c r="CT720965" t="s">
        <v>390</v>
      </c>
      <c r="CU720965" t="s">
        <v>391</v>
      </c>
      <c r="CV720965" t="s">
        <v>392</v>
      </c>
      <c r="CW720965" t="s">
        <v>394</v>
      </c>
      <c r="CX720965" t="s">
        <v>395</v>
      </c>
      <c r="CY720965" t="s">
        <v>397</v>
      </c>
      <c r="CZ720965" t="s">
        <v>398</v>
      </c>
      <c r="DA720965" t="s">
        <v>399</v>
      </c>
      <c r="DB720965" t="s">
        <v>401</v>
      </c>
      <c r="DC720965" t="s">
        <v>402</v>
      </c>
      <c r="DD720965" t="s">
        <v>403</v>
      </c>
      <c r="DE720965" t="s">
        <v>404</v>
      </c>
      <c r="DF720965" t="s">
        <v>405</v>
      </c>
      <c r="DG720965" t="s">
        <v>406</v>
      </c>
      <c r="DH720965" t="s">
        <v>407</v>
      </c>
      <c r="DI720965" t="s">
        <v>408</v>
      </c>
      <c r="DJ720965" t="s">
        <v>409</v>
      </c>
      <c r="DK720965" t="s">
        <v>410</v>
      </c>
      <c r="DL720965" t="s">
        <v>411</v>
      </c>
      <c r="DM720965" t="s">
        <v>412</v>
      </c>
      <c r="DN720965" t="s">
        <v>413</v>
      </c>
      <c r="DO720965" t="s">
        <v>414</v>
      </c>
      <c r="DP720965" t="s">
        <v>415</v>
      </c>
      <c r="DQ720965" t="s">
        <v>416</v>
      </c>
      <c r="DR720965" t="s">
        <v>417</v>
      </c>
      <c r="DS720965" t="s">
        <v>418</v>
      </c>
      <c r="DT720965" t="s">
        <v>419</v>
      </c>
      <c r="DU720965" t="s">
        <v>420</v>
      </c>
      <c r="DV720965" t="s">
        <v>421</v>
      </c>
      <c r="DW720965" t="s">
        <v>422</v>
      </c>
      <c r="DX720965" t="s">
        <v>424</v>
      </c>
      <c r="DY720965" t="s">
        <v>425</v>
      </c>
      <c r="DZ720965" t="s">
        <v>427</v>
      </c>
      <c r="EA720965" t="s">
        <v>428</v>
      </c>
      <c r="EB720965" t="s">
        <v>429</v>
      </c>
      <c r="EC720965" t="s">
        <v>430</v>
      </c>
      <c r="ED720965" t="s">
        <v>431</v>
      </c>
      <c r="EE720965" t="s">
        <v>433</v>
      </c>
      <c r="EF720965" t="s">
        <v>434</v>
      </c>
      <c r="EG720965" t="s">
        <v>435</v>
      </c>
      <c r="EH720965" t="s">
        <v>436</v>
      </c>
      <c r="EI720965" t="s">
        <v>437</v>
      </c>
      <c r="EJ720965" t="s">
        <v>438</v>
      </c>
      <c r="EK720965" t="s">
        <v>439</v>
      </c>
      <c r="EL720965" t="s">
        <v>441</v>
      </c>
      <c r="EM720965" t="s">
        <v>442</v>
      </c>
      <c r="EN720965" t="s">
        <v>443</v>
      </c>
      <c r="EO720965" t="s">
        <v>444</v>
      </c>
      <c r="EP720965" t="s">
        <v>445</v>
      </c>
    </row>
    <row r="720966" spans="2:146">
      <c r="BQ720966">
        <v>67</v>
      </c>
      <c r="BR720966">
        <v>68</v>
      </c>
      <c r="BS720966">
        <v>69</v>
      </c>
      <c r="BT720966">
        <v>70</v>
      </c>
      <c r="BU720966">
        <v>71</v>
      </c>
      <c r="BV720966">
        <v>72</v>
      </c>
      <c r="BW720966">
        <v>73</v>
      </c>
      <c r="BX720966">
        <v>74</v>
      </c>
      <c r="BY720966">
        <v>75</v>
      </c>
      <c r="BZ720966">
        <v>76</v>
      </c>
      <c r="CA720966">
        <v>77</v>
      </c>
      <c r="CB720966">
        <v>78</v>
      </c>
      <c r="CC720966">
        <v>79</v>
      </c>
      <c r="CD720966">
        <v>80</v>
      </c>
      <c r="CE720966">
        <v>81</v>
      </c>
      <c r="CF720966">
        <v>82</v>
      </c>
      <c r="CG720966">
        <v>83</v>
      </c>
      <c r="CH720966">
        <v>84</v>
      </c>
      <c r="CI720966">
        <v>85</v>
      </c>
      <c r="CJ720966">
        <v>86</v>
      </c>
      <c r="CK720966">
        <v>87</v>
      </c>
      <c r="CL720966">
        <v>88</v>
      </c>
      <c r="CM720966">
        <v>89</v>
      </c>
      <c r="CN720966">
        <v>90</v>
      </c>
      <c r="CO720966">
        <v>91</v>
      </c>
      <c r="CP720966">
        <v>92</v>
      </c>
      <c r="CQ720966">
        <v>93</v>
      </c>
      <c r="CR720966">
        <v>94</v>
      </c>
      <c r="CS720966">
        <v>95</v>
      </c>
      <c r="CT720966">
        <v>96</v>
      </c>
      <c r="CU720966">
        <v>97</v>
      </c>
      <c r="CV720966">
        <v>98</v>
      </c>
      <c r="CW720966">
        <v>99</v>
      </c>
      <c r="CX720966">
        <v>100</v>
      </c>
      <c r="CY720966">
        <v>101</v>
      </c>
      <c r="CZ720966">
        <v>102</v>
      </c>
      <c r="DA720966">
        <v>103</v>
      </c>
      <c r="DB720966">
        <v>104</v>
      </c>
      <c r="DC720966">
        <v>105</v>
      </c>
      <c r="DD720966">
        <v>106</v>
      </c>
      <c r="DE720966">
        <v>107</v>
      </c>
      <c r="DF720966">
        <v>108</v>
      </c>
      <c r="DG720966">
        <v>109</v>
      </c>
      <c r="DH720966">
        <v>110</v>
      </c>
      <c r="DI720966">
        <v>111</v>
      </c>
      <c r="DJ720966">
        <v>112</v>
      </c>
      <c r="DK720966">
        <v>113</v>
      </c>
      <c r="DL720966">
        <v>114</v>
      </c>
      <c r="DM720966">
        <v>115</v>
      </c>
      <c r="DN720966">
        <v>116</v>
      </c>
      <c r="DO720966">
        <v>117</v>
      </c>
      <c r="DP720966">
        <v>118</v>
      </c>
      <c r="DQ720966">
        <v>119</v>
      </c>
      <c r="DR720966">
        <v>120</v>
      </c>
      <c r="DS720966">
        <v>121</v>
      </c>
      <c r="DT720966">
        <v>122</v>
      </c>
      <c r="DU720966">
        <v>123</v>
      </c>
      <c r="DV720966">
        <v>124</v>
      </c>
      <c r="DW720966">
        <v>125</v>
      </c>
      <c r="DX720966">
        <v>126</v>
      </c>
      <c r="DY720966">
        <v>127</v>
      </c>
      <c r="DZ720966">
        <v>128</v>
      </c>
      <c r="EA720966">
        <v>129</v>
      </c>
      <c r="EB720966">
        <v>130</v>
      </c>
      <c r="EC720966">
        <v>131</v>
      </c>
      <c r="ED720966">
        <v>132</v>
      </c>
      <c r="EE720966">
        <v>133</v>
      </c>
      <c r="EF720966">
        <v>134</v>
      </c>
      <c r="EG720966">
        <v>135</v>
      </c>
      <c r="EH720966">
        <v>136</v>
      </c>
      <c r="EI720966">
        <v>137</v>
      </c>
      <c r="EJ720966">
        <v>138</v>
      </c>
      <c r="EK720966">
        <v>139</v>
      </c>
      <c r="EL720966">
        <v>140</v>
      </c>
      <c r="EM720966">
        <v>141</v>
      </c>
      <c r="EN720966">
        <v>142</v>
      </c>
      <c r="EO720966">
        <v>143</v>
      </c>
      <c r="EP720966">
        <v>144</v>
      </c>
    </row>
    <row r="720967" spans="2:146">
      <c r="CE720967" t="s">
        <v>451</v>
      </c>
    </row>
    <row r="737282" spans="2:2">
      <c r="B737282">
        <v>200</v>
      </c>
    </row>
    <row r="737283" spans="2:2">
      <c r="B737283">
        <v>200</v>
      </c>
    </row>
    <row r="737284" spans="2:2">
      <c r="B737284">
        <v>800</v>
      </c>
    </row>
    <row r="737285" spans="2:2">
      <c r="B737285">
        <v>200</v>
      </c>
    </row>
    <row r="737286" spans="2:2">
      <c r="B737286">
        <v>1044</v>
      </c>
    </row>
    <row r="737287" spans="2:2">
      <c r="B737287">
        <v>998.40000000000009</v>
      </c>
    </row>
    <row r="737288" spans="2:2">
      <c r="B737288">
        <v>272</v>
      </c>
    </row>
    <row r="737289" spans="2:2">
      <c r="B737289">
        <v>200</v>
      </c>
    </row>
    <row r="737290" spans="2:2">
      <c r="B737290">
        <v>214</v>
      </c>
    </row>
    <row r="737291" spans="2:2">
      <c r="B737291">
        <v>200</v>
      </c>
    </row>
    <row r="737292" spans="2:2">
      <c r="B737292">
        <v>152</v>
      </c>
    </row>
    <row r="737293" spans="2:2">
      <c r="B737293">
        <v>200</v>
      </c>
    </row>
    <row r="737294" spans="2:2">
      <c r="B737294">
        <v>300</v>
      </c>
    </row>
    <row r="737295" spans="2:2">
      <c r="B737295">
        <v>104</v>
      </c>
    </row>
    <row r="737296" spans="2:2">
      <c r="B737296">
        <v>162</v>
      </c>
    </row>
    <row r="737297" spans="2:2">
      <c r="B737297">
        <v>200</v>
      </c>
    </row>
    <row r="737298" spans="2:2">
      <c r="B737298">
        <v>200</v>
      </c>
    </row>
    <row r="737299" spans="2:2">
      <c r="B737299">
        <v>200</v>
      </c>
    </row>
    <row r="737300" spans="2:2">
      <c r="B737300">
        <v>200</v>
      </c>
    </row>
    <row r="737301" spans="2:2">
      <c r="B737301">
        <v>200</v>
      </c>
    </row>
    <row r="737302" spans="2:2">
      <c r="B737302">
        <v>200</v>
      </c>
    </row>
    <row r="737303" spans="2:2">
      <c r="B737303">
        <v>200</v>
      </c>
    </row>
    <row r="737304" spans="2:2">
      <c r="B737304">
        <v>200</v>
      </c>
    </row>
    <row r="737305" spans="2:2">
      <c r="B737305">
        <v>800</v>
      </c>
    </row>
    <row r="737306" spans="2:2">
      <c r="B737306">
        <v>300</v>
      </c>
    </row>
    <row r="737307" spans="2:2">
      <c r="B737307">
        <v>778</v>
      </c>
    </row>
    <row r="737308" spans="2:2">
      <c r="B737308">
        <v>614</v>
      </c>
    </row>
    <row r="737309" spans="2:2">
      <c r="B737309">
        <v>444</v>
      </c>
    </row>
    <row r="737310" spans="2:2">
      <c r="B737310">
        <v>800</v>
      </c>
    </row>
    <row r="737311" spans="2:2">
      <c r="B737311">
        <v>200</v>
      </c>
    </row>
    <row r="737312" spans="2:2">
      <c r="B737312">
        <v>780</v>
      </c>
    </row>
    <row r="737313" spans="2:146">
      <c r="B737313">
        <v>174</v>
      </c>
    </row>
    <row r="737314" spans="2:146">
      <c r="B737314">
        <v>194</v>
      </c>
    </row>
    <row r="737315" spans="2:146">
      <c r="B737315">
        <v>782</v>
      </c>
    </row>
    <row r="737316" spans="2:146">
      <c r="B737316">
        <v>236</v>
      </c>
    </row>
    <row r="737317" spans="2:146">
      <c r="B737317">
        <v>144</v>
      </c>
    </row>
    <row r="737318" spans="2:146">
      <c r="B737318">
        <v>200</v>
      </c>
    </row>
    <row r="737319" spans="2:146">
      <c r="B737319">
        <v>240</v>
      </c>
    </row>
    <row r="737320" spans="2:146">
      <c r="B737320">
        <v>200</v>
      </c>
    </row>
    <row r="737321" spans="2:146">
      <c r="B737321">
        <v>612</v>
      </c>
    </row>
    <row r="737322" spans="2:146">
      <c r="B737322">
        <v>156</v>
      </c>
    </row>
    <row r="737323" spans="2:146">
      <c r="B737323">
        <v>116</v>
      </c>
    </row>
    <row r="737324" spans="2:146">
      <c r="B737324">
        <v>160</v>
      </c>
    </row>
    <row r="737325" spans="2:146">
      <c r="B737325">
        <v>80</v>
      </c>
      <c r="EL737325">
        <v>0.66</v>
      </c>
      <c r="EM737325">
        <v>0.66</v>
      </c>
      <c r="EN737325">
        <v>0.66</v>
      </c>
      <c r="EO737325">
        <v>0.66</v>
      </c>
      <c r="EP737325">
        <v>0.66</v>
      </c>
    </row>
    <row r="737326" spans="2:146">
      <c r="B737326">
        <v>1144</v>
      </c>
      <c r="BV737326">
        <v>5.0999999999999996</v>
      </c>
      <c r="BW737326">
        <v>5.0999999999999996</v>
      </c>
      <c r="DB737326">
        <v>10.210000000000001</v>
      </c>
      <c r="DC737326">
        <v>10.210000000000001</v>
      </c>
      <c r="DD737326">
        <v>10.210000000000001</v>
      </c>
      <c r="DE737326">
        <v>10.210000000000001</v>
      </c>
      <c r="DF737326">
        <v>10.210000000000001</v>
      </c>
      <c r="DG737326">
        <v>10.210000000000001</v>
      </c>
      <c r="DH737326">
        <v>10.210000000000001</v>
      </c>
    </row>
    <row r="737327" spans="2:146">
      <c r="B737327">
        <v>1240</v>
      </c>
      <c r="EE737327">
        <v>8.15</v>
      </c>
      <c r="EF737327">
        <v>8.15</v>
      </c>
      <c r="EG737327">
        <v>8.15</v>
      </c>
      <c r="EH737327">
        <v>8.15</v>
      </c>
      <c r="EI737327">
        <v>8.15</v>
      </c>
      <c r="EJ737327">
        <v>8.15</v>
      </c>
      <c r="EK737327">
        <v>8.15</v>
      </c>
    </row>
    <row r="737328" spans="2:146">
      <c r="B737328">
        <v>2083.2000000000003</v>
      </c>
      <c r="DI737328">
        <v>20.03</v>
      </c>
      <c r="DJ737328">
        <v>20.03</v>
      </c>
      <c r="DQ737328">
        <v>20.03</v>
      </c>
      <c r="DT737328">
        <v>20.03</v>
      </c>
      <c r="DW737328">
        <v>20.03</v>
      </c>
    </row>
    <row r="737329" spans="2:134">
      <c r="B737329">
        <v>357.20000000000005</v>
      </c>
      <c r="DI737329">
        <v>3.88</v>
      </c>
      <c r="DJ737329">
        <v>3.88</v>
      </c>
      <c r="DV737329">
        <v>3.88</v>
      </c>
      <c r="DW737329">
        <v>3.88</v>
      </c>
    </row>
    <row r="737330" spans="2:134">
      <c r="B737330">
        <v>391.20000000000005</v>
      </c>
      <c r="DI737330">
        <v>3.62</v>
      </c>
      <c r="DJ737330">
        <v>3.62</v>
      </c>
      <c r="DR737330">
        <v>3.62</v>
      </c>
      <c r="DU737330">
        <v>3.62</v>
      </c>
      <c r="DV737330">
        <v>3.62</v>
      </c>
    </row>
    <row r="737331" spans="2:134">
      <c r="B737331">
        <v>762.80000000000007</v>
      </c>
      <c r="DI737331">
        <v>6.15</v>
      </c>
      <c r="DJ737331">
        <v>6.15</v>
      </c>
      <c r="DQ737331">
        <v>6.15</v>
      </c>
      <c r="DR737331">
        <v>6.15</v>
      </c>
      <c r="DS737331">
        <v>6.15</v>
      </c>
      <c r="DT737331">
        <v>6.15</v>
      </c>
    </row>
    <row r="737332" spans="2:134">
      <c r="B737332">
        <v>1280</v>
      </c>
      <c r="DI737332">
        <v>10.66</v>
      </c>
      <c r="DJ737332">
        <v>10.66</v>
      </c>
      <c r="DK737332">
        <v>10.66</v>
      </c>
      <c r="DL737332">
        <v>10.66</v>
      </c>
      <c r="DM737332">
        <v>10.66</v>
      </c>
      <c r="DN737332">
        <v>10.66</v>
      </c>
    </row>
    <row r="737333" spans="2:134">
      <c r="B737333">
        <v>234</v>
      </c>
      <c r="CT737333">
        <v>2.5</v>
      </c>
      <c r="CU737333">
        <v>2.5</v>
      </c>
      <c r="CV737333">
        <v>2.5</v>
      </c>
    </row>
    <row r="737334" spans="2:134">
      <c r="B737334">
        <v>354</v>
      </c>
      <c r="CY737334">
        <v>3.98</v>
      </c>
      <c r="CZ737334">
        <v>3.98</v>
      </c>
      <c r="DA737334">
        <v>3.98</v>
      </c>
    </row>
    <row r="737335" spans="2:134">
      <c r="B737335">
        <v>392</v>
      </c>
      <c r="DI737335">
        <v>3.52</v>
      </c>
      <c r="DJ737335">
        <v>3.52</v>
      </c>
      <c r="DL737335">
        <v>3.52</v>
      </c>
      <c r="DO737335">
        <v>3.52</v>
      </c>
    </row>
    <row r="737336" spans="2:134">
      <c r="B737336">
        <v>304</v>
      </c>
      <c r="CE737336">
        <v>3.8</v>
      </c>
      <c r="CF737336">
        <v>3.8</v>
      </c>
    </row>
    <row r="737337" spans="2:134">
      <c r="B737337">
        <v>144</v>
      </c>
      <c r="DZ737337">
        <v>1.62</v>
      </c>
      <c r="EA737337">
        <v>1.62</v>
      </c>
      <c r="EB737337">
        <v>1.62</v>
      </c>
      <c r="EC737337">
        <v>0.81</v>
      </c>
      <c r="ED737337">
        <v>0.81</v>
      </c>
    </row>
    <row r="737338" spans="2:134">
      <c r="B737338">
        <v>602.40000000000009</v>
      </c>
      <c r="BY737338">
        <v>6.02</v>
      </c>
      <c r="BZ737338">
        <v>6.02</v>
      </c>
      <c r="CB737338">
        <v>3.01</v>
      </c>
      <c r="CC737338">
        <v>3.01</v>
      </c>
      <c r="CD737338">
        <v>3.01</v>
      </c>
      <c r="CI737338">
        <v>6.02</v>
      </c>
      <c r="CJ737338">
        <v>6.02</v>
      </c>
      <c r="CK737338">
        <v>6.02</v>
      </c>
    </row>
    <row r="737339" spans="2:134">
      <c r="B737339">
        <v>307.60000000000002</v>
      </c>
      <c r="BY737339">
        <v>3.34</v>
      </c>
      <c r="BZ737339">
        <v>3.34</v>
      </c>
      <c r="CG737339">
        <v>3.34</v>
      </c>
      <c r="CH737339">
        <v>3.34</v>
      </c>
    </row>
    <row r="737340" spans="2:134">
      <c r="B737340">
        <v>358</v>
      </c>
      <c r="BY737340">
        <v>2.37</v>
      </c>
      <c r="BZ737340">
        <v>2.37</v>
      </c>
      <c r="CA737340">
        <v>2.37</v>
      </c>
      <c r="DX737340">
        <v>4.74</v>
      </c>
      <c r="DY737340">
        <v>4.74</v>
      </c>
    </row>
    <row r="737341" spans="2:134">
      <c r="B737341">
        <v>286</v>
      </c>
      <c r="BT737341">
        <v>1.43</v>
      </c>
      <c r="BV737341">
        <v>1.43</v>
      </c>
      <c r="BW737341">
        <v>1.43</v>
      </c>
      <c r="BX737341">
        <v>1.43</v>
      </c>
      <c r="CO737341">
        <v>2.86</v>
      </c>
      <c r="CP737341">
        <v>2.86</v>
      </c>
      <c r="CQ737341">
        <v>2.86</v>
      </c>
      <c r="CR737341">
        <v>2.86</v>
      </c>
      <c r="CS737341">
        <v>2.86</v>
      </c>
    </row>
    <row r="737342" spans="2:134">
      <c r="B737342">
        <v>410</v>
      </c>
      <c r="BY737342">
        <v>2.88</v>
      </c>
      <c r="BZ737342">
        <v>2.88</v>
      </c>
      <c r="CA737342">
        <v>2.88</v>
      </c>
      <c r="CW737342">
        <v>5.76</v>
      </c>
      <c r="CX737342">
        <v>5.76</v>
      </c>
    </row>
    <row r="737343" spans="2:134">
      <c r="B737343">
        <v>346</v>
      </c>
      <c r="BR737343">
        <v>3.6</v>
      </c>
      <c r="BS737343">
        <v>3.6</v>
      </c>
      <c r="BT737343">
        <v>1.8</v>
      </c>
      <c r="CL737343">
        <v>3.6</v>
      </c>
      <c r="CM737343">
        <v>3.6</v>
      </c>
      <c r="CN737343">
        <v>3.6</v>
      </c>
    </row>
    <row r="737344" spans="2:134">
      <c r="B737344">
        <v>302</v>
      </c>
      <c r="BR737344">
        <v>3.28</v>
      </c>
      <c r="BS737344">
        <v>3.28</v>
      </c>
      <c r="BT737344">
        <v>1.64</v>
      </c>
      <c r="BU737344">
        <v>1.64</v>
      </c>
      <c r="CL737344">
        <v>3.28</v>
      </c>
      <c r="CM737344">
        <v>3.28</v>
      </c>
      <c r="CN737344">
        <v>3.28</v>
      </c>
    </row>
    <row r="737345" spans="2:146">
      <c r="B737345">
        <v>204</v>
      </c>
      <c r="BR737345">
        <v>2.12</v>
      </c>
      <c r="BS737345">
        <v>2.12</v>
      </c>
      <c r="BT737345">
        <v>1.06</v>
      </c>
      <c r="CL737345">
        <v>2.12</v>
      </c>
      <c r="CM737345">
        <v>2.12</v>
      </c>
      <c r="CN737345">
        <v>2.12</v>
      </c>
    </row>
    <row r="737347" spans="2:146">
      <c r="B737347">
        <v>26358.800000000003</v>
      </c>
      <c r="BQ737347">
        <v>0</v>
      </c>
      <c r="BR737347">
        <v>9</v>
      </c>
      <c r="BS737347">
        <v>9</v>
      </c>
      <c r="BT737347">
        <v>5.93</v>
      </c>
      <c r="BU737347">
        <v>1.64</v>
      </c>
      <c r="BV737347">
        <v>6.5299999999999994</v>
      </c>
      <c r="BW737347">
        <v>6.5299999999999994</v>
      </c>
      <c r="BX737347">
        <v>1.43</v>
      </c>
      <c r="BY737347">
        <v>14.61</v>
      </c>
      <c r="BZ737347">
        <v>14.61</v>
      </c>
      <c r="CA737347">
        <v>5.25</v>
      </c>
      <c r="CB737347">
        <v>3.01</v>
      </c>
      <c r="CC737347">
        <v>3.01</v>
      </c>
      <c r="CD737347">
        <v>3.01</v>
      </c>
      <c r="CE737347">
        <v>3.8</v>
      </c>
      <c r="CF737347">
        <v>3.8</v>
      </c>
      <c r="CG737347">
        <v>3.34</v>
      </c>
      <c r="CH737347">
        <v>3.34</v>
      </c>
      <c r="CI737347">
        <v>6.02</v>
      </c>
      <c r="CJ737347">
        <v>6.02</v>
      </c>
      <c r="CK737347">
        <v>6.02</v>
      </c>
      <c r="CL737347">
        <v>9</v>
      </c>
      <c r="CM737347">
        <v>9</v>
      </c>
      <c r="CN737347">
        <v>9</v>
      </c>
      <c r="CO737347">
        <v>2.86</v>
      </c>
      <c r="CP737347">
        <v>2.86</v>
      </c>
      <c r="CQ737347">
        <v>2.86</v>
      </c>
      <c r="CR737347">
        <v>2.86</v>
      </c>
      <c r="CS737347">
        <v>2.86</v>
      </c>
      <c r="CT737347">
        <v>2.5</v>
      </c>
      <c r="CU737347">
        <v>2.5</v>
      </c>
      <c r="CV737347">
        <v>2.5</v>
      </c>
      <c r="CW737347">
        <v>5.76</v>
      </c>
      <c r="CX737347">
        <v>5.76</v>
      </c>
      <c r="CY737347">
        <v>3.98</v>
      </c>
      <c r="CZ737347">
        <v>3.98</v>
      </c>
      <c r="DA737347">
        <v>3.98</v>
      </c>
      <c r="DB737347">
        <v>10.210000000000001</v>
      </c>
      <c r="DC737347">
        <v>10.210000000000001</v>
      </c>
      <c r="DD737347">
        <v>10.210000000000001</v>
      </c>
      <c r="DE737347">
        <v>10.210000000000001</v>
      </c>
      <c r="DF737347">
        <v>10.210000000000001</v>
      </c>
      <c r="DG737347">
        <v>10.210000000000001</v>
      </c>
      <c r="DH737347">
        <v>10.210000000000001</v>
      </c>
      <c r="DI737347">
        <v>47.860000000000007</v>
      </c>
      <c r="DJ737347">
        <v>47.860000000000007</v>
      </c>
      <c r="DK737347">
        <v>10.66</v>
      </c>
      <c r="DL737347">
        <v>14.18</v>
      </c>
      <c r="DM737347">
        <v>10.66</v>
      </c>
      <c r="DN737347">
        <v>10.66</v>
      </c>
      <c r="DO737347">
        <v>3.52</v>
      </c>
      <c r="DP737347">
        <v>0</v>
      </c>
      <c r="DQ737347">
        <v>26.18</v>
      </c>
      <c r="DR737347">
        <v>9.77</v>
      </c>
      <c r="DS737347">
        <v>6.15</v>
      </c>
      <c r="DT737347">
        <v>26.18</v>
      </c>
      <c r="DU737347">
        <v>3.62</v>
      </c>
      <c r="DV737347">
        <v>7.5</v>
      </c>
      <c r="DW737347">
        <v>23.91</v>
      </c>
      <c r="DX737347">
        <v>4.74</v>
      </c>
      <c r="DY737347">
        <v>4.74</v>
      </c>
      <c r="DZ737347">
        <v>1.62</v>
      </c>
      <c r="EA737347">
        <v>1.62</v>
      </c>
      <c r="EB737347">
        <v>1.62</v>
      </c>
      <c r="EC737347">
        <v>0.81</v>
      </c>
      <c r="ED737347">
        <v>0.81</v>
      </c>
      <c r="EE737347">
        <v>8.15</v>
      </c>
      <c r="EF737347">
        <v>8.15</v>
      </c>
      <c r="EG737347">
        <v>8.15</v>
      </c>
      <c r="EH737347">
        <v>8.15</v>
      </c>
      <c r="EI737347">
        <v>8.15</v>
      </c>
      <c r="EJ737347">
        <v>8.15</v>
      </c>
      <c r="EK737347">
        <v>8.15</v>
      </c>
      <c r="EL737347">
        <v>0.66</v>
      </c>
      <c r="EM737347">
        <v>0.66</v>
      </c>
      <c r="EN737347">
        <v>0.66</v>
      </c>
      <c r="EO737347">
        <v>0.66</v>
      </c>
      <c r="EP737347">
        <v>0.66</v>
      </c>
    </row>
    <row r="737348" spans="2:146">
      <c r="B737348" t="s">
        <v>265</v>
      </c>
      <c r="BQ737348" t="s">
        <v>345</v>
      </c>
      <c r="BR737348" t="s">
        <v>131</v>
      </c>
      <c r="BS737348" t="s">
        <v>131</v>
      </c>
      <c r="BT737348" t="s">
        <v>357</v>
      </c>
      <c r="BU737348" t="s">
        <v>131</v>
      </c>
      <c r="BV737348" t="s">
        <v>360</v>
      </c>
      <c r="BW737348" t="s">
        <v>360</v>
      </c>
      <c r="BX737348" t="s">
        <v>360</v>
      </c>
      <c r="BY737348" t="s">
        <v>364</v>
      </c>
      <c r="BZ737348" t="s">
        <v>364</v>
      </c>
      <c r="CA737348" t="s">
        <v>364</v>
      </c>
      <c r="CB737348" t="s">
        <v>368</v>
      </c>
      <c r="CC737348" t="s">
        <v>368</v>
      </c>
      <c r="CD737348" t="s">
        <v>368</v>
      </c>
      <c r="CE737348" t="s">
        <v>352</v>
      </c>
      <c r="CF737348" t="s">
        <v>352</v>
      </c>
      <c r="CG737348" t="s">
        <v>372</v>
      </c>
      <c r="CH737348" t="s">
        <v>372</v>
      </c>
      <c r="CI737348" t="s">
        <v>375</v>
      </c>
      <c r="CJ737348" t="s">
        <v>375</v>
      </c>
      <c r="CK737348" t="s">
        <v>375</v>
      </c>
      <c r="CL737348" t="s">
        <v>379</v>
      </c>
      <c r="CM737348" t="s">
        <v>379</v>
      </c>
      <c r="CN737348" t="s">
        <v>379</v>
      </c>
      <c r="CO737348" t="s">
        <v>383</v>
      </c>
      <c r="CP737348" t="s">
        <v>383</v>
      </c>
      <c r="CQ737348" t="s">
        <v>383</v>
      </c>
      <c r="CR737348" t="s">
        <v>383</v>
      </c>
      <c r="CS737348" t="s">
        <v>383</v>
      </c>
      <c r="CT737348" t="s">
        <v>389</v>
      </c>
      <c r="CU737348" t="s">
        <v>389</v>
      </c>
      <c r="CV737348" t="s">
        <v>389</v>
      </c>
      <c r="CW737348" t="s">
        <v>393</v>
      </c>
      <c r="CX737348" t="s">
        <v>393</v>
      </c>
      <c r="CY737348" t="s">
        <v>396</v>
      </c>
      <c r="CZ737348" t="s">
        <v>396</v>
      </c>
      <c r="DA737348" t="s">
        <v>396</v>
      </c>
      <c r="DB737348" t="s">
        <v>400</v>
      </c>
      <c r="DC737348" t="s">
        <v>400</v>
      </c>
      <c r="DD737348" t="s">
        <v>400</v>
      </c>
      <c r="DE737348" t="s">
        <v>400</v>
      </c>
      <c r="DF737348" t="s">
        <v>400</v>
      </c>
      <c r="DG737348" t="s">
        <v>400</v>
      </c>
      <c r="DH737348" t="s">
        <v>400</v>
      </c>
      <c r="DI737348" t="s">
        <v>121</v>
      </c>
      <c r="DJ737348" t="s">
        <v>121</v>
      </c>
      <c r="DK737348" t="s">
        <v>121</v>
      </c>
      <c r="DL737348" t="s">
        <v>121</v>
      </c>
      <c r="DM737348" t="s">
        <v>121</v>
      </c>
      <c r="DN737348" t="s">
        <v>121</v>
      </c>
      <c r="DO737348" t="s">
        <v>121</v>
      </c>
      <c r="DP737348" t="s">
        <v>121</v>
      </c>
      <c r="DQ737348" t="s">
        <v>121</v>
      </c>
      <c r="DR737348" t="s">
        <v>121</v>
      </c>
      <c r="DS737348" t="s">
        <v>121</v>
      </c>
      <c r="DT737348" t="s">
        <v>121</v>
      </c>
      <c r="DU737348" t="s">
        <v>121</v>
      </c>
      <c r="DV737348" t="s">
        <v>121</v>
      </c>
      <c r="DW737348" t="s">
        <v>121</v>
      </c>
      <c r="DX737348" t="s">
        <v>423</v>
      </c>
      <c r="DY737348" t="s">
        <v>423</v>
      </c>
      <c r="DZ737348" t="s">
        <v>426</v>
      </c>
      <c r="EA737348" t="s">
        <v>426</v>
      </c>
      <c r="EB737348" t="s">
        <v>426</v>
      </c>
      <c r="EC737348" t="s">
        <v>426</v>
      </c>
      <c r="ED737348" t="s">
        <v>426</v>
      </c>
      <c r="EE737348" t="s">
        <v>432</v>
      </c>
      <c r="EF737348" t="s">
        <v>432</v>
      </c>
      <c r="EG737348" t="s">
        <v>432</v>
      </c>
      <c r="EH737348" t="s">
        <v>432</v>
      </c>
      <c r="EI737348" t="s">
        <v>432</v>
      </c>
      <c r="EJ737348" t="s">
        <v>432</v>
      </c>
      <c r="EK737348" t="s">
        <v>432</v>
      </c>
      <c r="EL737348" t="s">
        <v>440</v>
      </c>
      <c r="EM737348" t="s">
        <v>440</v>
      </c>
      <c r="EN737348" t="s">
        <v>440</v>
      </c>
      <c r="EO737348" t="s">
        <v>440</v>
      </c>
      <c r="EP737348" t="s">
        <v>440</v>
      </c>
    </row>
    <row r="737349" spans="2:146">
      <c r="BQ737349" t="s">
        <v>351</v>
      </c>
      <c r="BR737349" t="s">
        <v>355</v>
      </c>
      <c r="BS737349" t="s">
        <v>356</v>
      </c>
      <c r="BT737349" t="s">
        <v>358</v>
      </c>
      <c r="BU737349" t="s">
        <v>359</v>
      </c>
      <c r="BV737349" t="s">
        <v>361</v>
      </c>
      <c r="BW737349" t="s">
        <v>362</v>
      </c>
      <c r="BX737349" t="s">
        <v>363</v>
      </c>
      <c r="BY737349" t="s">
        <v>365</v>
      </c>
      <c r="BZ737349" t="s">
        <v>366</v>
      </c>
      <c r="CA737349" t="s">
        <v>367</v>
      </c>
      <c r="CB737349" t="s">
        <v>369</v>
      </c>
      <c r="CC737349" t="s">
        <v>370</v>
      </c>
      <c r="CD737349" t="s">
        <v>371</v>
      </c>
      <c r="CE737349" t="s">
        <v>353</v>
      </c>
      <c r="CF737349" t="s">
        <v>354</v>
      </c>
      <c r="CG737349" t="s">
        <v>373</v>
      </c>
      <c r="CH737349" t="s">
        <v>374</v>
      </c>
      <c r="CI737349" t="s">
        <v>376</v>
      </c>
      <c r="CJ737349" t="s">
        <v>377</v>
      </c>
      <c r="CK737349" t="s">
        <v>378</v>
      </c>
      <c r="CL737349" t="s">
        <v>380</v>
      </c>
      <c r="CM737349" t="s">
        <v>381</v>
      </c>
      <c r="CN737349" t="s">
        <v>382</v>
      </c>
      <c r="CO737349" t="s">
        <v>384</v>
      </c>
      <c r="CP737349" t="s">
        <v>385</v>
      </c>
      <c r="CQ737349" t="s">
        <v>386</v>
      </c>
      <c r="CR737349" t="s">
        <v>387</v>
      </c>
      <c r="CS737349" t="s">
        <v>388</v>
      </c>
      <c r="CT737349" t="s">
        <v>390</v>
      </c>
      <c r="CU737349" t="s">
        <v>391</v>
      </c>
      <c r="CV737349" t="s">
        <v>392</v>
      </c>
      <c r="CW737349" t="s">
        <v>394</v>
      </c>
      <c r="CX737349" t="s">
        <v>395</v>
      </c>
      <c r="CY737349" t="s">
        <v>397</v>
      </c>
      <c r="CZ737349" t="s">
        <v>398</v>
      </c>
      <c r="DA737349" t="s">
        <v>399</v>
      </c>
      <c r="DB737349" t="s">
        <v>401</v>
      </c>
      <c r="DC737349" t="s">
        <v>402</v>
      </c>
      <c r="DD737349" t="s">
        <v>403</v>
      </c>
      <c r="DE737349" t="s">
        <v>404</v>
      </c>
      <c r="DF737349" t="s">
        <v>405</v>
      </c>
      <c r="DG737349" t="s">
        <v>406</v>
      </c>
      <c r="DH737349" t="s">
        <v>407</v>
      </c>
      <c r="DI737349" t="s">
        <v>408</v>
      </c>
      <c r="DJ737349" t="s">
        <v>409</v>
      </c>
      <c r="DK737349" t="s">
        <v>410</v>
      </c>
      <c r="DL737349" t="s">
        <v>411</v>
      </c>
      <c r="DM737349" t="s">
        <v>412</v>
      </c>
      <c r="DN737349" t="s">
        <v>413</v>
      </c>
      <c r="DO737349" t="s">
        <v>414</v>
      </c>
      <c r="DP737349" t="s">
        <v>415</v>
      </c>
      <c r="DQ737349" t="s">
        <v>416</v>
      </c>
      <c r="DR737349" t="s">
        <v>417</v>
      </c>
      <c r="DS737349" t="s">
        <v>418</v>
      </c>
      <c r="DT737349" t="s">
        <v>419</v>
      </c>
      <c r="DU737349" t="s">
        <v>420</v>
      </c>
      <c r="DV737349" t="s">
        <v>421</v>
      </c>
      <c r="DW737349" t="s">
        <v>422</v>
      </c>
      <c r="DX737349" t="s">
        <v>424</v>
      </c>
      <c r="DY737349" t="s">
        <v>425</v>
      </c>
      <c r="DZ737349" t="s">
        <v>427</v>
      </c>
      <c r="EA737349" t="s">
        <v>428</v>
      </c>
      <c r="EB737349" t="s">
        <v>429</v>
      </c>
      <c r="EC737349" t="s">
        <v>430</v>
      </c>
      <c r="ED737349" t="s">
        <v>431</v>
      </c>
      <c r="EE737349" t="s">
        <v>433</v>
      </c>
      <c r="EF737349" t="s">
        <v>434</v>
      </c>
      <c r="EG737349" t="s">
        <v>435</v>
      </c>
      <c r="EH737349" t="s">
        <v>436</v>
      </c>
      <c r="EI737349" t="s">
        <v>437</v>
      </c>
      <c r="EJ737349" t="s">
        <v>438</v>
      </c>
      <c r="EK737349" t="s">
        <v>439</v>
      </c>
      <c r="EL737349" t="s">
        <v>441</v>
      </c>
      <c r="EM737349" t="s">
        <v>442</v>
      </c>
      <c r="EN737349" t="s">
        <v>443</v>
      </c>
      <c r="EO737349" t="s">
        <v>444</v>
      </c>
      <c r="EP737349" t="s">
        <v>445</v>
      </c>
    </row>
    <row r="737350" spans="2:146">
      <c r="BQ737350">
        <v>67</v>
      </c>
      <c r="BR737350">
        <v>68</v>
      </c>
      <c r="BS737350">
        <v>69</v>
      </c>
      <c r="BT737350">
        <v>70</v>
      </c>
      <c r="BU737350">
        <v>71</v>
      </c>
      <c r="BV737350">
        <v>72</v>
      </c>
      <c r="BW737350">
        <v>73</v>
      </c>
      <c r="BX737350">
        <v>74</v>
      </c>
      <c r="BY737350">
        <v>75</v>
      </c>
      <c r="BZ737350">
        <v>76</v>
      </c>
      <c r="CA737350">
        <v>77</v>
      </c>
      <c r="CB737350">
        <v>78</v>
      </c>
      <c r="CC737350">
        <v>79</v>
      </c>
      <c r="CD737350">
        <v>80</v>
      </c>
      <c r="CE737350">
        <v>81</v>
      </c>
      <c r="CF737350">
        <v>82</v>
      </c>
      <c r="CG737350">
        <v>83</v>
      </c>
      <c r="CH737350">
        <v>84</v>
      </c>
      <c r="CI737350">
        <v>85</v>
      </c>
      <c r="CJ737350">
        <v>86</v>
      </c>
      <c r="CK737350">
        <v>87</v>
      </c>
      <c r="CL737350">
        <v>88</v>
      </c>
      <c r="CM737350">
        <v>89</v>
      </c>
      <c r="CN737350">
        <v>90</v>
      </c>
      <c r="CO737350">
        <v>91</v>
      </c>
      <c r="CP737350">
        <v>92</v>
      </c>
      <c r="CQ737350">
        <v>93</v>
      </c>
      <c r="CR737350">
        <v>94</v>
      </c>
      <c r="CS737350">
        <v>95</v>
      </c>
      <c r="CT737350">
        <v>96</v>
      </c>
      <c r="CU737350">
        <v>97</v>
      </c>
      <c r="CV737350">
        <v>98</v>
      </c>
      <c r="CW737350">
        <v>99</v>
      </c>
      <c r="CX737350">
        <v>100</v>
      </c>
      <c r="CY737350">
        <v>101</v>
      </c>
      <c r="CZ737350">
        <v>102</v>
      </c>
      <c r="DA737350">
        <v>103</v>
      </c>
      <c r="DB737350">
        <v>104</v>
      </c>
      <c r="DC737350">
        <v>105</v>
      </c>
      <c r="DD737350">
        <v>106</v>
      </c>
      <c r="DE737350">
        <v>107</v>
      </c>
      <c r="DF737350">
        <v>108</v>
      </c>
      <c r="DG737350">
        <v>109</v>
      </c>
      <c r="DH737350">
        <v>110</v>
      </c>
      <c r="DI737350">
        <v>111</v>
      </c>
      <c r="DJ737350">
        <v>112</v>
      </c>
      <c r="DK737350">
        <v>113</v>
      </c>
      <c r="DL737350">
        <v>114</v>
      </c>
      <c r="DM737350">
        <v>115</v>
      </c>
      <c r="DN737350">
        <v>116</v>
      </c>
      <c r="DO737350">
        <v>117</v>
      </c>
      <c r="DP737350">
        <v>118</v>
      </c>
      <c r="DQ737350">
        <v>119</v>
      </c>
      <c r="DR737350">
        <v>120</v>
      </c>
      <c r="DS737350">
        <v>121</v>
      </c>
      <c r="DT737350">
        <v>122</v>
      </c>
      <c r="DU737350">
        <v>123</v>
      </c>
      <c r="DV737350">
        <v>124</v>
      </c>
      <c r="DW737350">
        <v>125</v>
      </c>
      <c r="DX737350">
        <v>126</v>
      </c>
      <c r="DY737350">
        <v>127</v>
      </c>
      <c r="DZ737350">
        <v>128</v>
      </c>
      <c r="EA737350">
        <v>129</v>
      </c>
      <c r="EB737350">
        <v>130</v>
      </c>
      <c r="EC737350">
        <v>131</v>
      </c>
      <c r="ED737350">
        <v>132</v>
      </c>
      <c r="EE737350">
        <v>133</v>
      </c>
      <c r="EF737350">
        <v>134</v>
      </c>
      <c r="EG737350">
        <v>135</v>
      </c>
      <c r="EH737350">
        <v>136</v>
      </c>
      <c r="EI737350">
        <v>137</v>
      </c>
      <c r="EJ737350">
        <v>138</v>
      </c>
      <c r="EK737350">
        <v>139</v>
      </c>
      <c r="EL737350">
        <v>140</v>
      </c>
      <c r="EM737350">
        <v>141</v>
      </c>
      <c r="EN737350">
        <v>142</v>
      </c>
      <c r="EO737350">
        <v>143</v>
      </c>
      <c r="EP737350">
        <v>144</v>
      </c>
    </row>
    <row r="737351" spans="2:146">
      <c r="CE737351" t="s">
        <v>451</v>
      </c>
    </row>
    <row r="753666" spans="2:2">
      <c r="B753666">
        <v>200</v>
      </c>
    </row>
    <row r="753667" spans="2:2">
      <c r="B753667">
        <v>200</v>
      </c>
    </row>
    <row r="753668" spans="2:2">
      <c r="B753668">
        <v>800</v>
      </c>
    </row>
    <row r="753669" spans="2:2">
      <c r="B753669">
        <v>200</v>
      </c>
    </row>
    <row r="753670" spans="2:2">
      <c r="B753670">
        <v>1044</v>
      </c>
    </row>
    <row r="753671" spans="2:2">
      <c r="B753671">
        <v>998.40000000000009</v>
      </c>
    </row>
    <row r="753672" spans="2:2">
      <c r="B753672">
        <v>272</v>
      </c>
    </row>
    <row r="753673" spans="2:2">
      <c r="B753673">
        <v>200</v>
      </c>
    </row>
    <row r="753674" spans="2:2">
      <c r="B753674">
        <v>214</v>
      </c>
    </row>
    <row r="753675" spans="2:2">
      <c r="B753675">
        <v>200</v>
      </c>
    </row>
    <row r="753676" spans="2:2">
      <c r="B753676">
        <v>152</v>
      </c>
    </row>
    <row r="753677" spans="2:2">
      <c r="B753677">
        <v>200</v>
      </c>
    </row>
    <row r="753678" spans="2:2">
      <c r="B753678">
        <v>300</v>
      </c>
    </row>
    <row r="753679" spans="2:2">
      <c r="B753679">
        <v>104</v>
      </c>
    </row>
    <row r="753680" spans="2:2">
      <c r="B753680">
        <v>162</v>
      </c>
    </row>
    <row r="753681" spans="2:2">
      <c r="B753681">
        <v>200</v>
      </c>
    </row>
    <row r="753682" spans="2:2">
      <c r="B753682">
        <v>200</v>
      </c>
    </row>
    <row r="753683" spans="2:2">
      <c r="B753683">
        <v>200</v>
      </c>
    </row>
    <row r="753684" spans="2:2">
      <c r="B753684">
        <v>200</v>
      </c>
    </row>
    <row r="753685" spans="2:2">
      <c r="B753685">
        <v>200</v>
      </c>
    </row>
    <row r="753686" spans="2:2">
      <c r="B753686">
        <v>200</v>
      </c>
    </row>
    <row r="753687" spans="2:2">
      <c r="B753687">
        <v>200</v>
      </c>
    </row>
    <row r="753688" spans="2:2">
      <c r="B753688">
        <v>200</v>
      </c>
    </row>
    <row r="753689" spans="2:2">
      <c r="B753689">
        <v>800</v>
      </c>
    </row>
    <row r="753690" spans="2:2">
      <c r="B753690">
        <v>300</v>
      </c>
    </row>
    <row r="753691" spans="2:2">
      <c r="B753691">
        <v>778</v>
      </c>
    </row>
    <row r="753692" spans="2:2">
      <c r="B753692">
        <v>614</v>
      </c>
    </row>
    <row r="753693" spans="2:2">
      <c r="B753693">
        <v>444</v>
      </c>
    </row>
    <row r="753694" spans="2:2">
      <c r="B753694">
        <v>800</v>
      </c>
    </row>
    <row r="753695" spans="2:2">
      <c r="B753695">
        <v>200</v>
      </c>
    </row>
    <row r="753696" spans="2:2">
      <c r="B753696">
        <v>780</v>
      </c>
    </row>
    <row r="753697" spans="2:146">
      <c r="B753697">
        <v>174</v>
      </c>
    </row>
    <row r="753698" spans="2:146">
      <c r="B753698">
        <v>194</v>
      </c>
    </row>
    <row r="753699" spans="2:146">
      <c r="B753699">
        <v>782</v>
      </c>
    </row>
    <row r="753700" spans="2:146">
      <c r="B753700">
        <v>236</v>
      </c>
    </row>
    <row r="753701" spans="2:146">
      <c r="B753701">
        <v>144</v>
      </c>
    </row>
    <row r="753702" spans="2:146">
      <c r="B753702">
        <v>200</v>
      </c>
    </row>
    <row r="753703" spans="2:146">
      <c r="B753703">
        <v>240</v>
      </c>
    </row>
    <row r="753704" spans="2:146">
      <c r="B753704">
        <v>200</v>
      </c>
    </row>
    <row r="753705" spans="2:146">
      <c r="B753705">
        <v>612</v>
      </c>
    </row>
    <row r="753706" spans="2:146">
      <c r="B753706">
        <v>156</v>
      </c>
    </row>
    <row r="753707" spans="2:146">
      <c r="B753707">
        <v>116</v>
      </c>
    </row>
    <row r="753708" spans="2:146">
      <c r="B753708">
        <v>160</v>
      </c>
    </row>
    <row r="753709" spans="2:146">
      <c r="B753709">
        <v>80</v>
      </c>
      <c r="EL753709">
        <v>0.66</v>
      </c>
      <c r="EM753709">
        <v>0.66</v>
      </c>
      <c r="EN753709">
        <v>0.66</v>
      </c>
      <c r="EO753709">
        <v>0.66</v>
      </c>
      <c r="EP753709">
        <v>0.66</v>
      </c>
    </row>
    <row r="753710" spans="2:146">
      <c r="B753710">
        <v>1144</v>
      </c>
      <c r="BV753710">
        <v>5.0999999999999996</v>
      </c>
      <c r="BW753710">
        <v>5.0999999999999996</v>
      </c>
      <c r="DB753710">
        <v>10.210000000000001</v>
      </c>
      <c r="DC753710">
        <v>10.210000000000001</v>
      </c>
      <c r="DD753710">
        <v>10.210000000000001</v>
      </c>
      <c r="DE753710">
        <v>10.210000000000001</v>
      </c>
      <c r="DF753710">
        <v>10.210000000000001</v>
      </c>
      <c r="DG753710">
        <v>10.210000000000001</v>
      </c>
      <c r="DH753710">
        <v>10.210000000000001</v>
      </c>
    </row>
    <row r="753711" spans="2:146">
      <c r="B753711">
        <v>1240</v>
      </c>
      <c r="EE753711">
        <v>8.15</v>
      </c>
      <c r="EF753711">
        <v>8.15</v>
      </c>
      <c r="EG753711">
        <v>8.15</v>
      </c>
      <c r="EH753711">
        <v>8.15</v>
      </c>
      <c r="EI753711">
        <v>8.15</v>
      </c>
      <c r="EJ753711">
        <v>8.15</v>
      </c>
      <c r="EK753711">
        <v>8.15</v>
      </c>
    </row>
    <row r="753712" spans="2:146">
      <c r="B753712">
        <v>2083.2000000000003</v>
      </c>
      <c r="DI753712">
        <v>20.03</v>
      </c>
      <c r="DJ753712">
        <v>20.03</v>
      </c>
      <c r="DQ753712">
        <v>20.03</v>
      </c>
      <c r="DT753712">
        <v>20.03</v>
      </c>
      <c r="DW753712">
        <v>20.03</v>
      </c>
    </row>
    <row r="753713" spans="2:134">
      <c r="B753713">
        <v>357.20000000000005</v>
      </c>
      <c r="DI753713">
        <v>3.88</v>
      </c>
      <c r="DJ753713">
        <v>3.88</v>
      </c>
      <c r="DV753713">
        <v>3.88</v>
      </c>
      <c r="DW753713">
        <v>3.88</v>
      </c>
    </row>
    <row r="753714" spans="2:134">
      <c r="B753714">
        <v>391.20000000000005</v>
      </c>
      <c r="DI753714">
        <v>3.62</v>
      </c>
      <c r="DJ753714">
        <v>3.62</v>
      </c>
      <c r="DR753714">
        <v>3.62</v>
      </c>
      <c r="DU753714">
        <v>3.62</v>
      </c>
      <c r="DV753714">
        <v>3.62</v>
      </c>
    </row>
    <row r="753715" spans="2:134">
      <c r="B753715">
        <v>762.80000000000007</v>
      </c>
      <c r="DI753715">
        <v>6.15</v>
      </c>
      <c r="DJ753715">
        <v>6.15</v>
      </c>
      <c r="DQ753715">
        <v>6.15</v>
      </c>
      <c r="DR753715">
        <v>6.15</v>
      </c>
      <c r="DS753715">
        <v>6.15</v>
      </c>
      <c r="DT753715">
        <v>6.15</v>
      </c>
    </row>
    <row r="753716" spans="2:134">
      <c r="B753716">
        <v>1280</v>
      </c>
      <c r="DI753716">
        <v>10.66</v>
      </c>
      <c r="DJ753716">
        <v>10.66</v>
      </c>
      <c r="DK753716">
        <v>10.66</v>
      </c>
      <c r="DL753716">
        <v>10.66</v>
      </c>
      <c r="DM753716">
        <v>10.66</v>
      </c>
      <c r="DN753716">
        <v>10.66</v>
      </c>
    </row>
    <row r="753717" spans="2:134">
      <c r="B753717">
        <v>234</v>
      </c>
      <c r="CT753717">
        <v>2.5</v>
      </c>
      <c r="CU753717">
        <v>2.5</v>
      </c>
      <c r="CV753717">
        <v>2.5</v>
      </c>
    </row>
    <row r="753718" spans="2:134">
      <c r="B753718">
        <v>354</v>
      </c>
      <c r="CY753718">
        <v>3.98</v>
      </c>
      <c r="CZ753718">
        <v>3.98</v>
      </c>
      <c r="DA753718">
        <v>3.98</v>
      </c>
    </row>
    <row r="753719" spans="2:134">
      <c r="B753719">
        <v>392</v>
      </c>
      <c r="DI753719">
        <v>3.52</v>
      </c>
      <c r="DJ753719">
        <v>3.52</v>
      </c>
      <c r="DL753719">
        <v>3.52</v>
      </c>
      <c r="DO753719">
        <v>3.52</v>
      </c>
    </row>
    <row r="753720" spans="2:134">
      <c r="B753720">
        <v>304</v>
      </c>
      <c r="CE753720">
        <v>3.8</v>
      </c>
      <c r="CF753720">
        <v>3.8</v>
      </c>
    </row>
    <row r="753721" spans="2:134">
      <c r="B753721">
        <v>144</v>
      </c>
      <c r="DZ753721">
        <v>1.62</v>
      </c>
      <c r="EA753721">
        <v>1.62</v>
      </c>
      <c r="EB753721">
        <v>1.62</v>
      </c>
      <c r="EC753721">
        <v>0.81</v>
      </c>
      <c r="ED753721">
        <v>0.81</v>
      </c>
    </row>
    <row r="753722" spans="2:134">
      <c r="B753722">
        <v>602.40000000000009</v>
      </c>
      <c r="BY753722">
        <v>6.02</v>
      </c>
      <c r="BZ753722">
        <v>6.02</v>
      </c>
      <c r="CB753722">
        <v>3.01</v>
      </c>
      <c r="CC753722">
        <v>3.01</v>
      </c>
      <c r="CD753722">
        <v>3.01</v>
      </c>
      <c r="CI753722">
        <v>6.02</v>
      </c>
      <c r="CJ753722">
        <v>6.02</v>
      </c>
      <c r="CK753722">
        <v>6.02</v>
      </c>
    </row>
    <row r="753723" spans="2:134">
      <c r="B753723">
        <v>307.60000000000002</v>
      </c>
      <c r="BY753723">
        <v>3.34</v>
      </c>
      <c r="BZ753723">
        <v>3.34</v>
      </c>
      <c r="CG753723">
        <v>3.34</v>
      </c>
      <c r="CH753723">
        <v>3.34</v>
      </c>
    </row>
    <row r="753724" spans="2:134">
      <c r="B753724">
        <v>358</v>
      </c>
      <c r="BY753724">
        <v>2.37</v>
      </c>
      <c r="BZ753724">
        <v>2.37</v>
      </c>
      <c r="CA753724">
        <v>2.37</v>
      </c>
      <c r="DX753724">
        <v>4.74</v>
      </c>
      <c r="DY753724">
        <v>4.74</v>
      </c>
    </row>
    <row r="753725" spans="2:134">
      <c r="B753725">
        <v>286</v>
      </c>
      <c r="BT753725">
        <v>1.43</v>
      </c>
      <c r="BV753725">
        <v>1.43</v>
      </c>
      <c r="BW753725">
        <v>1.43</v>
      </c>
      <c r="BX753725">
        <v>1.43</v>
      </c>
      <c r="CO753725">
        <v>2.86</v>
      </c>
      <c r="CP753725">
        <v>2.86</v>
      </c>
      <c r="CQ753725">
        <v>2.86</v>
      </c>
      <c r="CR753725">
        <v>2.86</v>
      </c>
      <c r="CS753725">
        <v>2.86</v>
      </c>
    </row>
    <row r="753726" spans="2:134">
      <c r="B753726">
        <v>410</v>
      </c>
      <c r="BY753726">
        <v>2.88</v>
      </c>
      <c r="BZ753726">
        <v>2.88</v>
      </c>
      <c r="CA753726">
        <v>2.88</v>
      </c>
      <c r="CW753726">
        <v>5.76</v>
      </c>
      <c r="CX753726">
        <v>5.76</v>
      </c>
    </row>
    <row r="753727" spans="2:134">
      <c r="B753727">
        <v>346</v>
      </c>
      <c r="BR753727">
        <v>3.6</v>
      </c>
      <c r="BS753727">
        <v>3.6</v>
      </c>
      <c r="BT753727">
        <v>1.8</v>
      </c>
      <c r="CL753727">
        <v>3.6</v>
      </c>
      <c r="CM753727">
        <v>3.6</v>
      </c>
      <c r="CN753727">
        <v>3.6</v>
      </c>
    </row>
    <row r="753728" spans="2:134">
      <c r="B753728">
        <v>302</v>
      </c>
      <c r="BR753728">
        <v>3.28</v>
      </c>
      <c r="BS753728">
        <v>3.28</v>
      </c>
      <c r="BT753728">
        <v>1.64</v>
      </c>
      <c r="BU753728">
        <v>1.64</v>
      </c>
      <c r="CL753728">
        <v>3.28</v>
      </c>
      <c r="CM753728">
        <v>3.28</v>
      </c>
      <c r="CN753728">
        <v>3.28</v>
      </c>
    </row>
    <row r="753729" spans="2:146">
      <c r="B753729">
        <v>204</v>
      </c>
      <c r="BR753729">
        <v>2.12</v>
      </c>
      <c r="BS753729">
        <v>2.12</v>
      </c>
      <c r="BT753729">
        <v>1.06</v>
      </c>
      <c r="CL753729">
        <v>2.12</v>
      </c>
      <c r="CM753729">
        <v>2.12</v>
      </c>
      <c r="CN753729">
        <v>2.12</v>
      </c>
    </row>
    <row r="753731" spans="2:146">
      <c r="B753731">
        <v>26358.800000000003</v>
      </c>
      <c r="BQ753731">
        <v>0</v>
      </c>
      <c r="BR753731">
        <v>9</v>
      </c>
      <c r="BS753731">
        <v>9</v>
      </c>
      <c r="BT753731">
        <v>5.93</v>
      </c>
      <c r="BU753731">
        <v>1.64</v>
      </c>
      <c r="BV753731">
        <v>6.5299999999999994</v>
      </c>
      <c r="BW753731">
        <v>6.5299999999999994</v>
      </c>
      <c r="BX753731">
        <v>1.43</v>
      </c>
      <c r="BY753731">
        <v>14.61</v>
      </c>
      <c r="BZ753731">
        <v>14.61</v>
      </c>
      <c r="CA753731">
        <v>5.25</v>
      </c>
      <c r="CB753731">
        <v>3.01</v>
      </c>
      <c r="CC753731">
        <v>3.01</v>
      </c>
      <c r="CD753731">
        <v>3.01</v>
      </c>
      <c r="CE753731">
        <v>3.8</v>
      </c>
      <c r="CF753731">
        <v>3.8</v>
      </c>
      <c r="CG753731">
        <v>3.34</v>
      </c>
      <c r="CH753731">
        <v>3.34</v>
      </c>
      <c r="CI753731">
        <v>6.02</v>
      </c>
      <c r="CJ753731">
        <v>6.02</v>
      </c>
      <c r="CK753731">
        <v>6.02</v>
      </c>
      <c r="CL753731">
        <v>9</v>
      </c>
      <c r="CM753731">
        <v>9</v>
      </c>
      <c r="CN753731">
        <v>9</v>
      </c>
      <c r="CO753731">
        <v>2.86</v>
      </c>
      <c r="CP753731">
        <v>2.86</v>
      </c>
      <c r="CQ753731">
        <v>2.86</v>
      </c>
      <c r="CR753731">
        <v>2.86</v>
      </c>
      <c r="CS753731">
        <v>2.86</v>
      </c>
      <c r="CT753731">
        <v>2.5</v>
      </c>
      <c r="CU753731">
        <v>2.5</v>
      </c>
      <c r="CV753731">
        <v>2.5</v>
      </c>
      <c r="CW753731">
        <v>5.76</v>
      </c>
      <c r="CX753731">
        <v>5.76</v>
      </c>
      <c r="CY753731">
        <v>3.98</v>
      </c>
      <c r="CZ753731">
        <v>3.98</v>
      </c>
      <c r="DA753731">
        <v>3.98</v>
      </c>
      <c r="DB753731">
        <v>10.210000000000001</v>
      </c>
      <c r="DC753731">
        <v>10.210000000000001</v>
      </c>
      <c r="DD753731">
        <v>10.210000000000001</v>
      </c>
      <c r="DE753731">
        <v>10.210000000000001</v>
      </c>
      <c r="DF753731">
        <v>10.210000000000001</v>
      </c>
      <c r="DG753731">
        <v>10.210000000000001</v>
      </c>
      <c r="DH753731">
        <v>10.210000000000001</v>
      </c>
      <c r="DI753731">
        <v>47.860000000000007</v>
      </c>
      <c r="DJ753731">
        <v>47.860000000000007</v>
      </c>
      <c r="DK753731">
        <v>10.66</v>
      </c>
      <c r="DL753731">
        <v>14.18</v>
      </c>
      <c r="DM753731">
        <v>10.66</v>
      </c>
      <c r="DN753731">
        <v>10.66</v>
      </c>
      <c r="DO753731">
        <v>3.52</v>
      </c>
      <c r="DP753731">
        <v>0</v>
      </c>
      <c r="DQ753731">
        <v>26.18</v>
      </c>
      <c r="DR753731">
        <v>9.77</v>
      </c>
      <c r="DS753731">
        <v>6.15</v>
      </c>
      <c r="DT753731">
        <v>26.18</v>
      </c>
      <c r="DU753731">
        <v>3.62</v>
      </c>
      <c r="DV753731">
        <v>7.5</v>
      </c>
      <c r="DW753731">
        <v>23.91</v>
      </c>
      <c r="DX753731">
        <v>4.74</v>
      </c>
      <c r="DY753731">
        <v>4.74</v>
      </c>
      <c r="DZ753731">
        <v>1.62</v>
      </c>
      <c r="EA753731">
        <v>1.62</v>
      </c>
      <c r="EB753731">
        <v>1.62</v>
      </c>
      <c r="EC753731">
        <v>0.81</v>
      </c>
      <c r="ED753731">
        <v>0.81</v>
      </c>
      <c r="EE753731">
        <v>8.15</v>
      </c>
      <c r="EF753731">
        <v>8.15</v>
      </c>
      <c r="EG753731">
        <v>8.15</v>
      </c>
      <c r="EH753731">
        <v>8.15</v>
      </c>
      <c r="EI753731">
        <v>8.15</v>
      </c>
      <c r="EJ753731">
        <v>8.15</v>
      </c>
      <c r="EK753731">
        <v>8.15</v>
      </c>
      <c r="EL753731">
        <v>0.66</v>
      </c>
      <c r="EM753731">
        <v>0.66</v>
      </c>
      <c r="EN753731">
        <v>0.66</v>
      </c>
      <c r="EO753731">
        <v>0.66</v>
      </c>
      <c r="EP753731">
        <v>0.66</v>
      </c>
    </row>
    <row r="753732" spans="2:146">
      <c r="B753732" t="s">
        <v>265</v>
      </c>
      <c r="BQ753732" t="s">
        <v>345</v>
      </c>
      <c r="BR753732" t="s">
        <v>131</v>
      </c>
      <c r="BS753732" t="s">
        <v>131</v>
      </c>
      <c r="BT753732" t="s">
        <v>357</v>
      </c>
      <c r="BU753732" t="s">
        <v>131</v>
      </c>
      <c r="BV753732" t="s">
        <v>360</v>
      </c>
      <c r="BW753732" t="s">
        <v>360</v>
      </c>
      <c r="BX753732" t="s">
        <v>360</v>
      </c>
      <c r="BY753732" t="s">
        <v>364</v>
      </c>
      <c r="BZ753732" t="s">
        <v>364</v>
      </c>
      <c r="CA753732" t="s">
        <v>364</v>
      </c>
      <c r="CB753732" t="s">
        <v>368</v>
      </c>
      <c r="CC753732" t="s">
        <v>368</v>
      </c>
      <c r="CD753732" t="s">
        <v>368</v>
      </c>
      <c r="CE753732" t="s">
        <v>352</v>
      </c>
      <c r="CF753732" t="s">
        <v>352</v>
      </c>
      <c r="CG753732" t="s">
        <v>372</v>
      </c>
      <c r="CH753732" t="s">
        <v>372</v>
      </c>
      <c r="CI753732" t="s">
        <v>375</v>
      </c>
      <c r="CJ753732" t="s">
        <v>375</v>
      </c>
      <c r="CK753732" t="s">
        <v>375</v>
      </c>
      <c r="CL753732" t="s">
        <v>379</v>
      </c>
      <c r="CM753732" t="s">
        <v>379</v>
      </c>
      <c r="CN753732" t="s">
        <v>379</v>
      </c>
      <c r="CO753732" t="s">
        <v>383</v>
      </c>
      <c r="CP753732" t="s">
        <v>383</v>
      </c>
      <c r="CQ753732" t="s">
        <v>383</v>
      </c>
      <c r="CR753732" t="s">
        <v>383</v>
      </c>
      <c r="CS753732" t="s">
        <v>383</v>
      </c>
      <c r="CT753732" t="s">
        <v>389</v>
      </c>
      <c r="CU753732" t="s">
        <v>389</v>
      </c>
      <c r="CV753732" t="s">
        <v>389</v>
      </c>
      <c r="CW753732" t="s">
        <v>393</v>
      </c>
      <c r="CX753732" t="s">
        <v>393</v>
      </c>
      <c r="CY753732" t="s">
        <v>396</v>
      </c>
      <c r="CZ753732" t="s">
        <v>396</v>
      </c>
      <c r="DA753732" t="s">
        <v>396</v>
      </c>
      <c r="DB753732" t="s">
        <v>400</v>
      </c>
      <c r="DC753732" t="s">
        <v>400</v>
      </c>
      <c r="DD753732" t="s">
        <v>400</v>
      </c>
      <c r="DE753732" t="s">
        <v>400</v>
      </c>
      <c r="DF753732" t="s">
        <v>400</v>
      </c>
      <c r="DG753732" t="s">
        <v>400</v>
      </c>
      <c r="DH753732" t="s">
        <v>400</v>
      </c>
      <c r="DI753732" t="s">
        <v>121</v>
      </c>
      <c r="DJ753732" t="s">
        <v>121</v>
      </c>
      <c r="DK753732" t="s">
        <v>121</v>
      </c>
      <c r="DL753732" t="s">
        <v>121</v>
      </c>
      <c r="DM753732" t="s">
        <v>121</v>
      </c>
      <c r="DN753732" t="s">
        <v>121</v>
      </c>
      <c r="DO753732" t="s">
        <v>121</v>
      </c>
      <c r="DP753732" t="s">
        <v>121</v>
      </c>
      <c r="DQ753732" t="s">
        <v>121</v>
      </c>
      <c r="DR753732" t="s">
        <v>121</v>
      </c>
      <c r="DS753732" t="s">
        <v>121</v>
      </c>
      <c r="DT753732" t="s">
        <v>121</v>
      </c>
      <c r="DU753732" t="s">
        <v>121</v>
      </c>
      <c r="DV753732" t="s">
        <v>121</v>
      </c>
      <c r="DW753732" t="s">
        <v>121</v>
      </c>
      <c r="DX753732" t="s">
        <v>423</v>
      </c>
      <c r="DY753732" t="s">
        <v>423</v>
      </c>
      <c r="DZ753732" t="s">
        <v>426</v>
      </c>
      <c r="EA753732" t="s">
        <v>426</v>
      </c>
      <c r="EB753732" t="s">
        <v>426</v>
      </c>
      <c r="EC753732" t="s">
        <v>426</v>
      </c>
      <c r="ED753732" t="s">
        <v>426</v>
      </c>
      <c r="EE753732" t="s">
        <v>432</v>
      </c>
      <c r="EF753732" t="s">
        <v>432</v>
      </c>
      <c r="EG753732" t="s">
        <v>432</v>
      </c>
      <c r="EH753732" t="s">
        <v>432</v>
      </c>
      <c r="EI753732" t="s">
        <v>432</v>
      </c>
      <c r="EJ753732" t="s">
        <v>432</v>
      </c>
      <c r="EK753732" t="s">
        <v>432</v>
      </c>
      <c r="EL753732" t="s">
        <v>440</v>
      </c>
      <c r="EM753732" t="s">
        <v>440</v>
      </c>
      <c r="EN753732" t="s">
        <v>440</v>
      </c>
      <c r="EO753732" t="s">
        <v>440</v>
      </c>
      <c r="EP753732" t="s">
        <v>440</v>
      </c>
    </row>
    <row r="753733" spans="2:146">
      <c r="BQ753733" t="s">
        <v>351</v>
      </c>
      <c r="BR753733" t="s">
        <v>355</v>
      </c>
      <c r="BS753733" t="s">
        <v>356</v>
      </c>
      <c r="BT753733" t="s">
        <v>358</v>
      </c>
      <c r="BU753733" t="s">
        <v>359</v>
      </c>
      <c r="BV753733" t="s">
        <v>361</v>
      </c>
      <c r="BW753733" t="s">
        <v>362</v>
      </c>
      <c r="BX753733" t="s">
        <v>363</v>
      </c>
      <c r="BY753733" t="s">
        <v>365</v>
      </c>
      <c r="BZ753733" t="s">
        <v>366</v>
      </c>
      <c r="CA753733" t="s">
        <v>367</v>
      </c>
      <c r="CB753733" t="s">
        <v>369</v>
      </c>
      <c r="CC753733" t="s">
        <v>370</v>
      </c>
      <c r="CD753733" t="s">
        <v>371</v>
      </c>
      <c r="CE753733" t="s">
        <v>353</v>
      </c>
      <c r="CF753733" t="s">
        <v>354</v>
      </c>
      <c r="CG753733" t="s">
        <v>373</v>
      </c>
      <c r="CH753733" t="s">
        <v>374</v>
      </c>
      <c r="CI753733" t="s">
        <v>376</v>
      </c>
      <c r="CJ753733" t="s">
        <v>377</v>
      </c>
      <c r="CK753733" t="s">
        <v>378</v>
      </c>
      <c r="CL753733" t="s">
        <v>380</v>
      </c>
      <c r="CM753733" t="s">
        <v>381</v>
      </c>
      <c r="CN753733" t="s">
        <v>382</v>
      </c>
      <c r="CO753733" t="s">
        <v>384</v>
      </c>
      <c r="CP753733" t="s">
        <v>385</v>
      </c>
      <c r="CQ753733" t="s">
        <v>386</v>
      </c>
      <c r="CR753733" t="s">
        <v>387</v>
      </c>
      <c r="CS753733" t="s">
        <v>388</v>
      </c>
      <c r="CT753733" t="s">
        <v>390</v>
      </c>
      <c r="CU753733" t="s">
        <v>391</v>
      </c>
      <c r="CV753733" t="s">
        <v>392</v>
      </c>
      <c r="CW753733" t="s">
        <v>394</v>
      </c>
      <c r="CX753733" t="s">
        <v>395</v>
      </c>
      <c r="CY753733" t="s">
        <v>397</v>
      </c>
      <c r="CZ753733" t="s">
        <v>398</v>
      </c>
      <c r="DA753733" t="s">
        <v>399</v>
      </c>
      <c r="DB753733" t="s">
        <v>401</v>
      </c>
      <c r="DC753733" t="s">
        <v>402</v>
      </c>
      <c r="DD753733" t="s">
        <v>403</v>
      </c>
      <c r="DE753733" t="s">
        <v>404</v>
      </c>
      <c r="DF753733" t="s">
        <v>405</v>
      </c>
      <c r="DG753733" t="s">
        <v>406</v>
      </c>
      <c r="DH753733" t="s">
        <v>407</v>
      </c>
      <c r="DI753733" t="s">
        <v>408</v>
      </c>
      <c r="DJ753733" t="s">
        <v>409</v>
      </c>
      <c r="DK753733" t="s">
        <v>410</v>
      </c>
      <c r="DL753733" t="s">
        <v>411</v>
      </c>
      <c r="DM753733" t="s">
        <v>412</v>
      </c>
      <c r="DN753733" t="s">
        <v>413</v>
      </c>
      <c r="DO753733" t="s">
        <v>414</v>
      </c>
      <c r="DP753733" t="s">
        <v>415</v>
      </c>
      <c r="DQ753733" t="s">
        <v>416</v>
      </c>
      <c r="DR753733" t="s">
        <v>417</v>
      </c>
      <c r="DS753733" t="s">
        <v>418</v>
      </c>
      <c r="DT753733" t="s">
        <v>419</v>
      </c>
      <c r="DU753733" t="s">
        <v>420</v>
      </c>
      <c r="DV753733" t="s">
        <v>421</v>
      </c>
      <c r="DW753733" t="s">
        <v>422</v>
      </c>
      <c r="DX753733" t="s">
        <v>424</v>
      </c>
      <c r="DY753733" t="s">
        <v>425</v>
      </c>
      <c r="DZ753733" t="s">
        <v>427</v>
      </c>
      <c r="EA753733" t="s">
        <v>428</v>
      </c>
      <c r="EB753733" t="s">
        <v>429</v>
      </c>
      <c r="EC753733" t="s">
        <v>430</v>
      </c>
      <c r="ED753733" t="s">
        <v>431</v>
      </c>
      <c r="EE753733" t="s">
        <v>433</v>
      </c>
      <c r="EF753733" t="s">
        <v>434</v>
      </c>
      <c r="EG753733" t="s">
        <v>435</v>
      </c>
      <c r="EH753733" t="s">
        <v>436</v>
      </c>
      <c r="EI753733" t="s">
        <v>437</v>
      </c>
      <c r="EJ753733" t="s">
        <v>438</v>
      </c>
      <c r="EK753733" t="s">
        <v>439</v>
      </c>
      <c r="EL753733" t="s">
        <v>441</v>
      </c>
      <c r="EM753733" t="s">
        <v>442</v>
      </c>
      <c r="EN753733" t="s">
        <v>443</v>
      </c>
      <c r="EO753733" t="s">
        <v>444</v>
      </c>
      <c r="EP753733" t="s">
        <v>445</v>
      </c>
    </row>
    <row r="753734" spans="2:146">
      <c r="BQ753734">
        <v>67</v>
      </c>
      <c r="BR753734">
        <v>68</v>
      </c>
      <c r="BS753734">
        <v>69</v>
      </c>
      <c r="BT753734">
        <v>70</v>
      </c>
      <c r="BU753734">
        <v>71</v>
      </c>
      <c r="BV753734">
        <v>72</v>
      </c>
      <c r="BW753734">
        <v>73</v>
      </c>
      <c r="BX753734">
        <v>74</v>
      </c>
      <c r="BY753734">
        <v>75</v>
      </c>
      <c r="BZ753734">
        <v>76</v>
      </c>
      <c r="CA753734">
        <v>77</v>
      </c>
      <c r="CB753734">
        <v>78</v>
      </c>
      <c r="CC753734">
        <v>79</v>
      </c>
      <c r="CD753734">
        <v>80</v>
      </c>
      <c r="CE753734">
        <v>81</v>
      </c>
      <c r="CF753734">
        <v>82</v>
      </c>
      <c r="CG753734">
        <v>83</v>
      </c>
      <c r="CH753734">
        <v>84</v>
      </c>
      <c r="CI753734">
        <v>85</v>
      </c>
      <c r="CJ753734">
        <v>86</v>
      </c>
      <c r="CK753734">
        <v>87</v>
      </c>
      <c r="CL753734">
        <v>88</v>
      </c>
      <c r="CM753734">
        <v>89</v>
      </c>
      <c r="CN753734">
        <v>90</v>
      </c>
      <c r="CO753734">
        <v>91</v>
      </c>
      <c r="CP753734">
        <v>92</v>
      </c>
      <c r="CQ753734">
        <v>93</v>
      </c>
      <c r="CR753734">
        <v>94</v>
      </c>
      <c r="CS753734">
        <v>95</v>
      </c>
      <c r="CT753734">
        <v>96</v>
      </c>
      <c r="CU753734">
        <v>97</v>
      </c>
      <c r="CV753734">
        <v>98</v>
      </c>
      <c r="CW753734">
        <v>99</v>
      </c>
      <c r="CX753734">
        <v>100</v>
      </c>
      <c r="CY753734">
        <v>101</v>
      </c>
      <c r="CZ753734">
        <v>102</v>
      </c>
      <c r="DA753734">
        <v>103</v>
      </c>
      <c r="DB753734">
        <v>104</v>
      </c>
      <c r="DC753734">
        <v>105</v>
      </c>
      <c r="DD753734">
        <v>106</v>
      </c>
      <c r="DE753734">
        <v>107</v>
      </c>
      <c r="DF753734">
        <v>108</v>
      </c>
      <c r="DG753734">
        <v>109</v>
      </c>
      <c r="DH753734">
        <v>110</v>
      </c>
      <c r="DI753734">
        <v>111</v>
      </c>
      <c r="DJ753734">
        <v>112</v>
      </c>
      <c r="DK753734">
        <v>113</v>
      </c>
      <c r="DL753734">
        <v>114</v>
      </c>
      <c r="DM753734">
        <v>115</v>
      </c>
      <c r="DN753734">
        <v>116</v>
      </c>
      <c r="DO753734">
        <v>117</v>
      </c>
      <c r="DP753734">
        <v>118</v>
      </c>
      <c r="DQ753734">
        <v>119</v>
      </c>
      <c r="DR753734">
        <v>120</v>
      </c>
      <c r="DS753734">
        <v>121</v>
      </c>
      <c r="DT753734">
        <v>122</v>
      </c>
      <c r="DU753734">
        <v>123</v>
      </c>
      <c r="DV753734">
        <v>124</v>
      </c>
      <c r="DW753734">
        <v>125</v>
      </c>
      <c r="DX753734">
        <v>126</v>
      </c>
      <c r="DY753734">
        <v>127</v>
      </c>
      <c r="DZ753734">
        <v>128</v>
      </c>
      <c r="EA753734">
        <v>129</v>
      </c>
      <c r="EB753734">
        <v>130</v>
      </c>
      <c r="EC753734">
        <v>131</v>
      </c>
      <c r="ED753734">
        <v>132</v>
      </c>
      <c r="EE753734">
        <v>133</v>
      </c>
      <c r="EF753734">
        <v>134</v>
      </c>
      <c r="EG753734">
        <v>135</v>
      </c>
      <c r="EH753734">
        <v>136</v>
      </c>
      <c r="EI753734">
        <v>137</v>
      </c>
      <c r="EJ753734">
        <v>138</v>
      </c>
      <c r="EK753734">
        <v>139</v>
      </c>
      <c r="EL753734">
        <v>140</v>
      </c>
      <c r="EM753734">
        <v>141</v>
      </c>
      <c r="EN753734">
        <v>142</v>
      </c>
      <c r="EO753734">
        <v>143</v>
      </c>
      <c r="EP753734">
        <v>144</v>
      </c>
    </row>
    <row r="753735" spans="2:146">
      <c r="CE753735" t="s">
        <v>451</v>
      </c>
    </row>
    <row r="770050" spans="2:2">
      <c r="B770050">
        <v>200</v>
      </c>
    </row>
    <row r="770051" spans="2:2">
      <c r="B770051">
        <v>200</v>
      </c>
    </row>
    <row r="770052" spans="2:2">
      <c r="B770052">
        <v>800</v>
      </c>
    </row>
    <row r="770053" spans="2:2">
      <c r="B770053">
        <v>200</v>
      </c>
    </row>
    <row r="770054" spans="2:2">
      <c r="B770054">
        <v>1044</v>
      </c>
    </row>
    <row r="770055" spans="2:2">
      <c r="B770055">
        <v>998.40000000000009</v>
      </c>
    </row>
    <row r="770056" spans="2:2">
      <c r="B770056">
        <v>272</v>
      </c>
    </row>
    <row r="770057" spans="2:2">
      <c r="B770057">
        <v>200</v>
      </c>
    </row>
    <row r="770058" spans="2:2">
      <c r="B770058">
        <v>214</v>
      </c>
    </row>
    <row r="770059" spans="2:2">
      <c r="B770059">
        <v>200</v>
      </c>
    </row>
    <row r="770060" spans="2:2">
      <c r="B770060">
        <v>152</v>
      </c>
    </row>
    <row r="770061" spans="2:2">
      <c r="B770061">
        <v>200</v>
      </c>
    </row>
    <row r="770062" spans="2:2">
      <c r="B770062">
        <v>300</v>
      </c>
    </row>
    <row r="770063" spans="2:2">
      <c r="B770063">
        <v>104</v>
      </c>
    </row>
    <row r="770064" spans="2:2">
      <c r="B770064">
        <v>162</v>
      </c>
    </row>
    <row r="770065" spans="2:2">
      <c r="B770065">
        <v>200</v>
      </c>
    </row>
    <row r="770066" spans="2:2">
      <c r="B770066">
        <v>200</v>
      </c>
    </row>
    <row r="770067" spans="2:2">
      <c r="B770067">
        <v>200</v>
      </c>
    </row>
    <row r="770068" spans="2:2">
      <c r="B770068">
        <v>200</v>
      </c>
    </row>
    <row r="770069" spans="2:2">
      <c r="B770069">
        <v>200</v>
      </c>
    </row>
    <row r="770070" spans="2:2">
      <c r="B770070">
        <v>200</v>
      </c>
    </row>
    <row r="770071" spans="2:2">
      <c r="B770071">
        <v>200</v>
      </c>
    </row>
    <row r="770072" spans="2:2">
      <c r="B770072">
        <v>200</v>
      </c>
    </row>
    <row r="770073" spans="2:2">
      <c r="B770073">
        <v>800</v>
      </c>
    </row>
    <row r="770074" spans="2:2">
      <c r="B770074">
        <v>300</v>
      </c>
    </row>
    <row r="770075" spans="2:2">
      <c r="B770075">
        <v>778</v>
      </c>
    </row>
    <row r="770076" spans="2:2">
      <c r="B770076">
        <v>614</v>
      </c>
    </row>
    <row r="770077" spans="2:2">
      <c r="B770077">
        <v>444</v>
      </c>
    </row>
    <row r="770078" spans="2:2">
      <c r="B770078">
        <v>800</v>
      </c>
    </row>
    <row r="770079" spans="2:2">
      <c r="B770079">
        <v>200</v>
      </c>
    </row>
    <row r="770080" spans="2:2">
      <c r="B770080">
        <v>780</v>
      </c>
    </row>
    <row r="770081" spans="2:146">
      <c r="B770081">
        <v>174</v>
      </c>
    </row>
    <row r="770082" spans="2:146">
      <c r="B770082">
        <v>194</v>
      </c>
    </row>
    <row r="770083" spans="2:146">
      <c r="B770083">
        <v>782</v>
      </c>
    </row>
    <row r="770084" spans="2:146">
      <c r="B770084">
        <v>236</v>
      </c>
    </row>
    <row r="770085" spans="2:146">
      <c r="B770085">
        <v>144</v>
      </c>
    </row>
    <row r="770086" spans="2:146">
      <c r="B770086">
        <v>200</v>
      </c>
    </row>
    <row r="770087" spans="2:146">
      <c r="B770087">
        <v>240</v>
      </c>
    </row>
    <row r="770088" spans="2:146">
      <c r="B770088">
        <v>200</v>
      </c>
    </row>
    <row r="770089" spans="2:146">
      <c r="B770089">
        <v>612</v>
      </c>
    </row>
    <row r="770090" spans="2:146">
      <c r="B770090">
        <v>156</v>
      </c>
    </row>
    <row r="770091" spans="2:146">
      <c r="B770091">
        <v>116</v>
      </c>
    </row>
    <row r="770092" spans="2:146">
      <c r="B770092">
        <v>160</v>
      </c>
    </row>
    <row r="770093" spans="2:146">
      <c r="B770093">
        <v>80</v>
      </c>
      <c r="EL770093">
        <v>0.66</v>
      </c>
      <c r="EM770093">
        <v>0.66</v>
      </c>
      <c r="EN770093">
        <v>0.66</v>
      </c>
      <c r="EO770093">
        <v>0.66</v>
      </c>
      <c r="EP770093">
        <v>0.66</v>
      </c>
    </row>
    <row r="770094" spans="2:146">
      <c r="B770094">
        <v>1144</v>
      </c>
      <c r="BV770094">
        <v>5.0999999999999996</v>
      </c>
      <c r="BW770094">
        <v>5.0999999999999996</v>
      </c>
      <c r="DB770094">
        <v>10.210000000000001</v>
      </c>
      <c r="DC770094">
        <v>10.210000000000001</v>
      </c>
      <c r="DD770094">
        <v>10.210000000000001</v>
      </c>
      <c r="DE770094">
        <v>10.210000000000001</v>
      </c>
      <c r="DF770094">
        <v>10.210000000000001</v>
      </c>
      <c r="DG770094">
        <v>10.210000000000001</v>
      </c>
      <c r="DH770094">
        <v>10.210000000000001</v>
      </c>
    </row>
    <row r="770095" spans="2:146">
      <c r="B770095">
        <v>1240</v>
      </c>
      <c r="EE770095">
        <v>8.15</v>
      </c>
      <c r="EF770095">
        <v>8.15</v>
      </c>
      <c r="EG770095">
        <v>8.15</v>
      </c>
      <c r="EH770095">
        <v>8.15</v>
      </c>
      <c r="EI770095">
        <v>8.15</v>
      </c>
      <c r="EJ770095">
        <v>8.15</v>
      </c>
      <c r="EK770095">
        <v>8.15</v>
      </c>
    </row>
    <row r="770096" spans="2:146">
      <c r="B770096">
        <v>2083.2000000000003</v>
      </c>
      <c r="DI770096">
        <v>20.03</v>
      </c>
      <c r="DJ770096">
        <v>20.03</v>
      </c>
      <c r="DQ770096">
        <v>20.03</v>
      </c>
      <c r="DT770096">
        <v>20.03</v>
      </c>
      <c r="DW770096">
        <v>20.03</v>
      </c>
    </row>
    <row r="770097" spans="2:134">
      <c r="B770097">
        <v>357.20000000000005</v>
      </c>
      <c r="DI770097">
        <v>3.88</v>
      </c>
      <c r="DJ770097">
        <v>3.88</v>
      </c>
      <c r="DV770097">
        <v>3.88</v>
      </c>
      <c r="DW770097">
        <v>3.88</v>
      </c>
    </row>
    <row r="770098" spans="2:134">
      <c r="B770098">
        <v>391.20000000000005</v>
      </c>
      <c r="DI770098">
        <v>3.62</v>
      </c>
      <c r="DJ770098">
        <v>3.62</v>
      </c>
      <c r="DR770098">
        <v>3.62</v>
      </c>
      <c r="DU770098">
        <v>3.62</v>
      </c>
      <c r="DV770098">
        <v>3.62</v>
      </c>
    </row>
    <row r="770099" spans="2:134">
      <c r="B770099">
        <v>762.80000000000007</v>
      </c>
      <c r="DI770099">
        <v>6.15</v>
      </c>
      <c r="DJ770099">
        <v>6.15</v>
      </c>
      <c r="DQ770099">
        <v>6.15</v>
      </c>
      <c r="DR770099">
        <v>6.15</v>
      </c>
      <c r="DS770099">
        <v>6.15</v>
      </c>
      <c r="DT770099">
        <v>6.15</v>
      </c>
    </row>
    <row r="770100" spans="2:134">
      <c r="B770100">
        <v>1280</v>
      </c>
      <c r="DI770100">
        <v>10.66</v>
      </c>
      <c r="DJ770100">
        <v>10.66</v>
      </c>
      <c r="DK770100">
        <v>10.66</v>
      </c>
      <c r="DL770100">
        <v>10.66</v>
      </c>
      <c r="DM770100">
        <v>10.66</v>
      </c>
      <c r="DN770100">
        <v>10.66</v>
      </c>
    </row>
    <row r="770101" spans="2:134">
      <c r="B770101">
        <v>234</v>
      </c>
      <c r="CT770101">
        <v>2.5</v>
      </c>
      <c r="CU770101">
        <v>2.5</v>
      </c>
      <c r="CV770101">
        <v>2.5</v>
      </c>
    </row>
    <row r="770102" spans="2:134">
      <c r="B770102">
        <v>354</v>
      </c>
      <c r="CY770102">
        <v>3.98</v>
      </c>
      <c r="CZ770102">
        <v>3.98</v>
      </c>
      <c r="DA770102">
        <v>3.98</v>
      </c>
    </row>
    <row r="770103" spans="2:134">
      <c r="B770103">
        <v>392</v>
      </c>
      <c r="DI770103">
        <v>3.52</v>
      </c>
      <c r="DJ770103">
        <v>3.52</v>
      </c>
      <c r="DL770103">
        <v>3.52</v>
      </c>
      <c r="DO770103">
        <v>3.52</v>
      </c>
    </row>
    <row r="770104" spans="2:134">
      <c r="B770104">
        <v>304</v>
      </c>
      <c r="CE770104">
        <v>3.8</v>
      </c>
      <c r="CF770104">
        <v>3.8</v>
      </c>
    </row>
    <row r="770105" spans="2:134">
      <c r="B770105">
        <v>144</v>
      </c>
      <c r="DZ770105">
        <v>1.62</v>
      </c>
      <c r="EA770105">
        <v>1.62</v>
      </c>
      <c r="EB770105">
        <v>1.62</v>
      </c>
      <c r="EC770105">
        <v>0.81</v>
      </c>
      <c r="ED770105">
        <v>0.81</v>
      </c>
    </row>
    <row r="770106" spans="2:134">
      <c r="B770106">
        <v>602.40000000000009</v>
      </c>
      <c r="BY770106">
        <v>6.02</v>
      </c>
      <c r="BZ770106">
        <v>6.02</v>
      </c>
      <c r="CB770106">
        <v>3.01</v>
      </c>
      <c r="CC770106">
        <v>3.01</v>
      </c>
      <c r="CD770106">
        <v>3.01</v>
      </c>
      <c r="CI770106">
        <v>6.02</v>
      </c>
      <c r="CJ770106">
        <v>6.02</v>
      </c>
      <c r="CK770106">
        <v>6.02</v>
      </c>
    </row>
    <row r="770107" spans="2:134">
      <c r="B770107">
        <v>307.60000000000002</v>
      </c>
      <c r="BY770107">
        <v>3.34</v>
      </c>
      <c r="BZ770107">
        <v>3.34</v>
      </c>
      <c r="CG770107">
        <v>3.34</v>
      </c>
      <c r="CH770107">
        <v>3.34</v>
      </c>
    </row>
    <row r="770108" spans="2:134">
      <c r="B770108">
        <v>358</v>
      </c>
      <c r="BY770108">
        <v>2.37</v>
      </c>
      <c r="BZ770108">
        <v>2.37</v>
      </c>
      <c r="CA770108">
        <v>2.37</v>
      </c>
      <c r="DX770108">
        <v>4.74</v>
      </c>
      <c r="DY770108">
        <v>4.74</v>
      </c>
    </row>
    <row r="770109" spans="2:134">
      <c r="B770109">
        <v>286</v>
      </c>
      <c r="BT770109">
        <v>1.43</v>
      </c>
      <c r="BV770109">
        <v>1.43</v>
      </c>
      <c r="BW770109">
        <v>1.43</v>
      </c>
      <c r="BX770109">
        <v>1.43</v>
      </c>
      <c r="CO770109">
        <v>2.86</v>
      </c>
      <c r="CP770109">
        <v>2.86</v>
      </c>
      <c r="CQ770109">
        <v>2.86</v>
      </c>
      <c r="CR770109">
        <v>2.86</v>
      </c>
      <c r="CS770109">
        <v>2.86</v>
      </c>
    </row>
    <row r="770110" spans="2:134">
      <c r="B770110">
        <v>410</v>
      </c>
      <c r="BY770110">
        <v>2.88</v>
      </c>
      <c r="BZ770110">
        <v>2.88</v>
      </c>
      <c r="CA770110">
        <v>2.88</v>
      </c>
      <c r="CW770110">
        <v>5.76</v>
      </c>
      <c r="CX770110">
        <v>5.76</v>
      </c>
    </row>
    <row r="770111" spans="2:134">
      <c r="B770111">
        <v>346</v>
      </c>
      <c r="BR770111">
        <v>3.6</v>
      </c>
      <c r="BS770111">
        <v>3.6</v>
      </c>
      <c r="BT770111">
        <v>1.8</v>
      </c>
      <c r="CL770111">
        <v>3.6</v>
      </c>
      <c r="CM770111">
        <v>3.6</v>
      </c>
      <c r="CN770111">
        <v>3.6</v>
      </c>
    </row>
    <row r="770112" spans="2:134">
      <c r="B770112">
        <v>302</v>
      </c>
      <c r="BR770112">
        <v>3.28</v>
      </c>
      <c r="BS770112">
        <v>3.28</v>
      </c>
      <c r="BT770112">
        <v>1.64</v>
      </c>
      <c r="BU770112">
        <v>1.64</v>
      </c>
      <c r="CL770112">
        <v>3.28</v>
      </c>
      <c r="CM770112">
        <v>3.28</v>
      </c>
      <c r="CN770112">
        <v>3.28</v>
      </c>
    </row>
    <row r="770113" spans="2:146">
      <c r="B770113">
        <v>204</v>
      </c>
      <c r="BR770113">
        <v>2.12</v>
      </c>
      <c r="BS770113">
        <v>2.12</v>
      </c>
      <c r="BT770113">
        <v>1.06</v>
      </c>
      <c r="CL770113">
        <v>2.12</v>
      </c>
      <c r="CM770113">
        <v>2.12</v>
      </c>
      <c r="CN770113">
        <v>2.12</v>
      </c>
    </row>
    <row r="770115" spans="2:146">
      <c r="B770115">
        <v>26358.800000000003</v>
      </c>
      <c r="BQ770115">
        <v>0</v>
      </c>
      <c r="BR770115">
        <v>9</v>
      </c>
      <c r="BS770115">
        <v>9</v>
      </c>
      <c r="BT770115">
        <v>5.93</v>
      </c>
      <c r="BU770115">
        <v>1.64</v>
      </c>
      <c r="BV770115">
        <v>6.5299999999999994</v>
      </c>
      <c r="BW770115">
        <v>6.5299999999999994</v>
      </c>
      <c r="BX770115">
        <v>1.43</v>
      </c>
      <c r="BY770115">
        <v>14.61</v>
      </c>
      <c r="BZ770115">
        <v>14.61</v>
      </c>
      <c r="CA770115">
        <v>5.25</v>
      </c>
      <c r="CB770115">
        <v>3.01</v>
      </c>
      <c r="CC770115">
        <v>3.01</v>
      </c>
      <c r="CD770115">
        <v>3.01</v>
      </c>
      <c r="CE770115">
        <v>3.8</v>
      </c>
      <c r="CF770115">
        <v>3.8</v>
      </c>
      <c r="CG770115">
        <v>3.34</v>
      </c>
      <c r="CH770115">
        <v>3.34</v>
      </c>
      <c r="CI770115">
        <v>6.02</v>
      </c>
      <c r="CJ770115">
        <v>6.02</v>
      </c>
      <c r="CK770115">
        <v>6.02</v>
      </c>
      <c r="CL770115">
        <v>9</v>
      </c>
      <c r="CM770115">
        <v>9</v>
      </c>
      <c r="CN770115">
        <v>9</v>
      </c>
      <c r="CO770115">
        <v>2.86</v>
      </c>
      <c r="CP770115">
        <v>2.86</v>
      </c>
      <c r="CQ770115">
        <v>2.86</v>
      </c>
      <c r="CR770115">
        <v>2.86</v>
      </c>
      <c r="CS770115">
        <v>2.86</v>
      </c>
      <c r="CT770115">
        <v>2.5</v>
      </c>
      <c r="CU770115">
        <v>2.5</v>
      </c>
      <c r="CV770115">
        <v>2.5</v>
      </c>
      <c r="CW770115">
        <v>5.76</v>
      </c>
      <c r="CX770115">
        <v>5.76</v>
      </c>
      <c r="CY770115">
        <v>3.98</v>
      </c>
      <c r="CZ770115">
        <v>3.98</v>
      </c>
      <c r="DA770115">
        <v>3.98</v>
      </c>
      <c r="DB770115">
        <v>10.210000000000001</v>
      </c>
      <c r="DC770115">
        <v>10.210000000000001</v>
      </c>
      <c r="DD770115">
        <v>10.210000000000001</v>
      </c>
      <c r="DE770115">
        <v>10.210000000000001</v>
      </c>
      <c r="DF770115">
        <v>10.210000000000001</v>
      </c>
      <c r="DG770115">
        <v>10.210000000000001</v>
      </c>
      <c r="DH770115">
        <v>10.210000000000001</v>
      </c>
      <c r="DI770115">
        <v>47.860000000000007</v>
      </c>
      <c r="DJ770115">
        <v>47.860000000000007</v>
      </c>
      <c r="DK770115">
        <v>10.66</v>
      </c>
      <c r="DL770115">
        <v>14.18</v>
      </c>
      <c r="DM770115">
        <v>10.66</v>
      </c>
      <c r="DN770115">
        <v>10.66</v>
      </c>
      <c r="DO770115">
        <v>3.52</v>
      </c>
      <c r="DP770115">
        <v>0</v>
      </c>
      <c r="DQ770115">
        <v>26.18</v>
      </c>
      <c r="DR770115">
        <v>9.77</v>
      </c>
      <c r="DS770115">
        <v>6.15</v>
      </c>
      <c r="DT770115">
        <v>26.18</v>
      </c>
      <c r="DU770115">
        <v>3.62</v>
      </c>
      <c r="DV770115">
        <v>7.5</v>
      </c>
      <c r="DW770115">
        <v>23.91</v>
      </c>
      <c r="DX770115">
        <v>4.74</v>
      </c>
      <c r="DY770115">
        <v>4.74</v>
      </c>
      <c r="DZ770115">
        <v>1.62</v>
      </c>
      <c r="EA770115">
        <v>1.62</v>
      </c>
      <c r="EB770115">
        <v>1.62</v>
      </c>
      <c r="EC770115">
        <v>0.81</v>
      </c>
      <c r="ED770115">
        <v>0.81</v>
      </c>
      <c r="EE770115">
        <v>8.15</v>
      </c>
      <c r="EF770115">
        <v>8.15</v>
      </c>
      <c r="EG770115">
        <v>8.15</v>
      </c>
      <c r="EH770115">
        <v>8.15</v>
      </c>
      <c r="EI770115">
        <v>8.15</v>
      </c>
      <c r="EJ770115">
        <v>8.15</v>
      </c>
      <c r="EK770115">
        <v>8.15</v>
      </c>
      <c r="EL770115">
        <v>0.66</v>
      </c>
      <c r="EM770115">
        <v>0.66</v>
      </c>
      <c r="EN770115">
        <v>0.66</v>
      </c>
      <c r="EO770115">
        <v>0.66</v>
      </c>
      <c r="EP770115">
        <v>0.66</v>
      </c>
    </row>
    <row r="770116" spans="2:146">
      <c r="B770116" t="s">
        <v>265</v>
      </c>
      <c r="BQ770116" t="s">
        <v>345</v>
      </c>
      <c r="BR770116" t="s">
        <v>131</v>
      </c>
      <c r="BS770116" t="s">
        <v>131</v>
      </c>
      <c r="BT770116" t="s">
        <v>357</v>
      </c>
      <c r="BU770116" t="s">
        <v>131</v>
      </c>
      <c r="BV770116" t="s">
        <v>360</v>
      </c>
      <c r="BW770116" t="s">
        <v>360</v>
      </c>
      <c r="BX770116" t="s">
        <v>360</v>
      </c>
      <c r="BY770116" t="s">
        <v>364</v>
      </c>
      <c r="BZ770116" t="s">
        <v>364</v>
      </c>
      <c r="CA770116" t="s">
        <v>364</v>
      </c>
      <c r="CB770116" t="s">
        <v>368</v>
      </c>
      <c r="CC770116" t="s">
        <v>368</v>
      </c>
      <c r="CD770116" t="s">
        <v>368</v>
      </c>
      <c r="CE770116" t="s">
        <v>352</v>
      </c>
      <c r="CF770116" t="s">
        <v>352</v>
      </c>
      <c r="CG770116" t="s">
        <v>372</v>
      </c>
      <c r="CH770116" t="s">
        <v>372</v>
      </c>
      <c r="CI770116" t="s">
        <v>375</v>
      </c>
      <c r="CJ770116" t="s">
        <v>375</v>
      </c>
      <c r="CK770116" t="s">
        <v>375</v>
      </c>
      <c r="CL770116" t="s">
        <v>379</v>
      </c>
      <c r="CM770116" t="s">
        <v>379</v>
      </c>
      <c r="CN770116" t="s">
        <v>379</v>
      </c>
      <c r="CO770116" t="s">
        <v>383</v>
      </c>
      <c r="CP770116" t="s">
        <v>383</v>
      </c>
      <c r="CQ770116" t="s">
        <v>383</v>
      </c>
      <c r="CR770116" t="s">
        <v>383</v>
      </c>
      <c r="CS770116" t="s">
        <v>383</v>
      </c>
      <c r="CT770116" t="s">
        <v>389</v>
      </c>
      <c r="CU770116" t="s">
        <v>389</v>
      </c>
      <c r="CV770116" t="s">
        <v>389</v>
      </c>
      <c r="CW770116" t="s">
        <v>393</v>
      </c>
      <c r="CX770116" t="s">
        <v>393</v>
      </c>
      <c r="CY770116" t="s">
        <v>396</v>
      </c>
      <c r="CZ770116" t="s">
        <v>396</v>
      </c>
      <c r="DA770116" t="s">
        <v>396</v>
      </c>
      <c r="DB770116" t="s">
        <v>400</v>
      </c>
      <c r="DC770116" t="s">
        <v>400</v>
      </c>
      <c r="DD770116" t="s">
        <v>400</v>
      </c>
      <c r="DE770116" t="s">
        <v>400</v>
      </c>
      <c r="DF770116" t="s">
        <v>400</v>
      </c>
      <c r="DG770116" t="s">
        <v>400</v>
      </c>
      <c r="DH770116" t="s">
        <v>400</v>
      </c>
      <c r="DI770116" t="s">
        <v>121</v>
      </c>
      <c r="DJ770116" t="s">
        <v>121</v>
      </c>
      <c r="DK770116" t="s">
        <v>121</v>
      </c>
      <c r="DL770116" t="s">
        <v>121</v>
      </c>
      <c r="DM770116" t="s">
        <v>121</v>
      </c>
      <c r="DN770116" t="s">
        <v>121</v>
      </c>
      <c r="DO770116" t="s">
        <v>121</v>
      </c>
      <c r="DP770116" t="s">
        <v>121</v>
      </c>
      <c r="DQ770116" t="s">
        <v>121</v>
      </c>
      <c r="DR770116" t="s">
        <v>121</v>
      </c>
      <c r="DS770116" t="s">
        <v>121</v>
      </c>
      <c r="DT770116" t="s">
        <v>121</v>
      </c>
      <c r="DU770116" t="s">
        <v>121</v>
      </c>
      <c r="DV770116" t="s">
        <v>121</v>
      </c>
      <c r="DW770116" t="s">
        <v>121</v>
      </c>
      <c r="DX770116" t="s">
        <v>423</v>
      </c>
      <c r="DY770116" t="s">
        <v>423</v>
      </c>
      <c r="DZ770116" t="s">
        <v>426</v>
      </c>
      <c r="EA770116" t="s">
        <v>426</v>
      </c>
      <c r="EB770116" t="s">
        <v>426</v>
      </c>
      <c r="EC770116" t="s">
        <v>426</v>
      </c>
      <c r="ED770116" t="s">
        <v>426</v>
      </c>
      <c r="EE770116" t="s">
        <v>432</v>
      </c>
      <c r="EF770116" t="s">
        <v>432</v>
      </c>
      <c r="EG770116" t="s">
        <v>432</v>
      </c>
      <c r="EH770116" t="s">
        <v>432</v>
      </c>
      <c r="EI770116" t="s">
        <v>432</v>
      </c>
      <c r="EJ770116" t="s">
        <v>432</v>
      </c>
      <c r="EK770116" t="s">
        <v>432</v>
      </c>
      <c r="EL770116" t="s">
        <v>440</v>
      </c>
      <c r="EM770116" t="s">
        <v>440</v>
      </c>
      <c r="EN770116" t="s">
        <v>440</v>
      </c>
      <c r="EO770116" t="s">
        <v>440</v>
      </c>
      <c r="EP770116" t="s">
        <v>440</v>
      </c>
    </row>
    <row r="770117" spans="2:146">
      <c r="BQ770117" t="s">
        <v>351</v>
      </c>
      <c r="BR770117" t="s">
        <v>355</v>
      </c>
      <c r="BS770117" t="s">
        <v>356</v>
      </c>
      <c r="BT770117" t="s">
        <v>358</v>
      </c>
      <c r="BU770117" t="s">
        <v>359</v>
      </c>
      <c r="BV770117" t="s">
        <v>361</v>
      </c>
      <c r="BW770117" t="s">
        <v>362</v>
      </c>
      <c r="BX770117" t="s">
        <v>363</v>
      </c>
      <c r="BY770117" t="s">
        <v>365</v>
      </c>
      <c r="BZ770117" t="s">
        <v>366</v>
      </c>
      <c r="CA770117" t="s">
        <v>367</v>
      </c>
      <c r="CB770117" t="s">
        <v>369</v>
      </c>
      <c r="CC770117" t="s">
        <v>370</v>
      </c>
      <c r="CD770117" t="s">
        <v>371</v>
      </c>
      <c r="CE770117" t="s">
        <v>353</v>
      </c>
      <c r="CF770117" t="s">
        <v>354</v>
      </c>
      <c r="CG770117" t="s">
        <v>373</v>
      </c>
      <c r="CH770117" t="s">
        <v>374</v>
      </c>
      <c r="CI770117" t="s">
        <v>376</v>
      </c>
      <c r="CJ770117" t="s">
        <v>377</v>
      </c>
      <c r="CK770117" t="s">
        <v>378</v>
      </c>
      <c r="CL770117" t="s">
        <v>380</v>
      </c>
      <c r="CM770117" t="s">
        <v>381</v>
      </c>
      <c r="CN770117" t="s">
        <v>382</v>
      </c>
      <c r="CO770117" t="s">
        <v>384</v>
      </c>
      <c r="CP770117" t="s">
        <v>385</v>
      </c>
      <c r="CQ770117" t="s">
        <v>386</v>
      </c>
      <c r="CR770117" t="s">
        <v>387</v>
      </c>
      <c r="CS770117" t="s">
        <v>388</v>
      </c>
      <c r="CT770117" t="s">
        <v>390</v>
      </c>
      <c r="CU770117" t="s">
        <v>391</v>
      </c>
      <c r="CV770117" t="s">
        <v>392</v>
      </c>
      <c r="CW770117" t="s">
        <v>394</v>
      </c>
      <c r="CX770117" t="s">
        <v>395</v>
      </c>
      <c r="CY770117" t="s">
        <v>397</v>
      </c>
      <c r="CZ770117" t="s">
        <v>398</v>
      </c>
      <c r="DA770117" t="s">
        <v>399</v>
      </c>
      <c r="DB770117" t="s">
        <v>401</v>
      </c>
      <c r="DC770117" t="s">
        <v>402</v>
      </c>
      <c r="DD770117" t="s">
        <v>403</v>
      </c>
      <c r="DE770117" t="s">
        <v>404</v>
      </c>
      <c r="DF770117" t="s">
        <v>405</v>
      </c>
      <c r="DG770117" t="s">
        <v>406</v>
      </c>
      <c r="DH770117" t="s">
        <v>407</v>
      </c>
      <c r="DI770117" t="s">
        <v>408</v>
      </c>
      <c r="DJ770117" t="s">
        <v>409</v>
      </c>
      <c r="DK770117" t="s">
        <v>410</v>
      </c>
      <c r="DL770117" t="s">
        <v>411</v>
      </c>
      <c r="DM770117" t="s">
        <v>412</v>
      </c>
      <c r="DN770117" t="s">
        <v>413</v>
      </c>
      <c r="DO770117" t="s">
        <v>414</v>
      </c>
      <c r="DP770117" t="s">
        <v>415</v>
      </c>
      <c r="DQ770117" t="s">
        <v>416</v>
      </c>
      <c r="DR770117" t="s">
        <v>417</v>
      </c>
      <c r="DS770117" t="s">
        <v>418</v>
      </c>
      <c r="DT770117" t="s">
        <v>419</v>
      </c>
      <c r="DU770117" t="s">
        <v>420</v>
      </c>
      <c r="DV770117" t="s">
        <v>421</v>
      </c>
      <c r="DW770117" t="s">
        <v>422</v>
      </c>
      <c r="DX770117" t="s">
        <v>424</v>
      </c>
      <c r="DY770117" t="s">
        <v>425</v>
      </c>
      <c r="DZ770117" t="s">
        <v>427</v>
      </c>
      <c r="EA770117" t="s">
        <v>428</v>
      </c>
      <c r="EB770117" t="s">
        <v>429</v>
      </c>
      <c r="EC770117" t="s">
        <v>430</v>
      </c>
      <c r="ED770117" t="s">
        <v>431</v>
      </c>
      <c r="EE770117" t="s">
        <v>433</v>
      </c>
      <c r="EF770117" t="s">
        <v>434</v>
      </c>
      <c r="EG770117" t="s">
        <v>435</v>
      </c>
      <c r="EH770117" t="s">
        <v>436</v>
      </c>
      <c r="EI770117" t="s">
        <v>437</v>
      </c>
      <c r="EJ770117" t="s">
        <v>438</v>
      </c>
      <c r="EK770117" t="s">
        <v>439</v>
      </c>
      <c r="EL770117" t="s">
        <v>441</v>
      </c>
      <c r="EM770117" t="s">
        <v>442</v>
      </c>
      <c r="EN770117" t="s">
        <v>443</v>
      </c>
      <c r="EO770117" t="s">
        <v>444</v>
      </c>
      <c r="EP770117" t="s">
        <v>445</v>
      </c>
    </row>
    <row r="770118" spans="2:146">
      <c r="BQ770118">
        <v>67</v>
      </c>
      <c r="BR770118">
        <v>68</v>
      </c>
      <c r="BS770118">
        <v>69</v>
      </c>
      <c r="BT770118">
        <v>70</v>
      </c>
      <c r="BU770118">
        <v>71</v>
      </c>
      <c r="BV770118">
        <v>72</v>
      </c>
      <c r="BW770118">
        <v>73</v>
      </c>
      <c r="BX770118">
        <v>74</v>
      </c>
      <c r="BY770118">
        <v>75</v>
      </c>
      <c r="BZ770118">
        <v>76</v>
      </c>
      <c r="CA770118">
        <v>77</v>
      </c>
      <c r="CB770118">
        <v>78</v>
      </c>
      <c r="CC770118">
        <v>79</v>
      </c>
      <c r="CD770118">
        <v>80</v>
      </c>
      <c r="CE770118">
        <v>81</v>
      </c>
      <c r="CF770118">
        <v>82</v>
      </c>
      <c r="CG770118">
        <v>83</v>
      </c>
      <c r="CH770118">
        <v>84</v>
      </c>
      <c r="CI770118">
        <v>85</v>
      </c>
      <c r="CJ770118">
        <v>86</v>
      </c>
      <c r="CK770118">
        <v>87</v>
      </c>
      <c r="CL770118">
        <v>88</v>
      </c>
      <c r="CM770118">
        <v>89</v>
      </c>
      <c r="CN770118">
        <v>90</v>
      </c>
      <c r="CO770118">
        <v>91</v>
      </c>
      <c r="CP770118">
        <v>92</v>
      </c>
      <c r="CQ770118">
        <v>93</v>
      </c>
      <c r="CR770118">
        <v>94</v>
      </c>
      <c r="CS770118">
        <v>95</v>
      </c>
      <c r="CT770118">
        <v>96</v>
      </c>
      <c r="CU770118">
        <v>97</v>
      </c>
      <c r="CV770118">
        <v>98</v>
      </c>
      <c r="CW770118">
        <v>99</v>
      </c>
      <c r="CX770118">
        <v>100</v>
      </c>
      <c r="CY770118">
        <v>101</v>
      </c>
      <c r="CZ770118">
        <v>102</v>
      </c>
      <c r="DA770118">
        <v>103</v>
      </c>
      <c r="DB770118">
        <v>104</v>
      </c>
      <c r="DC770118">
        <v>105</v>
      </c>
      <c r="DD770118">
        <v>106</v>
      </c>
      <c r="DE770118">
        <v>107</v>
      </c>
      <c r="DF770118">
        <v>108</v>
      </c>
      <c r="DG770118">
        <v>109</v>
      </c>
      <c r="DH770118">
        <v>110</v>
      </c>
      <c r="DI770118">
        <v>111</v>
      </c>
      <c r="DJ770118">
        <v>112</v>
      </c>
      <c r="DK770118">
        <v>113</v>
      </c>
      <c r="DL770118">
        <v>114</v>
      </c>
      <c r="DM770118">
        <v>115</v>
      </c>
      <c r="DN770118">
        <v>116</v>
      </c>
      <c r="DO770118">
        <v>117</v>
      </c>
      <c r="DP770118">
        <v>118</v>
      </c>
      <c r="DQ770118">
        <v>119</v>
      </c>
      <c r="DR770118">
        <v>120</v>
      </c>
      <c r="DS770118">
        <v>121</v>
      </c>
      <c r="DT770118">
        <v>122</v>
      </c>
      <c r="DU770118">
        <v>123</v>
      </c>
      <c r="DV770118">
        <v>124</v>
      </c>
      <c r="DW770118">
        <v>125</v>
      </c>
      <c r="DX770118">
        <v>126</v>
      </c>
      <c r="DY770118">
        <v>127</v>
      </c>
      <c r="DZ770118">
        <v>128</v>
      </c>
      <c r="EA770118">
        <v>129</v>
      </c>
      <c r="EB770118">
        <v>130</v>
      </c>
      <c r="EC770118">
        <v>131</v>
      </c>
      <c r="ED770118">
        <v>132</v>
      </c>
      <c r="EE770118">
        <v>133</v>
      </c>
      <c r="EF770118">
        <v>134</v>
      </c>
      <c r="EG770118">
        <v>135</v>
      </c>
      <c r="EH770118">
        <v>136</v>
      </c>
      <c r="EI770118">
        <v>137</v>
      </c>
      <c r="EJ770118">
        <v>138</v>
      </c>
      <c r="EK770118">
        <v>139</v>
      </c>
      <c r="EL770118">
        <v>140</v>
      </c>
      <c r="EM770118">
        <v>141</v>
      </c>
      <c r="EN770118">
        <v>142</v>
      </c>
      <c r="EO770118">
        <v>143</v>
      </c>
      <c r="EP770118">
        <v>144</v>
      </c>
    </row>
    <row r="770119" spans="2:146">
      <c r="CE770119" t="s">
        <v>451</v>
      </c>
    </row>
    <row r="786434" spans="2:2">
      <c r="B786434">
        <v>200</v>
      </c>
    </row>
    <row r="786435" spans="2:2">
      <c r="B786435">
        <v>200</v>
      </c>
    </row>
    <row r="786436" spans="2:2">
      <c r="B786436">
        <v>800</v>
      </c>
    </row>
    <row r="786437" spans="2:2">
      <c r="B786437">
        <v>200</v>
      </c>
    </row>
    <row r="786438" spans="2:2">
      <c r="B786438">
        <v>1044</v>
      </c>
    </row>
    <row r="786439" spans="2:2">
      <c r="B786439">
        <v>998.40000000000009</v>
      </c>
    </row>
    <row r="786440" spans="2:2">
      <c r="B786440">
        <v>272</v>
      </c>
    </row>
    <row r="786441" spans="2:2">
      <c r="B786441">
        <v>200</v>
      </c>
    </row>
    <row r="786442" spans="2:2">
      <c r="B786442">
        <v>214</v>
      </c>
    </row>
    <row r="786443" spans="2:2">
      <c r="B786443">
        <v>200</v>
      </c>
    </row>
    <row r="786444" spans="2:2">
      <c r="B786444">
        <v>152</v>
      </c>
    </row>
    <row r="786445" spans="2:2">
      <c r="B786445">
        <v>200</v>
      </c>
    </row>
    <row r="786446" spans="2:2">
      <c r="B786446">
        <v>300</v>
      </c>
    </row>
    <row r="786447" spans="2:2">
      <c r="B786447">
        <v>104</v>
      </c>
    </row>
    <row r="786448" spans="2:2">
      <c r="B786448">
        <v>162</v>
      </c>
    </row>
    <row r="786449" spans="2:2">
      <c r="B786449">
        <v>200</v>
      </c>
    </row>
    <row r="786450" spans="2:2">
      <c r="B786450">
        <v>200</v>
      </c>
    </row>
    <row r="786451" spans="2:2">
      <c r="B786451">
        <v>200</v>
      </c>
    </row>
    <row r="786452" spans="2:2">
      <c r="B786452">
        <v>200</v>
      </c>
    </row>
    <row r="786453" spans="2:2">
      <c r="B786453">
        <v>200</v>
      </c>
    </row>
    <row r="786454" spans="2:2">
      <c r="B786454">
        <v>200</v>
      </c>
    </row>
    <row r="786455" spans="2:2">
      <c r="B786455">
        <v>200</v>
      </c>
    </row>
    <row r="786456" spans="2:2">
      <c r="B786456">
        <v>200</v>
      </c>
    </row>
    <row r="786457" spans="2:2">
      <c r="B786457">
        <v>800</v>
      </c>
    </row>
    <row r="786458" spans="2:2">
      <c r="B786458">
        <v>300</v>
      </c>
    </row>
    <row r="786459" spans="2:2">
      <c r="B786459">
        <v>778</v>
      </c>
    </row>
    <row r="786460" spans="2:2">
      <c r="B786460">
        <v>614</v>
      </c>
    </row>
    <row r="786461" spans="2:2">
      <c r="B786461">
        <v>444</v>
      </c>
    </row>
    <row r="786462" spans="2:2">
      <c r="B786462">
        <v>800</v>
      </c>
    </row>
    <row r="786463" spans="2:2">
      <c r="B786463">
        <v>200</v>
      </c>
    </row>
    <row r="786464" spans="2:2">
      <c r="B786464">
        <v>780</v>
      </c>
    </row>
    <row r="786465" spans="2:146">
      <c r="B786465">
        <v>174</v>
      </c>
    </row>
    <row r="786466" spans="2:146">
      <c r="B786466">
        <v>194</v>
      </c>
    </row>
    <row r="786467" spans="2:146">
      <c r="B786467">
        <v>782</v>
      </c>
    </row>
    <row r="786468" spans="2:146">
      <c r="B786468">
        <v>236</v>
      </c>
    </row>
    <row r="786469" spans="2:146">
      <c r="B786469">
        <v>144</v>
      </c>
    </row>
    <row r="786470" spans="2:146">
      <c r="B786470">
        <v>200</v>
      </c>
    </row>
    <row r="786471" spans="2:146">
      <c r="B786471">
        <v>240</v>
      </c>
    </row>
    <row r="786472" spans="2:146">
      <c r="B786472">
        <v>200</v>
      </c>
    </row>
    <row r="786473" spans="2:146">
      <c r="B786473">
        <v>612</v>
      </c>
    </row>
    <row r="786474" spans="2:146">
      <c r="B786474">
        <v>156</v>
      </c>
    </row>
    <row r="786475" spans="2:146">
      <c r="B786475">
        <v>116</v>
      </c>
    </row>
    <row r="786476" spans="2:146">
      <c r="B786476">
        <v>160</v>
      </c>
    </row>
    <row r="786477" spans="2:146">
      <c r="B786477">
        <v>80</v>
      </c>
      <c r="EL786477">
        <v>0.66</v>
      </c>
      <c r="EM786477">
        <v>0.66</v>
      </c>
      <c r="EN786477">
        <v>0.66</v>
      </c>
      <c r="EO786477">
        <v>0.66</v>
      </c>
      <c r="EP786477">
        <v>0.66</v>
      </c>
    </row>
    <row r="786478" spans="2:146">
      <c r="B786478">
        <v>1144</v>
      </c>
      <c r="BV786478">
        <v>5.0999999999999996</v>
      </c>
      <c r="BW786478">
        <v>5.0999999999999996</v>
      </c>
      <c r="DB786478">
        <v>10.210000000000001</v>
      </c>
      <c r="DC786478">
        <v>10.210000000000001</v>
      </c>
      <c r="DD786478">
        <v>10.210000000000001</v>
      </c>
      <c r="DE786478">
        <v>10.210000000000001</v>
      </c>
      <c r="DF786478">
        <v>10.210000000000001</v>
      </c>
      <c r="DG786478">
        <v>10.210000000000001</v>
      </c>
      <c r="DH786478">
        <v>10.210000000000001</v>
      </c>
    </row>
    <row r="786479" spans="2:146">
      <c r="B786479">
        <v>1240</v>
      </c>
      <c r="EE786479">
        <v>8.15</v>
      </c>
      <c r="EF786479">
        <v>8.15</v>
      </c>
      <c r="EG786479">
        <v>8.15</v>
      </c>
      <c r="EH786479">
        <v>8.15</v>
      </c>
      <c r="EI786479">
        <v>8.15</v>
      </c>
      <c r="EJ786479">
        <v>8.15</v>
      </c>
      <c r="EK786479">
        <v>8.15</v>
      </c>
    </row>
    <row r="786480" spans="2:146">
      <c r="B786480">
        <v>2083.2000000000003</v>
      </c>
      <c r="DI786480">
        <v>20.03</v>
      </c>
      <c r="DJ786480">
        <v>20.03</v>
      </c>
      <c r="DQ786480">
        <v>20.03</v>
      </c>
      <c r="DT786480">
        <v>20.03</v>
      </c>
      <c r="DW786480">
        <v>20.03</v>
      </c>
    </row>
    <row r="786481" spans="2:134">
      <c r="B786481">
        <v>357.20000000000005</v>
      </c>
      <c r="DI786481">
        <v>3.88</v>
      </c>
      <c r="DJ786481">
        <v>3.88</v>
      </c>
      <c r="DV786481">
        <v>3.88</v>
      </c>
      <c r="DW786481">
        <v>3.88</v>
      </c>
    </row>
    <row r="786482" spans="2:134">
      <c r="B786482">
        <v>391.20000000000005</v>
      </c>
      <c r="DI786482">
        <v>3.62</v>
      </c>
      <c r="DJ786482">
        <v>3.62</v>
      </c>
      <c r="DR786482">
        <v>3.62</v>
      </c>
      <c r="DU786482">
        <v>3.62</v>
      </c>
      <c r="DV786482">
        <v>3.62</v>
      </c>
    </row>
    <row r="786483" spans="2:134">
      <c r="B786483">
        <v>762.80000000000007</v>
      </c>
      <c r="DI786483">
        <v>6.15</v>
      </c>
      <c r="DJ786483">
        <v>6.15</v>
      </c>
      <c r="DQ786483">
        <v>6.15</v>
      </c>
      <c r="DR786483">
        <v>6.15</v>
      </c>
      <c r="DS786483">
        <v>6.15</v>
      </c>
      <c r="DT786483">
        <v>6.15</v>
      </c>
    </row>
    <row r="786484" spans="2:134">
      <c r="B786484">
        <v>1280</v>
      </c>
      <c r="DI786484">
        <v>10.66</v>
      </c>
      <c r="DJ786484">
        <v>10.66</v>
      </c>
      <c r="DK786484">
        <v>10.66</v>
      </c>
      <c r="DL786484">
        <v>10.66</v>
      </c>
      <c r="DM786484">
        <v>10.66</v>
      </c>
      <c r="DN786484">
        <v>10.66</v>
      </c>
    </row>
    <row r="786485" spans="2:134">
      <c r="B786485">
        <v>234</v>
      </c>
      <c r="CT786485">
        <v>2.5</v>
      </c>
      <c r="CU786485">
        <v>2.5</v>
      </c>
      <c r="CV786485">
        <v>2.5</v>
      </c>
    </row>
    <row r="786486" spans="2:134">
      <c r="B786486">
        <v>354</v>
      </c>
      <c r="CY786486">
        <v>3.98</v>
      </c>
      <c r="CZ786486">
        <v>3.98</v>
      </c>
      <c r="DA786486">
        <v>3.98</v>
      </c>
    </row>
    <row r="786487" spans="2:134">
      <c r="B786487">
        <v>392</v>
      </c>
      <c r="DI786487">
        <v>3.52</v>
      </c>
      <c r="DJ786487">
        <v>3.52</v>
      </c>
      <c r="DL786487">
        <v>3.52</v>
      </c>
      <c r="DO786487">
        <v>3.52</v>
      </c>
    </row>
    <row r="786488" spans="2:134">
      <c r="B786488">
        <v>304</v>
      </c>
      <c r="CE786488">
        <v>3.8</v>
      </c>
      <c r="CF786488">
        <v>3.8</v>
      </c>
    </row>
    <row r="786489" spans="2:134">
      <c r="B786489">
        <v>144</v>
      </c>
      <c r="DZ786489">
        <v>1.62</v>
      </c>
      <c r="EA786489">
        <v>1.62</v>
      </c>
      <c r="EB786489">
        <v>1.62</v>
      </c>
      <c r="EC786489">
        <v>0.81</v>
      </c>
      <c r="ED786489">
        <v>0.81</v>
      </c>
    </row>
    <row r="786490" spans="2:134">
      <c r="B786490">
        <v>602.40000000000009</v>
      </c>
      <c r="BY786490">
        <v>6.02</v>
      </c>
      <c r="BZ786490">
        <v>6.02</v>
      </c>
      <c r="CB786490">
        <v>3.01</v>
      </c>
      <c r="CC786490">
        <v>3.01</v>
      </c>
      <c r="CD786490">
        <v>3.01</v>
      </c>
      <c r="CI786490">
        <v>6.02</v>
      </c>
      <c r="CJ786490">
        <v>6.02</v>
      </c>
      <c r="CK786490">
        <v>6.02</v>
      </c>
    </row>
    <row r="786491" spans="2:134">
      <c r="B786491">
        <v>307.60000000000002</v>
      </c>
      <c r="BY786491">
        <v>3.34</v>
      </c>
      <c r="BZ786491">
        <v>3.34</v>
      </c>
      <c r="CG786491">
        <v>3.34</v>
      </c>
      <c r="CH786491">
        <v>3.34</v>
      </c>
    </row>
    <row r="786492" spans="2:134">
      <c r="B786492">
        <v>358</v>
      </c>
      <c r="BY786492">
        <v>2.37</v>
      </c>
      <c r="BZ786492">
        <v>2.37</v>
      </c>
      <c r="CA786492">
        <v>2.37</v>
      </c>
      <c r="DX786492">
        <v>4.74</v>
      </c>
      <c r="DY786492">
        <v>4.74</v>
      </c>
    </row>
    <row r="786493" spans="2:134">
      <c r="B786493">
        <v>286</v>
      </c>
      <c r="BT786493">
        <v>1.43</v>
      </c>
      <c r="BV786493">
        <v>1.43</v>
      </c>
      <c r="BW786493">
        <v>1.43</v>
      </c>
      <c r="BX786493">
        <v>1.43</v>
      </c>
      <c r="CO786493">
        <v>2.86</v>
      </c>
      <c r="CP786493">
        <v>2.86</v>
      </c>
      <c r="CQ786493">
        <v>2.86</v>
      </c>
      <c r="CR786493">
        <v>2.86</v>
      </c>
      <c r="CS786493">
        <v>2.86</v>
      </c>
    </row>
    <row r="786494" spans="2:134">
      <c r="B786494">
        <v>410</v>
      </c>
      <c r="BY786494">
        <v>2.88</v>
      </c>
      <c r="BZ786494">
        <v>2.88</v>
      </c>
      <c r="CA786494">
        <v>2.88</v>
      </c>
      <c r="CW786494">
        <v>5.76</v>
      </c>
      <c r="CX786494">
        <v>5.76</v>
      </c>
    </row>
    <row r="786495" spans="2:134">
      <c r="B786495">
        <v>346</v>
      </c>
      <c r="BR786495">
        <v>3.6</v>
      </c>
      <c r="BS786495">
        <v>3.6</v>
      </c>
      <c r="BT786495">
        <v>1.8</v>
      </c>
      <c r="CL786495">
        <v>3.6</v>
      </c>
      <c r="CM786495">
        <v>3.6</v>
      </c>
      <c r="CN786495">
        <v>3.6</v>
      </c>
    </row>
    <row r="786496" spans="2:134">
      <c r="B786496">
        <v>302</v>
      </c>
      <c r="BR786496">
        <v>3.28</v>
      </c>
      <c r="BS786496">
        <v>3.28</v>
      </c>
      <c r="BT786496">
        <v>1.64</v>
      </c>
      <c r="BU786496">
        <v>1.64</v>
      </c>
      <c r="CL786496">
        <v>3.28</v>
      </c>
      <c r="CM786496">
        <v>3.28</v>
      </c>
      <c r="CN786496">
        <v>3.28</v>
      </c>
    </row>
    <row r="786497" spans="2:146">
      <c r="B786497">
        <v>204</v>
      </c>
      <c r="BR786497">
        <v>2.12</v>
      </c>
      <c r="BS786497">
        <v>2.12</v>
      </c>
      <c r="BT786497">
        <v>1.06</v>
      </c>
      <c r="CL786497">
        <v>2.12</v>
      </c>
      <c r="CM786497">
        <v>2.12</v>
      </c>
      <c r="CN786497">
        <v>2.12</v>
      </c>
    </row>
    <row r="786499" spans="2:146">
      <c r="B786499">
        <v>26358.800000000003</v>
      </c>
      <c r="BQ786499">
        <v>0</v>
      </c>
      <c r="BR786499">
        <v>9</v>
      </c>
      <c r="BS786499">
        <v>9</v>
      </c>
      <c r="BT786499">
        <v>5.93</v>
      </c>
      <c r="BU786499">
        <v>1.64</v>
      </c>
      <c r="BV786499">
        <v>6.5299999999999994</v>
      </c>
      <c r="BW786499">
        <v>6.5299999999999994</v>
      </c>
      <c r="BX786499">
        <v>1.43</v>
      </c>
      <c r="BY786499">
        <v>14.61</v>
      </c>
      <c r="BZ786499">
        <v>14.61</v>
      </c>
      <c r="CA786499">
        <v>5.25</v>
      </c>
      <c r="CB786499">
        <v>3.01</v>
      </c>
      <c r="CC786499">
        <v>3.01</v>
      </c>
      <c r="CD786499">
        <v>3.01</v>
      </c>
      <c r="CE786499">
        <v>3.8</v>
      </c>
      <c r="CF786499">
        <v>3.8</v>
      </c>
      <c r="CG786499">
        <v>3.34</v>
      </c>
      <c r="CH786499">
        <v>3.34</v>
      </c>
      <c r="CI786499">
        <v>6.02</v>
      </c>
      <c r="CJ786499">
        <v>6.02</v>
      </c>
      <c r="CK786499">
        <v>6.02</v>
      </c>
      <c r="CL786499">
        <v>9</v>
      </c>
      <c r="CM786499">
        <v>9</v>
      </c>
      <c r="CN786499">
        <v>9</v>
      </c>
      <c r="CO786499">
        <v>2.86</v>
      </c>
      <c r="CP786499">
        <v>2.86</v>
      </c>
      <c r="CQ786499">
        <v>2.86</v>
      </c>
      <c r="CR786499">
        <v>2.86</v>
      </c>
      <c r="CS786499">
        <v>2.86</v>
      </c>
      <c r="CT786499">
        <v>2.5</v>
      </c>
      <c r="CU786499">
        <v>2.5</v>
      </c>
      <c r="CV786499">
        <v>2.5</v>
      </c>
      <c r="CW786499">
        <v>5.76</v>
      </c>
      <c r="CX786499">
        <v>5.76</v>
      </c>
      <c r="CY786499">
        <v>3.98</v>
      </c>
      <c r="CZ786499">
        <v>3.98</v>
      </c>
      <c r="DA786499">
        <v>3.98</v>
      </c>
      <c r="DB786499">
        <v>10.210000000000001</v>
      </c>
      <c r="DC786499">
        <v>10.210000000000001</v>
      </c>
      <c r="DD786499">
        <v>10.210000000000001</v>
      </c>
      <c r="DE786499">
        <v>10.210000000000001</v>
      </c>
      <c r="DF786499">
        <v>10.210000000000001</v>
      </c>
      <c r="DG786499">
        <v>10.210000000000001</v>
      </c>
      <c r="DH786499">
        <v>10.210000000000001</v>
      </c>
      <c r="DI786499">
        <v>47.860000000000007</v>
      </c>
      <c r="DJ786499">
        <v>47.860000000000007</v>
      </c>
      <c r="DK786499">
        <v>10.66</v>
      </c>
      <c r="DL786499">
        <v>14.18</v>
      </c>
      <c r="DM786499">
        <v>10.66</v>
      </c>
      <c r="DN786499">
        <v>10.66</v>
      </c>
      <c r="DO786499">
        <v>3.52</v>
      </c>
      <c r="DP786499">
        <v>0</v>
      </c>
      <c r="DQ786499">
        <v>26.18</v>
      </c>
      <c r="DR786499">
        <v>9.77</v>
      </c>
      <c r="DS786499">
        <v>6.15</v>
      </c>
      <c r="DT786499">
        <v>26.18</v>
      </c>
      <c r="DU786499">
        <v>3.62</v>
      </c>
      <c r="DV786499">
        <v>7.5</v>
      </c>
      <c r="DW786499">
        <v>23.91</v>
      </c>
      <c r="DX786499">
        <v>4.74</v>
      </c>
      <c r="DY786499">
        <v>4.74</v>
      </c>
      <c r="DZ786499">
        <v>1.62</v>
      </c>
      <c r="EA786499">
        <v>1.62</v>
      </c>
      <c r="EB786499">
        <v>1.62</v>
      </c>
      <c r="EC786499">
        <v>0.81</v>
      </c>
      <c r="ED786499">
        <v>0.81</v>
      </c>
      <c r="EE786499">
        <v>8.15</v>
      </c>
      <c r="EF786499">
        <v>8.15</v>
      </c>
      <c r="EG786499">
        <v>8.15</v>
      </c>
      <c r="EH786499">
        <v>8.15</v>
      </c>
      <c r="EI786499">
        <v>8.15</v>
      </c>
      <c r="EJ786499">
        <v>8.15</v>
      </c>
      <c r="EK786499">
        <v>8.15</v>
      </c>
      <c r="EL786499">
        <v>0.66</v>
      </c>
      <c r="EM786499">
        <v>0.66</v>
      </c>
      <c r="EN786499">
        <v>0.66</v>
      </c>
      <c r="EO786499">
        <v>0.66</v>
      </c>
      <c r="EP786499">
        <v>0.66</v>
      </c>
    </row>
    <row r="786500" spans="2:146">
      <c r="B786500" t="s">
        <v>265</v>
      </c>
      <c r="BQ786500" t="s">
        <v>345</v>
      </c>
      <c r="BR786500" t="s">
        <v>131</v>
      </c>
      <c r="BS786500" t="s">
        <v>131</v>
      </c>
      <c r="BT786500" t="s">
        <v>357</v>
      </c>
      <c r="BU786500" t="s">
        <v>131</v>
      </c>
      <c r="BV786500" t="s">
        <v>360</v>
      </c>
      <c r="BW786500" t="s">
        <v>360</v>
      </c>
      <c r="BX786500" t="s">
        <v>360</v>
      </c>
      <c r="BY786500" t="s">
        <v>364</v>
      </c>
      <c r="BZ786500" t="s">
        <v>364</v>
      </c>
      <c r="CA786500" t="s">
        <v>364</v>
      </c>
      <c r="CB786500" t="s">
        <v>368</v>
      </c>
      <c r="CC786500" t="s">
        <v>368</v>
      </c>
      <c r="CD786500" t="s">
        <v>368</v>
      </c>
      <c r="CE786500" t="s">
        <v>352</v>
      </c>
      <c r="CF786500" t="s">
        <v>352</v>
      </c>
      <c r="CG786500" t="s">
        <v>372</v>
      </c>
      <c r="CH786500" t="s">
        <v>372</v>
      </c>
      <c r="CI786500" t="s">
        <v>375</v>
      </c>
      <c r="CJ786500" t="s">
        <v>375</v>
      </c>
      <c r="CK786500" t="s">
        <v>375</v>
      </c>
      <c r="CL786500" t="s">
        <v>379</v>
      </c>
      <c r="CM786500" t="s">
        <v>379</v>
      </c>
      <c r="CN786500" t="s">
        <v>379</v>
      </c>
      <c r="CO786500" t="s">
        <v>383</v>
      </c>
      <c r="CP786500" t="s">
        <v>383</v>
      </c>
      <c r="CQ786500" t="s">
        <v>383</v>
      </c>
      <c r="CR786500" t="s">
        <v>383</v>
      </c>
      <c r="CS786500" t="s">
        <v>383</v>
      </c>
      <c r="CT786500" t="s">
        <v>389</v>
      </c>
      <c r="CU786500" t="s">
        <v>389</v>
      </c>
      <c r="CV786500" t="s">
        <v>389</v>
      </c>
      <c r="CW786500" t="s">
        <v>393</v>
      </c>
      <c r="CX786500" t="s">
        <v>393</v>
      </c>
      <c r="CY786500" t="s">
        <v>396</v>
      </c>
      <c r="CZ786500" t="s">
        <v>396</v>
      </c>
      <c r="DA786500" t="s">
        <v>396</v>
      </c>
      <c r="DB786500" t="s">
        <v>400</v>
      </c>
      <c r="DC786500" t="s">
        <v>400</v>
      </c>
      <c r="DD786500" t="s">
        <v>400</v>
      </c>
      <c r="DE786500" t="s">
        <v>400</v>
      </c>
      <c r="DF786500" t="s">
        <v>400</v>
      </c>
      <c r="DG786500" t="s">
        <v>400</v>
      </c>
      <c r="DH786500" t="s">
        <v>400</v>
      </c>
      <c r="DI786500" t="s">
        <v>121</v>
      </c>
      <c r="DJ786500" t="s">
        <v>121</v>
      </c>
      <c r="DK786500" t="s">
        <v>121</v>
      </c>
      <c r="DL786500" t="s">
        <v>121</v>
      </c>
      <c r="DM786500" t="s">
        <v>121</v>
      </c>
      <c r="DN786500" t="s">
        <v>121</v>
      </c>
      <c r="DO786500" t="s">
        <v>121</v>
      </c>
      <c r="DP786500" t="s">
        <v>121</v>
      </c>
      <c r="DQ786500" t="s">
        <v>121</v>
      </c>
      <c r="DR786500" t="s">
        <v>121</v>
      </c>
      <c r="DS786500" t="s">
        <v>121</v>
      </c>
      <c r="DT786500" t="s">
        <v>121</v>
      </c>
      <c r="DU786500" t="s">
        <v>121</v>
      </c>
      <c r="DV786500" t="s">
        <v>121</v>
      </c>
      <c r="DW786500" t="s">
        <v>121</v>
      </c>
      <c r="DX786500" t="s">
        <v>423</v>
      </c>
      <c r="DY786500" t="s">
        <v>423</v>
      </c>
      <c r="DZ786500" t="s">
        <v>426</v>
      </c>
      <c r="EA786500" t="s">
        <v>426</v>
      </c>
      <c r="EB786500" t="s">
        <v>426</v>
      </c>
      <c r="EC786500" t="s">
        <v>426</v>
      </c>
      <c r="ED786500" t="s">
        <v>426</v>
      </c>
      <c r="EE786500" t="s">
        <v>432</v>
      </c>
      <c r="EF786500" t="s">
        <v>432</v>
      </c>
      <c r="EG786500" t="s">
        <v>432</v>
      </c>
      <c r="EH786500" t="s">
        <v>432</v>
      </c>
      <c r="EI786500" t="s">
        <v>432</v>
      </c>
      <c r="EJ786500" t="s">
        <v>432</v>
      </c>
      <c r="EK786500" t="s">
        <v>432</v>
      </c>
      <c r="EL786500" t="s">
        <v>440</v>
      </c>
      <c r="EM786500" t="s">
        <v>440</v>
      </c>
      <c r="EN786500" t="s">
        <v>440</v>
      </c>
      <c r="EO786500" t="s">
        <v>440</v>
      </c>
      <c r="EP786500" t="s">
        <v>440</v>
      </c>
    </row>
    <row r="786501" spans="2:146">
      <c r="BQ786501" t="s">
        <v>351</v>
      </c>
      <c r="BR786501" t="s">
        <v>355</v>
      </c>
      <c r="BS786501" t="s">
        <v>356</v>
      </c>
      <c r="BT786501" t="s">
        <v>358</v>
      </c>
      <c r="BU786501" t="s">
        <v>359</v>
      </c>
      <c r="BV786501" t="s">
        <v>361</v>
      </c>
      <c r="BW786501" t="s">
        <v>362</v>
      </c>
      <c r="BX786501" t="s">
        <v>363</v>
      </c>
      <c r="BY786501" t="s">
        <v>365</v>
      </c>
      <c r="BZ786501" t="s">
        <v>366</v>
      </c>
      <c r="CA786501" t="s">
        <v>367</v>
      </c>
      <c r="CB786501" t="s">
        <v>369</v>
      </c>
      <c r="CC786501" t="s">
        <v>370</v>
      </c>
      <c r="CD786501" t="s">
        <v>371</v>
      </c>
      <c r="CE786501" t="s">
        <v>353</v>
      </c>
      <c r="CF786501" t="s">
        <v>354</v>
      </c>
      <c r="CG786501" t="s">
        <v>373</v>
      </c>
      <c r="CH786501" t="s">
        <v>374</v>
      </c>
      <c r="CI786501" t="s">
        <v>376</v>
      </c>
      <c r="CJ786501" t="s">
        <v>377</v>
      </c>
      <c r="CK786501" t="s">
        <v>378</v>
      </c>
      <c r="CL786501" t="s">
        <v>380</v>
      </c>
      <c r="CM786501" t="s">
        <v>381</v>
      </c>
      <c r="CN786501" t="s">
        <v>382</v>
      </c>
      <c r="CO786501" t="s">
        <v>384</v>
      </c>
      <c r="CP786501" t="s">
        <v>385</v>
      </c>
      <c r="CQ786501" t="s">
        <v>386</v>
      </c>
      <c r="CR786501" t="s">
        <v>387</v>
      </c>
      <c r="CS786501" t="s">
        <v>388</v>
      </c>
      <c r="CT786501" t="s">
        <v>390</v>
      </c>
      <c r="CU786501" t="s">
        <v>391</v>
      </c>
      <c r="CV786501" t="s">
        <v>392</v>
      </c>
      <c r="CW786501" t="s">
        <v>394</v>
      </c>
      <c r="CX786501" t="s">
        <v>395</v>
      </c>
      <c r="CY786501" t="s">
        <v>397</v>
      </c>
      <c r="CZ786501" t="s">
        <v>398</v>
      </c>
      <c r="DA786501" t="s">
        <v>399</v>
      </c>
      <c r="DB786501" t="s">
        <v>401</v>
      </c>
      <c r="DC786501" t="s">
        <v>402</v>
      </c>
      <c r="DD786501" t="s">
        <v>403</v>
      </c>
      <c r="DE786501" t="s">
        <v>404</v>
      </c>
      <c r="DF786501" t="s">
        <v>405</v>
      </c>
      <c r="DG786501" t="s">
        <v>406</v>
      </c>
      <c r="DH786501" t="s">
        <v>407</v>
      </c>
      <c r="DI786501" t="s">
        <v>408</v>
      </c>
      <c r="DJ786501" t="s">
        <v>409</v>
      </c>
      <c r="DK786501" t="s">
        <v>410</v>
      </c>
      <c r="DL786501" t="s">
        <v>411</v>
      </c>
      <c r="DM786501" t="s">
        <v>412</v>
      </c>
      <c r="DN786501" t="s">
        <v>413</v>
      </c>
      <c r="DO786501" t="s">
        <v>414</v>
      </c>
      <c r="DP786501" t="s">
        <v>415</v>
      </c>
      <c r="DQ786501" t="s">
        <v>416</v>
      </c>
      <c r="DR786501" t="s">
        <v>417</v>
      </c>
      <c r="DS786501" t="s">
        <v>418</v>
      </c>
      <c r="DT786501" t="s">
        <v>419</v>
      </c>
      <c r="DU786501" t="s">
        <v>420</v>
      </c>
      <c r="DV786501" t="s">
        <v>421</v>
      </c>
      <c r="DW786501" t="s">
        <v>422</v>
      </c>
      <c r="DX786501" t="s">
        <v>424</v>
      </c>
      <c r="DY786501" t="s">
        <v>425</v>
      </c>
      <c r="DZ786501" t="s">
        <v>427</v>
      </c>
      <c r="EA786501" t="s">
        <v>428</v>
      </c>
      <c r="EB786501" t="s">
        <v>429</v>
      </c>
      <c r="EC786501" t="s">
        <v>430</v>
      </c>
      <c r="ED786501" t="s">
        <v>431</v>
      </c>
      <c r="EE786501" t="s">
        <v>433</v>
      </c>
      <c r="EF786501" t="s">
        <v>434</v>
      </c>
      <c r="EG786501" t="s">
        <v>435</v>
      </c>
      <c r="EH786501" t="s">
        <v>436</v>
      </c>
      <c r="EI786501" t="s">
        <v>437</v>
      </c>
      <c r="EJ786501" t="s">
        <v>438</v>
      </c>
      <c r="EK786501" t="s">
        <v>439</v>
      </c>
      <c r="EL786501" t="s">
        <v>441</v>
      </c>
      <c r="EM786501" t="s">
        <v>442</v>
      </c>
      <c r="EN786501" t="s">
        <v>443</v>
      </c>
      <c r="EO786501" t="s">
        <v>444</v>
      </c>
      <c r="EP786501" t="s">
        <v>445</v>
      </c>
    </row>
    <row r="786502" spans="2:146">
      <c r="BQ786502">
        <v>67</v>
      </c>
      <c r="BR786502">
        <v>68</v>
      </c>
      <c r="BS786502">
        <v>69</v>
      </c>
      <c r="BT786502">
        <v>70</v>
      </c>
      <c r="BU786502">
        <v>71</v>
      </c>
      <c r="BV786502">
        <v>72</v>
      </c>
      <c r="BW786502">
        <v>73</v>
      </c>
      <c r="BX786502">
        <v>74</v>
      </c>
      <c r="BY786502">
        <v>75</v>
      </c>
      <c r="BZ786502">
        <v>76</v>
      </c>
      <c r="CA786502">
        <v>77</v>
      </c>
      <c r="CB786502">
        <v>78</v>
      </c>
      <c r="CC786502">
        <v>79</v>
      </c>
      <c r="CD786502">
        <v>80</v>
      </c>
      <c r="CE786502">
        <v>81</v>
      </c>
      <c r="CF786502">
        <v>82</v>
      </c>
      <c r="CG786502">
        <v>83</v>
      </c>
      <c r="CH786502">
        <v>84</v>
      </c>
      <c r="CI786502">
        <v>85</v>
      </c>
      <c r="CJ786502">
        <v>86</v>
      </c>
      <c r="CK786502">
        <v>87</v>
      </c>
      <c r="CL786502">
        <v>88</v>
      </c>
      <c r="CM786502">
        <v>89</v>
      </c>
      <c r="CN786502">
        <v>90</v>
      </c>
      <c r="CO786502">
        <v>91</v>
      </c>
      <c r="CP786502">
        <v>92</v>
      </c>
      <c r="CQ786502">
        <v>93</v>
      </c>
      <c r="CR786502">
        <v>94</v>
      </c>
      <c r="CS786502">
        <v>95</v>
      </c>
      <c r="CT786502">
        <v>96</v>
      </c>
      <c r="CU786502">
        <v>97</v>
      </c>
      <c r="CV786502">
        <v>98</v>
      </c>
      <c r="CW786502">
        <v>99</v>
      </c>
      <c r="CX786502">
        <v>100</v>
      </c>
      <c r="CY786502">
        <v>101</v>
      </c>
      <c r="CZ786502">
        <v>102</v>
      </c>
      <c r="DA786502">
        <v>103</v>
      </c>
      <c r="DB786502">
        <v>104</v>
      </c>
      <c r="DC786502">
        <v>105</v>
      </c>
      <c r="DD786502">
        <v>106</v>
      </c>
      <c r="DE786502">
        <v>107</v>
      </c>
      <c r="DF786502">
        <v>108</v>
      </c>
      <c r="DG786502">
        <v>109</v>
      </c>
      <c r="DH786502">
        <v>110</v>
      </c>
      <c r="DI786502">
        <v>111</v>
      </c>
      <c r="DJ786502">
        <v>112</v>
      </c>
      <c r="DK786502">
        <v>113</v>
      </c>
      <c r="DL786502">
        <v>114</v>
      </c>
      <c r="DM786502">
        <v>115</v>
      </c>
      <c r="DN786502">
        <v>116</v>
      </c>
      <c r="DO786502">
        <v>117</v>
      </c>
      <c r="DP786502">
        <v>118</v>
      </c>
      <c r="DQ786502">
        <v>119</v>
      </c>
      <c r="DR786502">
        <v>120</v>
      </c>
      <c r="DS786502">
        <v>121</v>
      </c>
      <c r="DT786502">
        <v>122</v>
      </c>
      <c r="DU786502">
        <v>123</v>
      </c>
      <c r="DV786502">
        <v>124</v>
      </c>
      <c r="DW786502">
        <v>125</v>
      </c>
      <c r="DX786502">
        <v>126</v>
      </c>
      <c r="DY786502">
        <v>127</v>
      </c>
      <c r="DZ786502">
        <v>128</v>
      </c>
      <c r="EA786502">
        <v>129</v>
      </c>
      <c r="EB786502">
        <v>130</v>
      </c>
      <c r="EC786502">
        <v>131</v>
      </c>
      <c r="ED786502">
        <v>132</v>
      </c>
      <c r="EE786502">
        <v>133</v>
      </c>
      <c r="EF786502">
        <v>134</v>
      </c>
      <c r="EG786502">
        <v>135</v>
      </c>
      <c r="EH786502">
        <v>136</v>
      </c>
      <c r="EI786502">
        <v>137</v>
      </c>
      <c r="EJ786502">
        <v>138</v>
      </c>
      <c r="EK786502">
        <v>139</v>
      </c>
      <c r="EL786502">
        <v>140</v>
      </c>
      <c r="EM786502">
        <v>141</v>
      </c>
      <c r="EN786502">
        <v>142</v>
      </c>
      <c r="EO786502">
        <v>143</v>
      </c>
      <c r="EP786502">
        <v>144</v>
      </c>
    </row>
    <row r="786503" spans="2:146">
      <c r="CE786503" t="s">
        <v>451</v>
      </c>
    </row>
    <row r="802818" spans="2:2">
      <c r="B802818">
        <v>200</v>
      </c>
    </row>
    <row r="802819" spans="2:2">
      <c r="B802819">
        <v>200</v>
      </c>
    </row>
    <row r="802820" spans="2:2">
      <c r="B802820">
        <v>800</v>
      </c>
    </row>
    <row r="802821" spans="2:2">
      <c r="B802821">
        <v>200</v>
      </c>
    </row>
    <row r="802822" spans="2:2">
      <c r="B802822">
        <v>1044</v>
      </c>
    </row>
    <row r="802823" spans="2:2">
      <c r="B802823">
        <v>998.40000000000009</v>
      </c>
    </row>
    <row r="802824" spans="2:2">
      <c r="B802824">
        <v>272</v>
      </c>
    </row>
    <row r="802825" spans="2:2">
      <c r="B802825">
        <v>200</v>
      </c>
    </row>
    <row r="802826" spans="2:2">
      <c r="B802826">
        <v>214</v>
      </c>
    </row>
    <row r="802827" spans="2:2">
      <c r="B802827">
        <v>200</v>
      </c>
    </row>
    <row r="802828" spans="2:2">
      <c r="B802828">
        <v>152</v>
      </c>
    </row>
    <row r="802829" spans="2:2">
      <c r="B802829">
        <v>200</v>
      </c>
    </row>
    <row r="802830" spans="2:2">
      <c r="B802830">
        <v>300</v>
      </c>
    </row>
    <row r="802831" spans="2:2">
      <c r="B802831">
        <v>104</v>
      </c>
    </row>
    <row r="802832" spans="2:2">
      <c r="B802832">
        <v>162</v>
      </c>
    </row>
    <row r="802833" spans="2:2">
      <c r="B802833">
        <v>200</v>
      </c>
    </row>
    <row r="802834" spans="2:2">
      <c r="B802834">
        <v>200</v>
      </c>
    </row>
    <row r="802835" spans="2:2">
      <c r="B802835">
        <v>200</v>
      </c>
    </row>
    <row r="802836" spans="2:2">
      <c r="B802836">
        <v>200</v>
      </c>
    </row>
    <row r="802837" spans="2:2">
      <c r="B802837">
        <v>200</v>
      </c>
    </row>
    <row r="802838" spans="2:2">
      <c r="B802838">
        <v>200</v>
      </c>
    </row>
    <row r="802839" spans="2:2">
      <c r="B802839">
        <v>200</v>
      </c>
    </row>
    <row r="802840" spans="2:2">
      <c r="B802840">
        <v>200</v>
      </c>
    </row>
    <row r="802841" spans="2:2">
      <c r="B802841">
        <v>800</v>
      </c>
    </row>
    <row r="802842" spans="2:2">
      <c r="B802842">
        <v>300</v>
      </c>
    </row>
    <row r="802843" spans="2:2">
      <c r="B802843">
        <v>778</v>
      </c>
    </row>
    <row r="802844" spans="2:2">
      <c r="B802844">
        <v>614</v>
      </c>
    </row>
    <row r="802845" spans="2:2">
      <c r="B802845">
        <v>444</v>
      </c>
    </row>
    <row r="802846" spans="2:2">
      <c r="B802846">
        <v>800</v>
      </c>
    </row>
    <row r="802847" spans="2:2">
      <c r="B802847">
        <v>200</v>
      </c>
    </row>
    <row r="802848" spans="2:2">
      <c r="B802848">
        <v>780</v>
      </c>
    </row>
    <row r="802849" spans="2:146">
      <c r="B802849">
        <v>174</v>
      </c>
    </row>
    <row r="802850" spans="2:146">
      <c r="B802850">
        <v>194</v>
      </c>
    </row>
    <row r="802851" spans="2:146">
      <c r="B802851">
        <v>782</v>
      </c>
    </row>
    <row r="802852" spans="2:146">
      <c r="B802852">
        <v>236</v>
      </c>
    </row>
    <row r="802853" spans="2:146">
      <c r="B802853">
        <v>144</v>
      </c>
    </row>
    <row r="802854" spans="2:146">
      <c r="B802854">
        <v>200</v>
      </c>
    </row>
    <row r="802855" spans="2:146">
      <c r="B802855">
        <v>240</v>
      </c>
    </row>
    <row r="802856" spans="2:146">
      <c r="B802856">
        <v>200</v>
      </c>
    </row>
    <row r="802857" spans="2:146">
      <c r="B802857">
        <v>612</v>
      </c>
    </row>
    <row r="802858" spans="2:146">
      <c r="B802858">
        <v>156</v>
      </c>
    </row>
    <row r="802859" spans="2:146">
      <c r="B802859">
        <v>116</v>
      </c>
    </row>
    <row r="802860" spans="2:146">
      <c r="B802860">
        <v>160</v>
      </c>
    </row>
    <row r="802861" spans="2:146">
      <c r="B802861">
        <v>80</v>
      </c>
      <c r="EL802861">
        <v>0.66</v>
      </c>
      <c r="EM802861">
        <v>0.66</v>
      </c>
      <c r="EN802861">
        <v>0.66</v>
      </c>
      <c r="EO802861">
        <v>0.66</v>
      </c>
      <c r="EP802861">
        <v>0.66</v>
      </c>
    </row>
    <row r="802862" spans="2:146">
      <c r="B802862">
        <v>1144</v>
      </c>
      <c r="BV802862">
        <v>5.0999999999999996</v>
      </c>
      <c r="BW802862">
        <v>5.0999999999999996</v>
      </c>
      <c r="DB802862">
        <v>10.210000000000001</v>
      </c>
      <c r="DC802862">
        <v>10.210000000000001</v>
      </c>
      <c r="DD802862">
        <v>10.210000000000001</v>
      </c>
      <c r="DE802862">
        <v>10.210000000000001</v>
      </c>
      <c r="DF802862">
        <v>10.210000000000001</v>
      </c>
      <c r="DG802862">
        <v>10.210000000000001</v>
      </c>
      <c r="DH802862">
        <v>10.210000000000001</v>
      </c>
    </row>
    <row r="802863" spans="2:146">
      <c r="B802863">
        <v>1240</v>
      </c>
      <c r="EE802863">
        <v>8.15</v>
      </c>
      <c r="EF802863">
        <v>8.15</v>
      </c>
      <c r="EG802863">
        <v>8.15</v>
      </c>
      <c r="EH802863">
        <v>8.15</v>
      </c>
      <c r="EI802863">
        <v>8.15</v>
      </c>
      <c r="EJ802863">
        <v>8.15</v>
      </c>
      <c r="EK802863">
        <v>8.15</v>
      </c>
    </row>
    <row r="802864" spans="2:146">
      <c r="B802864">
        <v>2083.2000000000003</v>
      </c>
      <c r="DI802864">
        <v>20.03</v>
      </c>
      <c r="DJ802864">
        <v>20.03</v>
      </c>
      <c r="DQ802864">
        <v>20.03</v>
      </c>
      <c r="DT802864">
        <v>20.03</v>
      </c>
      <c r="DW802864">
        <v>20.03</v>
      </c>
    </row>
    <row r="802865" spans="2:134">
      <c r="B802865">
        <v>357.20000000000005</v>
      </c>
      <c r="DI802865">
        <v>3.88</v>
      </c>
      <c r="DJ802865">
        <v>3.88</v>
      </c>
      <c r="DV802865">
        <v>3.88</v>
      </c>
      <c r="DW802865">
        <v>3.88</v>
      </c>
    </row>
    <row r="802866" spans="2:134">
      <c r="B802866">
        <v>391.20000000000005</v>
      </c>
      <c r="DI802866">
        <v>3.62</v>
      </c>
      <c r="DJ802866">
        <v>3.62</v>
      </c>
      <c r="DR802866">
        <v>3.62</v>
      </c>
      <c r="DU802866">
        <v>3.62</v>
      </c>
      <c r="DV802866">
        <v>3.62</v>
      </c>
    </row>
    <row r="802867" spans="2:134">
      <c r="B802867">
        <v>762.80000000000007</v>
      </c>
      <c r="DI802867">
        <v>6.15</v>
      </c>
      <c r="DJ802867">
        <v>6.15</v>
      </c>
      <c r="DQ802867">
        <v>6.15</v>
      </c>
      <c r="DR802867">
        <v>6.15</v>
      </c>
      <c r="DS802867">
        <v>6.15</v>
      </c>
      <c r="DT802867">
        <v>6.15</v>
      </c>
    </row>
    <row r="802868" spans="2:134">
      <c r="B802868">
        <v>1280</v>
      </c>
      <c r="DI802868">
        <v>10.66</v>
      </c>
      <c r="DJ802868">
        <v>10.66</v>
      </c>
      <c r="DK802868">
        <v>10.66</v>
      </c>
      <c r="DL802868">
        <v>10.66</v>
      </c>
      <c r="DM802868">
        <v>10.66</v>
      </c>
      <c r="DN802868">
        <v>10.66</v>
      </c>
    </row>
    <row r="802869" spans="2:134">
      <c r="B802869">
        <v>234</v>
      </c>
      <c r="CT802869">
        <v>2.5</v>
      </c>
      <c r="CU802869">
        <v>2.5</v>
      </c>
      <c r="CV802869">
        <v>2.5</v>
      </c>
    </row>
    <row r="802870" spans="2:134">
      <c r="B802870">
        <v>354</v>
      </c>
      <c r="CY802870">
        <v>3.98</v>
      </c>
      <c r="CZ802870">
        <v>3.98</v>
      </c>
      <c r="DA802870">
        <v>3.98</v>
      </c>
    </row>
    <row r="802871" spans="2:134">
      <c r="B802871">
        <v>392</v>
      </c>
      <c r="DI802871">
        <v>3.52</v>
      </c>
      <c r="DJ802871">
        <v>3.52</v>
      </c>
      <c r="DL802871">
        <v>3.52</v>
      </c>
      <c r="DO802871">
        <v>3.52</v>
      </c>
    </row>
    <row r="802872" spans="2:134">
      <c r="B802872">
        <v>304</v>
      </c>
      <c r="CE802872">
        <v>3.8</v>
      </c>
      <c r="CF802872">
        <v>3.8</v>
      </c>
    </row>
    <row r="802873" spans="2:134">
      <c r="B802873">
        <v>144</v>
      </c>
      <c r="DZ802873">
        <v>1.62</v>
      </c>
      <c r="EA802873">
        <v>1.62</v>
      </c>
      <c r="EB802873">
        <v>1.62</v>
      </c>
      <c r="EC802873">
        <v>0.81</v>
      </c>
      <c r="ED802873">
        <v>0.81</v>
      </c>
    </row>
    <row r="802874" spans="2:134">
      <c r="B802874">
        <v>602.40000000000009</v>
      </c>
      <c r="BY802874">
        <v>6.02</v>
      </c>
      <c r="BZ802874">
        <v>6.02</v>
      </c>
      <c r="CB802874">
        <v>3.01</v>
      </c>
      <c r="CC802874">
        <v>3.01</v>
      </c>
      <c r="CD802874">
        <v>3.01</v>
      </c>
      <c r="CI802874">
        <v>6.02</v>
      </c>
      <c r="CJ802874">
        <v>6.02</v>
      </c>
      <c r="CK802874">
        <v>6.02</v>
      </c>
    </row>
    <row r="802875" spans="2:134">
      <c r="B802875">
        <v>307.60000000000002</v>
      </c>
      <c r="BY802875">
        <v>3.34</v>
      </c>
      <c r="BZ802875">
        <v>3.34</v>
      </c>
      <c r="CG802875">
        <v>3.34</v>
      </c>
      <c r="CH802875">
        <v>3.34</v>
      </c>
    </row>
    <row r="802876" spans="2:134">
      <c r="B802876">
        <v>358</v>
      </c>
      <c r="BY802876">
        <v>2.37</v>
      </c>
      <c r="BZ802876">
        <v>2.37</v>
      </c>
      <c r="CA802876">
        <v>2.37</v>
      </c>
      <c r="DX802876">
        <v>4.74</v>
      </c>
      <c r="DY802876">
        <v>4.74</v>
      </c>
    </row>
    <row r="802877" spans="2:134">
      <c r="B802877">
        <v>286</v>
      </c>
      <c r="BT802877">
        <v>1.43</v>
      </c>
      <c r="BV802877">
        <v>1.43</v>
      </c>
      <c r="BW802877">
        <v>1.43</v>
      </c>
      <c r="BX802877">
        <v>1.43</v>
      </c>
      <c r="CO802877">
        <v>2.86</v>
      </c>
      <c r="CP802877">
        <v>2.86</v>
      </c>
      <c r="CQ802877">
        <v>2.86</v>
      </c>
      <c r="CR802877">
        <v>2.86</v>
      </c>
      <c r="CS802877">
        <v>2.86</v>
      </c>
    </row>
    <row r="802878" spans="2:134">
      <c r="B802878">
        <v>410</v>
      </c>
      <c r="BY802878">
        <v>2.88</v>
      </c>
      <c r="BZ802878">
        <v>2.88</v>
      </c>
      <c r="CA802878">
        <v>2.88</v>
      </c>
      <c r="CW802878">
        <v>5.76</v>
      </c>
      <c r="CX802878">
        <v>5.76</v>
      </c>
    </row>
    <row r="802879" spans="2:134">
      <c r="B802879">
        <v>346</v>
      </c>
      <c r="BR802879">
        <v>3.6</v>
      </c>
      <c r="BS802879">
        <v>3.6</v>
      </c>
      <c r="BT802879">
        <v>1.8</v>
      </c>
      <c r="CL802879">
        <v>3.6</v>
      </c>
      <c r="CM802879">
        <v>3.6</v>
      </c>
      <c r="CN802879">
        <v>3.6</v>
      </c>
    </row>
    <row r="802880" spans="2:134">
      <c r="B802880">
        <v>302</v>
      </c>
      <c r="BR802880">
        <v>3.28</v>
      </c>
      <c r="BS802880">
        <v>3.28</v>
      </c>
      <c r="BT802880">
        <v>1.64</v>
      </c>
      <c r="BU802880">
        <v>1.64</v>
      </c>
      <c r="CL802880">
        <v>3.28</v>
      </c>
      <c r="CM802880">
        <v>3.28</v>
      </c>
      <c r="CN802880">
        <v>3.28</v>
      </c>
    </row>
    <row r="802881" spans="2:146">
      <c r="B802881">
        <v>204</v>
      </c>
      <c r="BR802881">
        <v>2.12</v>
      </c>
      <c r="BS802881">
        <v>2.12</v>
      </c>
      <c r="BT802881">
        <v>1.06</v>
      </c>
      <c r="CL802881">
        <v>2.12</v>
      </c>
      <c r="CM802881">
        <v>2.12</v>
      </c>
      <c r="CN802881">
        <v>2.12</v>
      </c>
    </row>
    <row r="802883" spans="2:146">
      <c r="B802883">
        <v>26358.800000000003</v>
      </c>
      <c r="BQ802883">
        <v>0</v>
      </c>
      <c r="BR802883">
        <v>9</v>
      </c>
      <c r="BS802883">
        <v>9</v>
      </c>
      <c r="BT802883">
        <v>5.93</v>
      </c>
      <c r="BU802883">
        <v>1.64</v>
      </c>
      <c r="BV802883">
        <v>6.5299999999999994</v>
      </c>
      <c r="BW802883">
        <v>6.5299999999999994</v>
      </c>
      <c r="BX802883">
        <v>1.43</v>
      </c>
      <c r="BY802883">
        <v>14.61</v>
      </c>
      <c r="BZ802883">
        <v>14.61</v>
      </c>
      <c r="CA802883">
        <v>5.25</v>
      </c>
      <c r="CB802883">
        <v>3.01</v>
      </c>
      <c r="CC802883">
        <v>3.01</v>
      </c>
      <c r="CD802883">
        <v>3.01</v>
      </c>
      <c r="CE802883">
        <v>3.8</v>
      </c>
      <c r="CF802883">
        <v>3.8</v>
      </c>
      <c r="CG802883">
        <v>3.34</v>
      </c>
      <c r="CH802883">
        <v>3.34</v>
      </c>
      <c r="CI802883">
        <v>6.02</v>
      </c>
      <c r="CJ802883">
        <v>6.02</v>
      </c>
      <c r="CK802883">
        <v>6.02</v>
      </c>
      <c r="CL802883">
        <v>9</v>
      </c>
      <c r="CM802883">
        <v>9</v>
      </c>
      <c r="CN802883">
        <v>9</v>
      </c>
      <c r="CO802883">
        <v>2.86</v>
      </c>
      <c r="CP802883">
        <v>2.86</v>
      </c>
      <c r="CQ802883">
        <v>2.86</v>
      </c>
      <c r="CR802883">
        <v>2.86</v>
      </c>
      <c r="CS802883">
        <v>2.86</v>
      </c>
      <c r="CT802883">
        <v>2.5</v>
      </c>
      <c r="CU802883">
        <v>2.5</v>
      </c>
      <c r="CV802883">
        <v>2.5</v>
      </c>
      <c r="CW802883">
        <v>5.76</v>
      </c>
      <c r="CX802883">
        <v>5.76</v>
      </c>
      <c r="CY802883">
        <v>3.98</v>
      </c>
      <c r="CZ802883">
        <v>3.98</v>
      </c>
      <c r="DA802883">
        <v>3.98</v>
      </c>
      <c r="DB802883">
        <v>10.210000000000001</v>
      </c>
      <c r="DC802883">
        <v>10.210000000000001</v>
      </c>
      <c r="DD802883">
        <v>10.210000000000001</v>
      </c>
      <c r="DE802883">
        <v>10.210000000000001</v>
      </c>
      <c r="DF802883">
        <v>10.210000000000001</v>
      </c>
      <c r="DG802883">
        <v>10.210000000000001</v>
      </c>
      <c r="DH802883">
        <v>10.210000000000001</v>
      </c>
      <c r="DI802883">
        <v>47.860000000000007</v>
      </c>
      <c r="DJ802883">
        <v>47.860000000000007</v>
      </c>
      <c r="DK802883">
        <v>10.66</v>
      </c>
      <c r="DL802883">
        <v>14.18</v>
      </c>
      <c r="DM802883">
        <v>10.66</v>
      </c>
      <c r="DN802883">
        <v>10.66</v>
      </c>
      <c r="DO802883">
        <v>3.52</v>
      </c>
      <c r="DP802883">
        <v>0</v>
      </c>
      <c r="DQ802883">
        <v>26.18</v>
      </c>
      <c r="DR802883">
        <v>9.77</v>
      </c>
      <c r="DS802883">
        <v>6.15</v>
      </c>
      <c r="DT802883">
        <v>26.18</v>
      </c>
      <c r="DU802883">
        <v>3.62</v>
      </c>
      <c r="DV802883">
        <v>7.5</v>
      </c>
      <c r="DW802883">
        <v>23.91</v>
      </c>
      <c r="DX802883">
        <v>4.74</v>
      </c>
      <c r="DY802883">
        <v>4.74</v>
      </c>
      <c r="DZ802883">
        <v>1.62</v>
      </c>
      <c r="EA802883">
        <v>1.62</v>
      </c>
      <c r="EB802883">
        <v>1.62</v>
      </c>
      <c r="EC802883">
        <v>0.81</v>
      </c>
      <c r="ED802883">
        <v>0.81</v>
      </c>
      <c r="EE802883">
        <v>8.15</v>
      </c>
      <c r="EF802883">
        <v>8.15</v>
      </c>
      <c r="EG802883">
        <v>8.15</v>
      </c>
      <c r="EH802883">
        <v>8.15</v>
      </c>
      <c r="EI802883">
        <v>8.15</v>
      </c>
      <c r="EJ802883">
        <v>8.15</v>
      </c>
      <c r="EK802883">
        <v>8.15</v>
      </c>
      <c r="EL802883">
        <v>0.66</v>
      </c>
      <c r="EM802883">
        <v>0.66</v>
      </c>
      <c r="EN802883">
        <v>0.66</v>
      </c>
      <c r="EO802883">
        <v>0.66</v>
      </c>
      <c r="EP802883">
        <v>0.66</v>
      </c>
    </row>
    <row r="802884" spans="2:146">
      <c r="B802884" t="s">
        <v>265</v>
      </c>
      <c r="BQ802884" t="s">
        <v>345</v>
      </c>
      <c r="BR802884" t="s">
        <v>131</v>
      </c>
      <c r="BS802884" t="s">
        <v>131</v>
      </c>
      <c r="BT802884" t="s">
        <v>357</v>
      </c>
      <c r="BU802884" t="s">
        <v>131</v>
      </c>
      <c r="BV802884" t="s">
        <v>360</v>
      </c>
      <c r="BW802884" t="s">
        <v>360</v>
      </c>
      <c r="BX802884" t="s">
        <v>360</v>
      </c>
      <c r="BY802884" t="s">
        <v>364</v>
      </c>
      <c r="BZ802884" t="s">
        <v>364</v>
      </c>
      <c r="CA802884" t="s">
        <v>364</v>
      </c>
      <c r="CB802884" t="s">
        <v>368</v>
      </c>
      <c r="CC802884" t="s">
        <v>368</v>
      </c>
      <c r="CD802884" t="s">
        <v>368</v>
      </c>
      <c r="CE802884" t="s">
        <v>352</v>
      </c>
      <c r="CF802884" t="s">
        <v>352</v>
      </c>
      <c r="CG802884" t="s">
        <v>372</v>
      </c>
      <c r="CH802884" t="s">
        <v>372</v>
      </c>
      <c r="CI802884" t="s">
        <v>375</v>
      </c>
      <c r="CJ802884" t="s">
        <v>375</v>
      </c>
      <c r="CK802884" t="s">
        <v>375</v>
      </c>
      <c r="CL802884" t="s">
        <v>379</v>
      </c>
      <c r="CM802884" t="s">
        <v>379</v>
      </c>
      <c r="CN802884" t="s">
        <v>379</v>
      </c>
      <c r="CO802884" t="s">
        <v>383</v>
      </c>
      <c r="CP802884" t="s">
        <v>383</v>
      </c>
      <c r="CQ802884" t="s">
        <v>383</v>
      </c>
      <c r="CR802884" t="s">
        <v>383</v>
      </c>
      <c r="CS802884" t="s">
        <v>383</v>
      </c>
      <c r="CT802884" t="s">
        <v>389</v>
      </c>
      <c r="CU802884" t="s">
        <v>389</v>
      </c>
      <c r="CV802884" t="s">
        <v>389</v>
      </c>
      <c r="CW802884" t="s">
        <v>393</v>
      </c>
      <c r="CX802884" t="s">
        <v>393</v>
      </c>
      <c r="CY802884" t="s">
        <v>396</v>
      </c>
      <c r="CZ802884" t="s">
        <v>396</v>
      </c>
      <c r="DA802884" t="s">
        <v>396</v>
      </c>
      <c r="DB802884" t="s">
        <v>400</v>
      </c>
      <c r="DC802884" t="s">
        <v>400</v>
      </c>
      <c r="DD802884" t="s">
        <v>400</v>
      </c>
      <c r="DE802884" t="s">
        <v>400</v>
      </c>
      <c r="DF802884" t="s">
        <v>400</v>
      </c>
      <c r="DG802884" t="s">
        <v>400</v>
      </c>
      <c r="DH802884" t="s">
        <v>400</v>
      </c>
      <c r="DI802884" t="s">
        <v>121</v>
      </c>
      <c r="DJ802884" t="s">
        <v>121</v>
      </c>
      <c r="DK802884" t="s">
        <v>121</v>
      </c>
      <c r="DL802884" t="s">
        <v>121</v>
      </c>
      <c r="DM802884" t="s">
        <v>121</v>
      </c>
      <c r="DN802884" t="s">
        <v>121</v>
      </c>
      <c r="DO802884" t="s">
        <v>121</v>
      </c>
      <c r="DP802884" t="s">
        <v>121</v>
      </c>
      <c r="DQ802884" t="s">
        <v>121</v>
      </c>
      <c r="DR802884" t="s">
        <v>121</v>
      </c>
      <c r="DS802884" t="s">
        <v>121</v>
      </c>
      <c r="DT802884" t="s">
        <v>121</v>
      </c>
      <c r="DU802884" t="s">
        <v>121</v>
      </c>
      <c r="DV802884" t="s">
        <v>121</v>
      </c>
      <c r="DW802884" t="s">
        <v>121</v>
      </c>
      <c r="DX802884" t="s">
        <v>423</v>
      </c>
      <c r="DY802884" t="s">
        <v>423</v>
      </c>
      <c r="DZ802884" t="s">
        <v>426</v>
      </c>
      <c r="EA802884" t="s">
        <v>426</v>
      </c>
      <c r="EB802884" t="s">
        <v>426</v>
      </c>
      <c r="EC802884" t="s">
        <v>426</v>
      </c>
      <c r="ED802884" t="s">
        <v>426</v>
      </c>
      <c r="EE802884" t="s">
        <v>432</v>
      </c>
      <c r="EF802884" t="s">
        <v>432</v>
      </c>
      <c r="EG802884" t="s">
        <v>432</v>
      </c>
      <c r="EH802884" t="s">
        <v>432</v>
      </c>
      <c r="EI802884" t="s">
        <v>432</v>
      </c>
      <c r="EJ802884" t="s">
        <v>432</v>
      </c>
      <c r="EK802884" t="s">
        <v>432</v>
      </c>
      <c r="EL802884" t="s">
        <v>440</v>
      </c>
      <c r="EM802884" t="s">
        <v>440</v>
      </c>
      <c r="EN802884" t="s">
        <v>440</v>
      </c>
      <c r="EO802884" t="s">
        <v>440</v>
      </c>
      <c r="EP802884" t="s">
        <v>440</v>
      </c>
    </row>
    <row r="802885" spans="2:146">
      <c r="BQ802885" t="s">
        <v>351</v>
      </c>
      <c r="BR802885" t="s">
        <v>355</v>
      </c>
      <c r="BS802885" t="s">
        <v>356</v>
      </c>
      <c r="BT802885" t="s">
        <v>358</v>
      </c>
      <c r="BU802885" t="s">
        <v>359</v>
      </c>
      <c r="BV802885" t="s">
        <v>361</v>
      </c>
      <c r="BW802885" t="s">
        <v>362</v>
      </c>
      <c r="BX802885" t="s">
        <v>363</v>
      </c>
      <c r="BY802885" t="s">
        <v>365</v>
      </c>
      <c r="BZ802885" t="s">
        <v>366</v>
      </c>
      <c r="CA802885" t="s">
        <v>367</v>
      </c>
      <c r="CB802885" t="s">
        <v>369</v>
      </c>
      <c r="CC802885" t="s">
        <v>370</v>
      </c>
      <c r="CD802885" t="s">
        <v>371</v>
      </c>
      <c r="CE802885" t="s">
        <v>353</v>
      </c>
      <c r="CF802885" t="s">
        <v>354</v>
      </c>
      <c r="CG802885" t="s">
        <v>373</v>
      </c>
      <c r="CH802885" t="s">
        <v>374</v>
      </c>
      <c r="CI802885" t="s">
        <v>376</v>
      </c>
      <c r="CJ802885" t="s">
        <v>377</v>
      </c>
      <c r="CK802885" t="s">
        <v>378</v>
      </c>
      <c r="CL802885" t="s">
        <v>380</v>
      </c>
      <c r="CM802885" t="s">
        <v>381</v>
      </c>
      <c r="CN802885" t="s">
        <v>382</v>
      </c>
      <c r="CO802885" t="s">
        <v>384</v>
      </c>
      <c r="CP802885" t="s">
        <v>385</v>
      </c>
      <c r="CQ802885" t="s">
        <v>386</v>
      </c>
      <c r="CR802885" t="s">
        <v>387</v>
      </c>
      <c r="CS802885" t="s">
        <v>388</v>
      </c>
      <c r="CT802885" t="s">
        <v>390</v>
      </c>
      <c r="CU802885" t="s">
        <v>391</v>
      </c>
      <c r="CV802885" t="s">
        <v>392</v>
      </c>
      <c r="CW802885" t="s">
        <v>394</v>
      </c>
      <c r="CX802885" t="s">
        <v>395</v>
      </c>
      <c r="CY802885" t="s">
        <v>397</v>
      </c>
      <c r="CZ802885" t="s">
        <v>398</v>
      </c>
      <c r="DA802885" t="s">
        <v>399</v>
      </c>
      <c r="DB802885" t="s">
        <v>401</v>
      </c>
      <c r="DC802885" t="s">
        <v>402</v>
      </c>
      <c r="DD802885" t="s">
        <v>403</v>
      </c>
      <c r="DE802885" t="s">
        <v>404</v>
      </c>
      <c r="DF802885" t="s">
        <v>405</v>
      </c>
      <c r="DG802885" t="s">
        <v>406</v>
      </c>
      <c r="DH802885" t="s">
        <v>407</v>
      </c>
      <c r="DI802885" t="s">
        <v>408</v>
      </c>
      <c r="DJ802885" t="s">
        <v>409</v>
      </c>
      <c r="DK802885" t="s">
        <v>410</v>
      </c>
      <c r="DL802885" t="s">
        <v>411</v>
      </c>
      <c r="DM802885" t="s">
        <v>412</v>
      </c>
      <c r="DN802885" t="s">
        <v>413</v>
      </c>
      <c r="DO802885" t="s">
        <v>414</v>
      </c>
      <c r="DP802885" t="s">
        <v>415</v>
      </c>
      <c r="DQ802885" t="s">
        <v>416</v>
      </c>
      <c r="DR802885" t="s">
        <v>417</v>
      </c>
      <c r="DS802885" t="s">
        <v>418</v>
      </c>
      <c r="DT802885" t="s">
        <v>419</v>
      </c>
      <c r="DU802885" t="s">
        <v>420</v>
      </c>
      <c r="DV802885" t="s">
        <v>421</v>
      </c>
      <c r="DW802885" t="s">
        <v>422</v>
      </c>
      <c r="DX802885" t="s">
        <v>424</v>
      </c>
      <c r="DY802885" t="s">
        <v>425</v>
      </c>
      <c r="DZ802885" t="s">
        <v>427</v>
      </c>
      <c r="EA802885" t="s">
        <v>428</v>
      </c>
      <c r="EB802885" t="s">
        <v>429</v>
      </c>
      <c r="EC802885" t="s">
        <v>430</v>
      </c>
      <c r="ED802885" t="s">
        <v>431</v>
      </c>
      <c r="EE802885" t="s">
        <v>433</v>
      </c>
      <c r="EF802885" t="s">
        <v>434</v>
      </c>
      <c r="EG802885" t="s">
        <v>435</v>
      </c>
      <c r="EH802885" t="s">
        <v>436</v>
      </c>
      <c r="EI802885" t="s">
        <v>437</v>
      </c>
      <c r="EJ802885" t="s">
        <v>438</v>
      </c>
      <c r="EK802885" t="s">
        <v>439</v>
      </c>
      <c r="EL802885" t="s">
        <v>441</v>
      </c>
      <c r="EM802885" t="s">
        <v>442</v>
      </c>
      <c r="EN802885" t="s">
        <v>443</v>
      </c>
      <c r="EO802885" t="s">
        <v>444</v>
      </c>
      <c r="EP802885" t="s">
        <v>445</v>
      </c>
    </row>
    <row r="802886" spans="2:146">
      <c r="BQ802886">
        <v>67</v>
      </c>
      <c r="BR802886">
        <v>68</v>
      </c>
      <c r="BS802886">
        <v>69</v>
      </c>
      <c r="BT802886">
        <v>70</v>
      </c>
      <c r="BU802886">
        <v>71</v>
      </c>
      <c r="BV802886">
        <v>72</v>
      </c>
      <c r="BW802886">
        <v>73</v>
      </c>
      <c r="BX802886">
        <v>74</v>
      </c>
      <c r="BY802886">
        <v>75</v>
      </c>
      <c r="BZ802886">
        <v>76</v>
      </c>
      <c r="CA802886">
        <v>77</v>
      </c>
      <c r="CB802886">
        <v>78</v>
      </c>
      <c r="CC802886">
        <v>79</v>
      </c>
      <c r="CD802886">
        <v>80</v>
      </c>
      <c r="CE802886">
        <v>81</v>
      </c>
      <c r="CF802886">
        <v>82</v>
      </c>
      <c r="CG802886">
        <v>83</v>
      </c>
      <c r="CH802886">
        <v>84</v>
      </c>
      <c r="CI802886">
        <v>85</v>
      </c>
      <c r="CJ802886">
        <v>86</v>
      </c>
      <c r="CK802886">
        <v>87</v>
      </c>
      <c r="CL802886">
        <v>88</v>
      </c>
      <c r="CM802886">
        <v>89</v>
      </c>
      <c r="CN802886">
        <v>90</v>
      </c>
      <c r="CO802886">
        <v>91</v>
      </c>
      <c r="CP802886">
        <v>92</v>
      </c>
      <c r="CQ802886">
        <v>93</v>
      </c>
      <c r="CR802886">
        <v>94</v>
      </c>
      <c r="CS802886">
        <v>95</v>
      </c>
      <c r="CT802886">
        <v>96</v>
      </c>
      <c r="CU802886">
        <v>97</v>
      </c>
      <c r="CV802886">
        <v>98</v>
      </c>
      <c r="CW802886">
        <v>99</v>
      </c>
      <c r="CX802886">
        <v>100</v>
      </c>
      <c r="CY802886">
        <v>101</v>
      </c>
      <c r="CZ802886">
        <v>102</v>
      </c>
      <c r="DA802886">
        <v>103</v>
      </c>
      <c r="DB802886">
        <v>104</v>
      </c>
      <c r="DC802886">
        <v>105</v>
      </c>
      <c r="DD802886">
        <v>106</v>
      </c>
      <c r="DE802886">
        <v>107</v>
      </c>
      <c r="DF802886">
        <v>108</v>
      </c>
      <c r="DG802886">
        <v>109</v>
      </c>
      <c r="DH802886">
        <v>110</v>
      </c>
      <c r="DI802886">
        <v>111</v>
      </c>
      <c r="DJ802886">
        <v>112</v>
      </c>
      <c r="DK802886">
        <v>113</v>
      </c>
      <c r="DL802886">
        <v>114</v>
      </c>
      <c r="DM802886">
        <v>115</v>
      </c>
      <c r="DN802886">
        <v>116</v>
      </c>
      <c r="DO802886">
        <v>117</v>
      </c>
      <c r="DP802886">
        <v>118</v>
      </c>
      <c r="DQ802886">
        <v>119</v>
      </c>
      <c r="DR802886">
        <v>120</v>
      </c>
      <c r="DS802886">
        <v>121</v>
      </c>
      <c r="DT802886">
        <v>122</v>
      </c>
      <c r="DU802886">
        <v>123</v>
      </c>
      <c r="DV802886">
        <v>124</v>
      </c>
      <c r="DW802886">
        <v>125</v>
      </c>
      <c r="DX802886">
        <v>126</v>
      </c>
      <c r="DY802886">
        <v>127</v>
      </c>
      <c r="DZ802886">
        <v>128</v>
      </c>
      <c r="EA802886">
        <v>129</v>
      </c>
      <c r="EB802886">
        <v>130</v>
      </c>
      <c r="EC802886">
        <v>131</v>
      </c>
      <c r="ED802886">
        <v>132</v>
      </c>
      <c r="EE802886">
        <v>133</v>
      </c>
      <c r="EF802886">
        <v>134</v>
      </c>
      <c r="EG802886">
        <v>135</v>
      </c>
      <c r="EH802886">
        <v>136</v>
      </c>
      <c r="EI802886">
        <v>137</v>
      </c>
      <c r="EJ802886">
        <v>138</v>
      </c>
      <c r="EK802886">
        <v>139</v>
      </c>
      <c r="EL802886">
        <v>140</v>
      </c>
      <c r="EM802886">
        <v>141</v>
      </c>
      <c r="EN802886">
        <v>142</v>
      </c>
      <c r="EO802886">
        <v>143</v>
      </c>
      <c r="EP802886">
        <v>144</v>
      </c>
    </row>
    <row r="802887" spans="2:146">
      <c r="CE802887" t="s">
        <v>451</v>
      </c>
    </row>
    <row r="819202" spans="2:2">
      <c r="B819202">
        <v>200</v>
      </c>
    </row>
    <row r="819203" spans="2:2">
      <c r="B819203">
        <v>200</v>
      </c>
    </row>
    <row r="819204" spans="2:2">
      <c r="B819204">
        <v>800</v>
      </c>
    </row>
    <row r="819205" spans="2:2">
      <c r="B819205">
        <v>200</v>
      </c>
    </row>
    <row r="819206" spans="2:2">
      <c r="B819206">
        <v>1044</v>
      </c>
    </row>
    <row r="819207" spans="2:2">
      <c r="B819207">
        <v>998.40000000000009</v>
      </c>
    </row>
    <row r="819208" spans="2:2">
      <c r="B819208">
        <v>272</v>
      </c>
    </row>
    <row r="819209" spans="2:2">
      <c r="B819209">
        <v>200</v>
      </c>
    </row>
    <row r="819210" spans="2:2">
      <c r="B819210">
        <v>214</v>
      </c>
    </row>
    <row r="819211" spans="2:2">
      <c r="B819211">
        <v>200</v>
      </c>
    </row>
    <row r="819212" spans="2:2">
      <c r="B819212">
        <v>152</v>
      </c>
    </row>
    <row r="819213" spans="2:2">
      <c r="B819213">
        <v>200</v>
      </c>
    </row>
    <row r="819214" spans="2:2">
      <c r="B819214">
        <v>300</v>
      </c>
    </row>
    <row r="819215" spans="2:2">
      <c r="B819215">
        <v>104</v>
      </c>
    </row>
    <row r="819216" spans="2:2">
      <c r="B819216">
        <v>162</v>
      </c>
    </row>
    <row r="819217" spans="2:2">
      <c r="B819217">
        <v>200</v>
      </c>
    </row>
    <row r="819218" spans="2:2">
      <c r="B819218">
        <v>200</v>
      </c>
    </row>
    <row r="819219" spans="2:2">
      <c r="B819219">
        <v>200</v>
      </c>
    </row>
    <row r="819220" spans="2:2">
      <c r="B819220">
        <v>200</v>
      </c>
    </row>
    <row r="819221" spans="2:2">
      <c r="B819221">
        <v>200</v>
      </c>
    </row>
    <row r="819222" spans="2:2">
      <c r="B819222">
        <v>200</v>
      </c>
    </row>
    <row r="819223" spans="2:2">
      <c r="B819223">
        <v>200</v>
      </c>
    </row>
    <row r="819224" spans="2:2">
      <c r="B819224">
        <v>200</v>
      </c>
    </row>
    <row r="819225" spans="2:2">
      <c r="B819225">
        <v>800</v>
      </c>
    </row>
    <row r="819226" spans="2:2">
      <c r="B819226">
        <v>300</v>
      </c>
    </row>
    <row r="819227" spans="2:2">
      <c r="B819227">
        <v>778</v>
      </c>
    </row>
    <row r="819228" spans="2:2">
      <c r="B819228">
        <v>614</v>
      </c>
    </row>
    <row r="819229" spans="2:2">
      <c r="B819229">
        <v>444</v>
      </c>
    </row>
    <row r="819230" spans="2:2">
      <c r="B819230">
        <v>800</v>
      </c>
    </row>
    <row r="819231" spans="2:2">
      <c r="B819231">
        <v>200</v>
      </c>
    </row>
    <row r="819232" spans="2:2">
      <c r="B819232">
        <v>780</v>
      </c>
    </row>
    <row r="819233" spans="2:146">
      <c r="B819233">
        <v>174</v>
      </c>
    </row>
    <row r="819234" spans="2:146">
      <c r="B819234">
        <v>194</v>
      </c>
    </row>
    <row r="819235" spans="2:146">
      <c r="B819235">
        <v>782</v>
      </c>
    </row>
    <row r="819236" spans="2:146">
      <c r="B819236">
        <v>236</v>
      </c>
    </row>
    <row r="819237" spans="2:146">
      <c r="B819237">
        <v>144</v>
      </c>
    </row>
    <row r="819238" spans="2:146">
      <c r="B819238">
        <v>200</v>
      </c>
    </row>
    <row r="819239" spans="2:146">
      <c r="B819239">
        <v>240</v>
      </c>
    </row>
    <row r="819240" spans="2:146">
      <c r="B819240">
        <v>200</v>
      </c>
    </row>
    <row r="819241" spans="2:146">
      <c r="B819241">
        <v>612</v>
      </c>
    </row>
    <row r="819242" spans="2:146">
      <c r="B819242">
        <v>156</v>
      </c>
    </row>
    <row r="819243" spans="2:146">
      <c r="B819243">
        <v>116</v>
      </c>
    </row>
    <row r="819244" spans="2:146">
      <c r="B819244">
        <v>160</v>
      </c>
    </row>
    <row r="819245" spans="2:146">
      <c r="B819245">
        <v>80</v>
      </c>
      <c r="EL819245">
        <v>0.66</v>
      </c>
      <c r="EM819245">
        <v>0.66</v>
      </c>
      <c r="EN819245">
        <v>0.66</v>
      </c>
      <c r="EO819245">
        <v>0.66</v>
      </c>
      <c r="EP819245">
        <v>0.66</v>
      </c>
    </row>
    <row r="819246" spans="2:146">
      <c r="B819246">
        <v>1144</v>
      </c>
      <c r="BV819246">
        <v>5.0999999999999996</v>
      </c>
      <c r="BW819246">
        <v>5.0999999999999996</v>
      </c>
      <c r="DB819246">
        <v>10.210000000000001</v>
      </c>
      <c r="DC819246">
        <v>10.210000000000001</v>
      </c>
      <c r="DD819246">
        <v>10.210000000000001</v>
      </c>
      <c r="DE819246">
        <v>10.210000000000001</v>
      </c>
      <c r="DF819246">
        <v>10.210000000000001</v>
      </c>
      <c r="DG819246">
        <v>10.210000000000001</v>
      </c>
      <c r="DH819246">
        <v>10.210000000000001</v>
      </c>
    </row>
    <row r="819247" spans="2:146">
      <c r="B819247">
        <v>1240</v>
      </c>
      <c r="EE819247">
        <v>8.15</v>
      </c>
      <c r="EF819247">
        <v>8.15</v>
      </c>
      <c r="EG819247">
        <v>8.15</v>
      </c>
      <c r="EH819247">
        <v>8.15</v>
      </c>
      <c r="EI819247">
        <v>8.15</v>
      </c>
      <c r="EJ819247">
        <v>8.15</v>
      </c>
      <c r="EK819247">
        <v>8.15</v>
      </c>
    </row>
    <row r="819248" spans="2:146">
      <c r="B819248">
        <v>2083.2000000000003</v>
      </c>
      <c r="DI819248">
        <v>20.03</v>
      </c>
      <c r="DJ819248">
        <v>20.03</v>
      </c>
      <c r="DQ819248">
        <v>20.03</v>
      </c>
      <c r="DT819248">
        <v>20.03</v>
      </c>
      <c r="DW819248">
        <v>20.03</v>
      </c>
    </row>
    <row r="819249" spans="2:134">
      <c r="B819249">
        <v>357.20000000000005</v>
      </c>
      <c r="DI819249">
        <v>3.88</v>
      </c>
      <c r="DJ819249">
        <v>3.88</v>
      </c>
      <c r="DV819249">
        <v>3.88</v>
      </c>
      <c r="DW819249">
        <v>3.88</v>
      </c>
    </row>
    <row r="819250" spans="2:134">
      <c r="B819250">
        <v>391.20000000000005</v>
      </c>
      <c r="DI819250">
        <v>3.62</v>
      </c>
      <c r="DJ819250">
        <v>3.62</v>
      </c>
      <c r="DR819250">
        <v>3.62</v>
      </c>
      <c r="DU819250">
        <v>3.62</v>
      </c>
      <c r="DV819250">
        <v>3.62</v>
      </c>
    </row>
    <row r="819251" spans="2:134">
      <c r="B819251">
        <v>762.80000000000007</v>
      </c>
      <c r="DI819251">
        <v>6.15</v>
      </c>
      <c r="DJ819251">
        <v>6.15</v>
      </c>
      <c r="DQ819251">
        <v>6.15</v>
      </c>
      <c r="DR819251">
        <v>6.15</v>
      </c>
      <c r="DS819251">
        <v>6.15</v>
      </c>
      <c r="DT819251">
        <v>6.15</v>
      </c>
    </row>
    <row r="819252" spans="2:134">
      <c r="B819252">
        <v>1280</v>
      </c>
      <c r="DI819252">
        <v>10.66</v>
      </c>
      <c r="DJ819252">
        <v>10.66</v>
      </c>
      <c r="DK819252">
        <v>10.66</v>
      </c>
      <c r="DL819252">
        <v>10.66</v>
      </c>
      <c r="DM819252">
        <v>10.66</v>
      </c>
      <c r="DN819252">
        <v>10.66</v>
      </c>
    </row>
    <row r="819253" spans="2:134">
      <c r="B819253">
        <v>234</v>
      </c>
      <c r="CT819253">
        <v>2.5</v>
      </c>
      <c r="CU819253">
        <v>2.5</v>
      </c>
      <c r="CV819253">
        <v>2.5</v>
      </c>
    </row>
    <row r="819254" spans="2:134">
      <c r="B819254">
        <v>354</v>
      </c>
      <c r="CY819254">
        <v>3.98</v>
      </c>
      <c r="CZ819254">
        <v>3.98</v>
      </c>
      <c r="DA819254">
        <v>3.98</v>
      </c>
    </row>
    <row r="819255" spans="2:134">
      <c r="B819255">
        <v>392</v>
      </c>
      <c r="DI819255">
        <v>3.52</v>
      </c>
      <c r="DJ819255">
        <v>3.52</v>
      </c>
      <c r="DL819255">
        <v>3.52</v>
      </c>
      <c r="DO819255">
        <v>3.52</v>
      </c>
    </row>
    <row r="819256" spans="2:134">
      <c r="B819256">
        <v>304</v>
      </c>
      <c r="CE819256">
        <v>3.8</v>
      </c>
      <c r="CF819256">
        <v>3.8</v>
      </c>
    </row>
    <row r="819257" spans="2:134">
      <c r="B819257">
        <v>144</v>
      </c>
      <c r="DZ819257">
        <v>1.62</v>
      </c>
      <c r="EA819257">
        <v>1.62</v>
      </c>
      <c r="EB819257">
        <v>1.62</v>
      </c>
      <c r="EC819257">
        <v>0.81</v>
      </c>
      <c r="ED819257">
        <v>0.81</v>
      </c>
    </row>
    <row r="819258" spans="2:134">
      <c r="B819258">
        <v>602.40000000000009</v>
      </c>
      <c r="BY819258">
        <v>6.02</v>
      </c>
      <c r="BZ819258">
        <v>6.02</v>
      </c>
      <c r="CB819258">
        <v>3.01</v>
      </c>
      <c r="CC819258">
        <v>3.01</v>
      </c>
      <c r="CD819258">
        <v>3.01</v>
      </c>
      <c r="CI819258">
        <v>6.02</v>
      </c>
      <c r="CJ819258">
        <v>6.02</v>
      </c>
      <c r="CK819258">
        <v>6.02</v>
      </c>
    </row>
    <row r="819259" spans="2:134">
      <c r="B819259">
        <v>307.60000000000002</v>
      </c>
      <c r="BY819259">
        <v>3.34</v>
      </c>
      <c r="BZ819259">
        <v>3.34</v>
      </c>
      <c r="CG819259">
        <v>3.34</v>
      </c>
      <c r="CH819259">
        <v>3.34</v>
      </c>
    </row>
    <row r="819260" spans="2:134">
      <c r="B819260">
        <v>358</v>
      </c>
      <c r="BY819260">
        <v>2.37</v>
      </c>
      <c r="BZ819260">
        <v>2.37</v>
      </c>
      <c r="CA819260">
        <v>2.37</v>
      </c>
      <c r="DX819260">
        <v>4.74</v>
      </c>
      <c r="DY819260">
        <v>4.74</v>
      </c>
    </row>
    <row r="819261" spans="2:134">
      <c r="B819261">
        <v>286</v>
      </c>
      <c r="BT819261">
        <v>1.43</v>
      </c>
      <c r="BV819261">
        <v>1.43</v>
      </c>
      <c r="BW819261">
        <v>1.43</v>
      </c>
      <c r="BX819261">
        <v>1.43</v>
      </c>
      <c r="CO819261">
        <v>2.86</v>
      </c>
      <c r="CP819261">
        <v>2.86</v>
      </c>
      <c r="CQ819261">
        <v>2.86</v>
      </c>
      <c r="CR819261">
        <v>2.86</v>
      </c>
      <c r="CS819261">
        <v>2.86</v>
      </c>
    </row>
    <row r="819262" spans="2:134">
      <c r="B819262">
        <v>410</v>
      </c>
      <c r="BY819262">
        <v>2.88</v>
      </c>
      <c r="BZ819262">
        <v>2.88</v>
      </c>
      <c r="CA819262">
        <v>2.88</v>
      </c>
      <c r="CW819262">
        <v>5.76</v>
      </c>
      <c r="CX819262">
        <v>5.76</v>
      </c>
    </row>
    <row r="819263" spans="2:134">
      <c r="B819263">
        <v>346</v>
      </c>
      <c r="BR819263">
        <v>3.6</v>
      </c>
      <c r="BS819263">
        <v>3.6</v>
      </c>
      <c r="BT819263">
        <v>1.8</v>
      </c>
      <c r="CL819263">
        <v>3.6</v>
      </c>
      <c r="CM819263">
        <v>3.6</v>
      </c>
      <c r="CN819263">
        <v>3.6</v>
      </c>
    </row>
    <row r="819264" spans="2:134">
      <c r="B819264">
        <v>302</v>
      </c>
      <c r="BR819264">
        <v>3.28</v>
      </c>
      <c r="BS819264">
        <v>3.28</v>
      </c>
      <c r="BT819264">
        <v>1.64</v>
      </c>
      <c r="BU819264">
        <v>1.64</v>
      </c>
      <c r="CL819264">
        <v>3.28</v>
      </c>
      <c r="CM819264">
        <v>3.28</v>
      </c>
      <c r="CN819264">
        <v>3.28</v>
      </c>
    </row>
    <row r="819265" spans="2:146">
      <c r="B819265">
        <v>204</v>
      </c>
      <c r="BR819265">
        <v>2.12</v>
      </c>
      <c r="BS819265">
        <v>2.12</v>
      </c>
      <c r="BT819265">
        <v>1.06</v>
      </c>
      <c r="CL819265">
        <v>2.12</v>
      </c>
      <c r="CM819265">
        <v>2.12</v>
      </c>
      <c r="CN819265">
        <v>2.12</v>
      </c>
    </row>
    <row r="819267" spans="2:146">
      <c r="B819267">
        <v>26358.800000000003</v>
      </c>
      <c r="BQ819267">
        <v>0</v>
      </c>
      <c r="BR819267">
        <v>9</v>
      </c>
      <c r="BS819267">
        <v>9</v>
      </c>
      <c r="BT819267">
        <v>5.93</v>
      </c>
      <c r="BU819267">
        <v>1.64</v>
      </c>
      <c r="BV819267">
        <v>6.5299999999999994</v>
      </c>
      <c r="BW819267">
        <v>6.5299999999999994</v>
      </c>
      <c r="BX819267">
        <v>1.43</v>
      </c>
      <c r="BY819267">
        <v>14.61</v>
      </c>
      <c r="BZ819267">
        <v>14.61</v>
      </c>
      <c r="CA819267">
        <v>5.25</v>
      </c>
      <c r="CB819267">
        <v>3.01</v>
      </c>
      <c r="CC819267">
        <v>3.01</v>
      </c>
      <c r="CD819267">
        <v>3.01</v>
      </c>
      <c r="CE819267">
        <v>3.8</v>
      </c>
      <c r="CF819267">
        <v>3.8</v>
      </c>
      <c r="CG819267">
        <v>3.34</v>
      </c>
      <c r="CH819267">
        <v>3.34</v>
      </c>
      <c r="CI819267">
        <v>6.02</v>
      </c>
      <c r="CJ819267">
        <v>6.02</v>
      </c>
      <c r="CK819267">
        <v>6.02</v>
      </c>
      <c r="CL819267">
        <v>9</v>
      </c>
      <c r="CM819267">
        <v>9</v>
      </c>
      <c r="CN819267">
        <v>9</v>
      </c>
      <c r="CO819267">
        <v>2.86</v>
      </c>
      <c r="CP819267">
        <v>2.86</v>
      </c>
      <c r="CQ819267">
        <v>2.86</v>
      </c>
      <c r="CR819267">
        <v>2.86</v>
      </c>
      <c r="CS819267">
        <v>2.86</v>
      </c>
      <c r="CT819267">
        <v>2.5</v>
      </c>
      <c r="CU819267">
        <v>2.5</v>
      </c>
      <c r="CV819267">
        <v>2.5</v>
      </c>
      <c r="CW819267">
        <v>5.76</v>
      </c>
      <c r="CX819267">
        <v>5.76</v>
      </c>
      <c r="CY819267">
        <v>3.98</v>
      </c>
      <c r="CZ819267">
        <v>3.98</v>
      </c>
      <c r="DA819267">
        <v>3.98</v>
      </c>
      <c r="DB819267">
        <v>10.210000000000001</v>
      </c>
      <c r="DC819267">
        <v>10.210000000000001</v>
      </c>
      <c r="DD819267">
        <v>10.210000000000001</v>
      </c>
      <c r="DE819267">
        <v>10.210000000000001</v>
      </c>
      <c r="DF819267">
        <v>10.210000000000001</v>
      </c>
      <c r="DG819267">
        <v>10.210000000000001</v>
      </c>
      <c r="DH819267">
        <v>10.210000000000001</v>
      </c>
      <c r="DI819267">
        <v>47.860000000000007</v>
      </c>
      <c r="DJ819267">
        <v>47.860000000000007</v>
      </c>
      <c r="DK819267">
        <v>10.66</v>
      </c>
      <c r="DL819267">
        <v>14.18</v>
      </c>
      <c r="DM819267">
        <v>10.66</v>
      </c>
      <c r="DN819267">
        <v>10.66</v>
      </c>
      <c r="DO819267">
        <v>3.52</v>
      </c>
      <c r="DP819267">
        <v>0</v>
      </c>
      <c r="DQ819267">
        <v>26.18</v>
      </c>
      <c r="DR819267">
        <v>9.77</v>
      </c>
      <c r="DS819267">
        <v>6.15</v>
      </c>
      <c r="DT819267">
        <v>26.18</v>
      </c>
      <c r="DU819267">
        <v>3.62</v>
      </c>
      <c r="DV819267">
        <v>7.5</v>
      </c>
      <c r="DW819267">
        <v>23.91</v>
      </c>
      <c r="DX819267">
        <v>4.74</v>
      </c>
      <c r="DY819267">
        <v>4.74</v>
      </c>
      <c r="DZ819267">
        <v>1.62</v>
      </c>
      <c r="EA819267">
        <v>1.62</v>
      </c>
      <c r="EB819267">
        <v>1.62</v>
      </c>
      <c r="EC819267">
        <v>0.81</v>
      </c>
      <c r="ED819267">
        <v>0.81</v>
      </c>
      <c r="EE819267">
        <v>8.15</v>
      </c>
      <c r="EF819267">
        <v>8.15</v>
      </c>
      <c r="EG819267">
        <v>8.15</v>
      </c>
      <c r="EH819267">
        <v>8.15</v>
      </c>
      <c r="EI819267">
        <v>8.15</v>
      </c>
      <c r="EJ819267">
        <v>8.15</v>
      </c>
      <c r="EK819267">
        <v>8.15</v>
      </c>
      <c r="EL819267">
        <v>0.66</v>
      </c>
      <c r="EM819267">
        <v>0.66</v>
      </c>
      <c r="EN819267">
        <v>0.66</v>
      </c>
      <c r="EO819267">
        <v>0.66</v>
      </c>
      <c r="EP819267">
        <v>0.66</v>
      </c>
    </row>
    <row r="819268" spans="2:146">
      <c r="B819268" t="s">
        <v>265</v>
      </c>
      <c r="BQ819268" t="s">
        <v>345</v>
      </c>
      <c r="BR819268" t="s">
        <v>131</v>
      </c>
      <c r="BS819268" t="s">
        <v>131</v>
      </c>
      <c r="BT819268" t="s">
        <v>357</v>
      </c>
      <c r="BU819268" t="s">
        <v>131</v>
      </c>
      <c r="BV819268" t="s">
        <v>360</v>
      </c>
      <c r="BW819268" t="s">
        <v>360</v>
      </c>
      <c r="BX819268" t="s">
        <v>360</v>
      </c>
      <c r="BY819268" t="s">
        <v>364</v>
      </c>
      <c r="BZ819268" t="s">
        <v>364</v>
      </c>
      <c r="CA819268" t="s">
        <v>364</v>
      </c>
      <c r="CB819268" t="s">
        <v>368</v>
      </c>
      <c r="CC819268" t="s">
        <v>368</v>
      </c>
      <c r="CD819268" t="s">
        <v>368</v>
      </c>
      <c r="CE819268" t="s">
        <v>352</v>
      </c>
      <c r="CF819268" t="s">
        <v>352</v>
      </c>
      <c r="CG819268" t="s">
        <v>372</v>
      </c>
      <c r="CH819268" t="s">
        <v>372</v>
      </c>
      <c r="CI819268" t="s">
        <v>375</v>
      </c>
      <c r="CJ819268" t="s">
        <v>375</v>
      </c>
      <c r="CK819268" t="s">
        <v>375</v>
      </c>
      <c r="CL819268" t="s">
        <v>379</v>
      </c>
      <c r="CM819268" t="s">
        <v>379</v>
      </c>
      <c r="CN819268" t="s">
        <v>379</v>
      </c>
      <c r="CO819268" t="s">
        <v>383</v>
      </c>
      <c r="CP819268" t="s">
        <v>383</v>
      </c>
      <c r="CQ819268" t="s">
        <v>383</v>
      </c>
      <c r="CR819268" t="s">
        <v>383</v>
      </c>
      <c r="CS819268" t="s">
        <v>383</v>
      </c>
      <c r="CT819268" t="s">
        <v>389</v>
      </c>
      <c r="CU819268" t="s">
        <v>389</v>
      </c>
      <c r="CV819268" t="s">
        <v>389</v>
      </c>
      <c r="CW819268" t="s">
        <v>393</v>
      </c>
      <c r="CX819268" t="s">
        <v>393</v>
      </c>
      <c r="CY819268" t="s">
        <v>396</v>
      </c>
      <c r="CZ819268" t="s">
        <v>396</v>
      </c>
      <c r="DA819268" t="s">
        <v>396</v>
      </c>
      <c r="DB819268" t="s">
        <v>400</v>
      </c>
      <c r="DC819268" t="s">
        <v>400</v>
      </c>
      <c r="DD819268" t="s">
        <v>400</v>
      </c>
      <c r="DE819268" t="s">
        <v>400</v>
      </c>
      <c r="DF819268" t="s">
        <v>400</v>
      </c>
      <c r="DG819268" t="s">
        <v>400</v>
      </c>
      <c r="DH819268" t="s">
        <v>400</v>
      </c>
      <c r="DI819268" t="s">
        <v>121</v>
      </c>
      <c r="DJ819268" t="s">
        <v>121</v>
      </c>
      <c r="DK819268" t="s">
        <v>121</v>
      </c>
      <c r="DL819268" t="s">
        <v>121</v>
      </c>
      <c r="DM819268" t="s">
        <v>121</v>
      </c>
      <c r="DN819268" t="s">
        <v>121</v>
      </c>
      <c r="DO819268" t="s">
        <v>121</v>
      </c>
      <c r="DP819268" t="s">
        <v>121</v>
      </c>
      <c r="DQ819268" t="s">
        <v>121</v>
      </c>
      <c r="DR819268" t="s">
        <v>121</v>
      </c>
      <c r="DS819268" t="s">
        <v>121</v>
      </c>
      <c r="DT819268" t="s">
        <v>121</v>
      </c>
      <c r="DU819268" t="s">
        <v>121</v>
      </c>
      <c r="DV819268" t="s">
        <v>121</v>
      </c>
      <c r="DW819268" t="s">
        <v>121</v>
      </c>
      <c r="DX819268" t="s">
        <v>423</v>
      </c>
      <c r="DY819268" t="s">
        <v>423</v>
      </c>
      <c r="DZ819268" t="s">
        <v>426</v>
      </c>
      <c r="EA819268" t="s">
        <v>426</v>
      </c>
      <c r="EB819268" t="s">
        <v>426</v>
      </c>
      <c r="EC819268" t="s">
        <v>426</v>
      </c>
      <c r="ED819268" t="s">
        <v>426</v>
      </c>
      <c r="EE819268" t="s">
        <v>432</v>
      </c>
      <c r="EF819268" t="s">
        <v>432</v>
      </c>
      <c r="EG819268" t="s">
        <v>432</v>
      </c>
      <c r="EH819268" t="s">
        <v>432</v>
      </c>
      <c r="EI819268" t="s">
        <v>432</v>
      </c>
      <c r="EJ819268" t="s">
        <v>432</v>
      </c>
      <c r="EK819268" t="s">
        <v>432</v>
      </c>
      <c r="EL819268" t="s">
        <v>440</v>
      </c>
      <c r="EM819268" t="s">
        <v>440</v>
      </c>
      <c r="EN819268" t="s">
        <v>440</v>
      </c>
      <c r="EO819268" t="s">
        <v>440</v>
      </c>
      <c r="EP819268" t="s">
        <v>440</v>
      </c>
    </row>
    <row r="819269" spans="2:146">
      <c r="BQ819269" t="s">
        <v>351</v>
      </c>
      <c r="BR819269" t="s">
        <v>355</v>
      </c>
      <c r="BS819269" t="s">
        <v>356</v>
      </c>
      <c r="BT819269" t="s">
        <v>358</v>
      </c>
      <c r="BU819269" t="s">
        <v>359</v>
      </c>
      <c r="BV819269" t="s">
        <v>361</v>
      </c>
      <c r="BW819269" t="s">
        <v>362</v>
      </c>
      <c r="BX819269" t="s">
        <v>363</v>
      </c>
      <c r="BY819269" t="s">
        <v>365</v>
      </c>
      <c r="BZ819269" t="s">
        <v>366</v>
      </c>
      <c r="CA819269" t="s">
        <v>367</v>
      </c>
      <c r="CB819269" t="s">
        <v>369</v>
      </c>
      <c r="CC819269" t="s">
        <v>370</v>
      </c>
      <c r="CD819269" t="s">
        <v>371</v>
      </c>
      <c r="CE819269" t="s">
        <v>353</v>
      </c>
      <c r="CF819269" t="s">
        <v>354</v>
      </c>
      <c r="CG819269" t="s">
        <v>373</v>
      </c>
      <c r="CH819269" t="s">
        <v>374</v>
      </c>
      <c r="CI819269" t="s">
        <v>376</v>
      </c>
      <c r="CJ819269" t="s">
        <v>377</v>
      </c>
      <c r="CK819269" t="s">
        <v>378</v>
      </c>
      <c r="CL819269" t="s">
        <v>380</v>
      </c>
      <c r="CM819269" t="s">
        <v>381</v>
      </c>
      <c r="CN819269" t="s">
        <v>382</v>
      </c>
      <c r="CO819269" t="s">
        <v>384</v>
      </c>
      <c r="CP819269" t="s">
        <v>385</v>
      </c>
      <c r="CQ819269" t="s">
        <v>386</v>
      </c>
      <c r="CR819269" t="s">
        <v>387</v>
      </c>
      <c r="CS819269" t="s">
        <v>388</v>
      </c>
      <c r="CT819269" t="s">
        <v>390</v>
      </c>
      <c r="CU819269" t="s">
        <v>391</v>
      </c>
      <c r="CV819269" t="s">
        <v>392</v>
      </c>
      <c r="CW819269" t="s">
        <v>394</v>
      </c>
      <c r="CX819269" t="s">
        <v>395</v>
      </c>
      <c r="CY819269" t="s">
        <v>397</v>
      </c>
      <c r="CZ819269" t="s">
        <v>398</v>
      </c>
      <c r="DA819269" t="s">
        <v>399</v>
      </c>
      <c r="DB819269" t="s">
        <v>401</v>
      </c>
      <c r="DC819269" t="s">
        <v>402</v>
      </c>
      <c r="DD819269" t="s">
        <v>403</v>
      </c>
      <c r="DE819269" t="s">
        <v>404</v>
      </c>
      <c r="DF819269" t="s">
        <v>405</v>
      </c>
      <c r="DG819269" t="s">
        <v>406</v>
      </c>
      <c r="DH819269" t="s">
        <v>407</v>
      </c>
      <c r="DI819269" t="s">
        <v>408</v>
      </c>
      <c r="DJ819269" t="s">
        <v>409</v>
      </c>
      <c r="DK819269" t="s">
        <v>410</v>
      </c>
      <c r="DL819269" t="s">
        <v>411</v>
      </c>
      <c r="DM819269" t="s">
        <v>412</v>
      </c>
      <c r="DN819269" t="s">
        <v>413</v>
      </c>
      <c r="DO819269" t="s">
        <v>414</v>
      </c>
      <c r="DP819269" t="s">
        <v>415</v>
      </c>
      <c r="DQ819269" t="s">
        <v>416</v>
      </c>
      <c r="DR819269" t="s">
        <v>417</v>
      </c>
      <c r="DS819269" t="s">
        <v>418</v>
      </c>
      <c r="DT819269" t="s">
        <v>419</v>
      </c>
      <c r="DU819269" t="s">
        <v>420</v>
      </c>
      <c r="DV819269" t="s">
        <v>421</v>
      </c>
      <c r="DW819269" t="s">
        <v>422</v>
      </c>
      <c r="DX819269" t="s">
        <v>424</v>
      </c>
      <c r="DY819269" t="s">
        <v>425</v>
      </c>
      <c r="DZ819269" t="s">
        <v>427</v>
      </c>
      <c r="EA819269" t="s">
        <v>428</v>
      </c>
      <c r="EB819269" t="s">
        <v>429</v>
      </c>
      <c r="EC819269" t="s">
        <v>430</v>
      </c>
      <c r="ED819269" t="s">
        <v>431</v>
      </c>
      <c r="EE819269" t="s">
        <v>433</v>
      </c>
      <c r="EF819269" t="s">
        <v>434</v>
      </c>
      <c r="EG819269" t="s">
        <v>435</v>
      </c>
      <c r="EH819269" t="s">
        <v>436</v>
      </c>
      <c r="EI819269" t="s">
        <v>437</v>
      </c>
      <c r="EJ819269" t="s">
        <v>438</v>
      </c>
      <c r="EK819269" t="s">
        <v>439</v>
      </c>
      <c r="EL819269" t="s">
        <v>441</v>
      </c>
      <c r="EM819269" t="s">
        <v>442</v>
      </c>
      <c r="EN819269" t="s">
        <v>443</v>
      </c>
      <c r="EO819269" t="s">
        <v>444</v>
      </c>
      <c r="EP819269" t="s">
        <v>445</v>
      </c>
    </row>
    <row r="819270" spans="2:146">
      <c r="BQ819270">
        <v>67</v>
      </c>
      <c r="BR819270">
        <v>68</v>
      </c>
      <c r="BS819270">
        <v>69</v>
      </c>
      <c r="BT819270">
        <v>70</v>
      </c>
      <c r="BU819270">
        <v>71</v>
      </c>
      <c r="BV819270">
        <v>72</v>
      </c>
      <c r="BW819270">
        <v>73</v>
      </c>
      <c r="BX819270">
        <v>74</v>
      </c>
      <c r="BY819270">
        <v>75</v>
      </c>
      <c r="BZ819270">
        <v>76</v>
      </c>
      <c r="CA819270">
        <v>77</v>
      </c>
      <c r="CB819270">
        <v>78</v>
      </c>
      <c r="CC819270">
        <v>79</v>
      </c>
      <c r="CD819270">
        <v>80</v>
      </c>
      <c r="CE819270">
        <v>81</v>
      </c>
      <c r="CF819270">
        <v>82</v>
      </c>
      <c r="CG819270">
        <v>83</v>
      </c>
      <c r="CH819270">
        <v>84</v>
      </c>
      <c r="CI819270">
        <v>85</v>
      </c>
      <c r="CJ819270">
        <v>86</v>
      </c>
      <c r="CK819270">
        <v>87</v>
      </c>
      <c r="CL819270">
        <v>88</v>
      </c>
      <c r="CM819270">
        <v>89</v>
      </c>
      <c r="CN819270">
        <v>90</v>
      </c>
      <c r="CO819270">
        <v>91</v>
      </c>
      <c r="CP819270">
        <v>92</v>
      </c>
      <c r="CQ819270">
        <v>93</v>
      </c>
      <c r="CR819270">
        <v>94</v>
      </c>
      <c r="CS819270">
        <v>95</v>
      </c>
      <c r="CT819270">
        <v>96</v>
      </c>
      <c r="CU819270">
        <v>97</v>
      </c>
      <c r="CV819270">
        <v>98</v>
      </c>
      <c r="CW819270">
        <v>99</v>
      </c>
      <c r="CX819270">
        <v>100</v>
      </c>
      <c r="CY819270">
        <v>101</v>
      </c>
      <c r="CZ819270">
        <v>102</v>
      </c>
      <c r="DA819270">
        <v>103</v>
      </c>
      <c r="DB819270">
        <v>104</v>
      </c>
      <c r="DC819270">
        <v>105</v>
      </c>
      <c r="DD819270">
        <v>106</v>
      </c>
      <c r="DE819270">
        <v>107</v>
      </c>
      <c r="DF819270">
        <v>108</v>
      </c>
      <c r="DG819270">
        <v>109</v>
      </c>
      <c r="DH819270">
        <v>110</v>
      </c>
      <c r="DI819270">
        <v>111</v>
      </c>
      <c r="DJ819270">
        <v>112</v>
      </c>
      <c r="DK819270">
        <v>113</v>
      </c>
      <c r="DL819270">
        <v>114</v>
      </c>
      <c r="DM819270">
        <v>115</v>
      </c>
      <c r="DN819270">
        <v>116</v>
      </c>
      <c r="DO819270">
        <v>117</v>
      </c>
      <c r="DP819270">
        <v>118</v>
      </c>
      <c r="DQ819270">
        <v>119</v>
      </c>
      <c r="DR819270">
        <v>120</v>
      </c>
      <c r="DS819270">
        <v>121</v>
      </c>
      <c r="DT819270">
        <v>122</v>
      </c>
      <c r="DU819270">
        <v>123</v>
      </c>
      <c r="DV819270">
        <v>124</v>
      </c>
      <c r="DW819270">
        <v>125</v>
      </c>
      <c r="DX819270">
        <v>126</v>
      </c>
      <c r="DY819270">
        <v>127</v>
      </c>
      <c r="DZ819270">
        <v>128</v>
      </c>
      <c r="EA819270">
        <v>129</v>
      </c>
      <c r="EB819270">
        <v>130</v>
      </c>
      <c r="EC819270">
        <v>131</v>
      </c>
      <c r="ED819270">
        <v>132</v>
      </c>
      <c r="EE819270">
        <v>133</v>
      </c>
      <c r="EF819270">
        <v>134</v>
      </c>
      <c r="EG819270">
        <v>135</v>
      </c>
      <c r="EH819270">
        <v>136</v>
      </c>
      <c r="EI819270">
        <v>137</v>
      </c>
      <c r="EJ819270">
        <v>138</v>
      </c>
      <c r="EK819270">
        <v>139</v>
      </c>
      <c r="EL819270">
        <v>140</v>
      </c>
      <c r="EM819270">
        <v>141</v>
      </c>
      <c r="EN819270">
        <v>142</v>
      </c>
      <c r="EO819270">
        <v>143</v>
      </c>
      <c r="EP819270">
        <v>144</v>
      </c>
    </row>
    <row r="819271" spans="2:146">
      <c r="CE819271" t="s">
        <v>451</v>
      </c>
    </row>
    <row r="835586" spans="2:2">
      <c r="B835586">
        <v>200</v>
      </c>
    </row>
    <row r="835587" spans="2:2">
      <c r="B835587">
        <v>200</v>
      </c>
    </row>
    <row r="835588" spans="2:2">
      <c r="B835588">
        <v>800</v>
      </c>
    </row>
    <row r="835589" spans="2:2">
      <c r="B835589">
        <v>200</v>
      </c>
    </row>
    <row r="835590" spans="2:2">
      <c r="B835590">
        <v>1044</v>
      </c>
    </row>
    <row r="835591" spans="2:2">
      <c r="B835591">
        <v>998.40000000000009</v>
      </c>
    </row>
    <row r="835592" spans="2:2">
      <c r="B835592">
        <v>272</v>
      </c>
    </row>
    <row r="835593" spans="2:2">
      <c r="B835593">
        <v>200</v>
      </c>
    </row>
    <row r="835594" spans="2:2">
      <c r="B835594">
        <v>214</v>
      </c>
    </row>
    <row r="835595" spans="2:2">
      <c r="B835595">
        <v>200</v>
      </c>
    </row>
    <row r="835596" spans="2:2">
      <c r="B835596">
        <v>152</v>
      </c>
    </row>
    <row r="835597" spans="2:2">
      <c r="B835597">
        <v>200</v>
      </c>
    </row>
    <row r="835598" spans="2:2">
      <c r="B835598">
        <v>300</v>
      </c>
    </row>
    <row r="835599" spans="2:2">
      <c r="B835599">
        <v>104</v>
      </c>
    </row>
    <row r="835600" spans="2:2">
      <c r="B835600">
        <v>162</v>
      </c>
    </row>
    <row r="835601" spans="2:2">
      <c r="B835601">
        <v>200</v>
      </c>
    </row>
    <row r="835602" spans="2:2">
      <c r="B835602">
        <v>200</v>
      </c>
    </row>
    <row r="835603" spans="2:2">
      <c r="B835603">
        <v>200</v>
      </c>
    </row>
    <row r="835604" spans="2:2">
      <c r="B835604">
        <v>200</v>
      </c>
    </row>
    <row r="835605" spans="2:2">
      <c r="B835605">
        <v>200</v>
      </c>
    </row>
    <row r="835606" spans="2:2">
      <c r="B835606">
        <v>200</v>
      </c>
    </row>
    <row r="835607" spans="2:2">
      <c r="B835607">
        <v>200</v>
      </c>
    </row>
    <row r="835608" spans="2:2">
      <c r="B835608">
        <v>200</v>
      </c>
    </row>
    <row r="835609" spans="2:2">
      <c r="B835609">
        <v>800</v>
      </c>
    </row>
    <row r="835610" spans="2:2">
      <c r="B835610">
        <v>300</v>
      </c>
    </row>
    <row r="835611" spans="2:2">
      <c r="B835611">
        <v>778</v>
      </c>
    </row>
    <row r="835612" spans="2:2">
      <c r="B835612">
        <v>614</v>
      </c>
    </row>
    <row r="835613" spans="2:2">
      <c r="B835613">
        <v>444</v>
      </c>
    </row>
    <row r="835614" spans="2:2">
      <c r="B835614">
        <v>800</v>
      </c>
    </row>
    <row r="835615" spans="2:2">
      <c r="B835615">
        <v>200</v>
      </c>
    </row>
    <row r="835616" spans="2:2">
      <c r="B835616">
        <v>780</v>
      </c>
    </row>
    <row r="835617" spans="2:146">
      <c r="B835617">
        <v>174</v>
      </c>
    </row>
    <row r="835618" spans="2:146">
      <c r="B835618">
        <v>194</v>
      </c>
    </row>
    <row r="835619" spans="2:146">
      <c r="B835619">
        <v>782</v>
      </c>
    </row>
    <row r="835620" spans="2:146">
      <c r="B835620">
        <v>236</v>
      </c>
    </row>
    <row r="835621" spans="2:146">
      <c r="B835621">
        <v>144</v>
      </c>
    </row>
    <row r="835622" spans="2:146">
      <c r="B835622">
        <v>200</v>
      </c>
    </row>
    <row r="835623" spans="2:146">
      <c r="B835623">
        <v>240</v>
      </c>
    </row>
    <row r="835624" spans="2:146">
      <c r="B835624">
        <v>200</v>
      </c>
    </row>
    <row r="835625" spans="2:146">
      <c r="B835625">
        <v>612</v>
      </c>
    </row>
    <row r="835626" spans="2:146">
      <c r="B835626">
        <v>156</v>
      </c>
    </row>
    <row r="835627" spans="2:146">
      <c r="B835627">
        <v>116</v>
      </c>
    </row>
    <row r="835628" spans="2:146">
      <c r="B835628">
        <v>160</v>
      </c>
    </row>
    <row r="835629" spans="2:146">
      <c r="B835629">
        <v>80</v>
      </c>
      <c r="EL835629">
        <v>0.66</v>
      </c>
      <c r="EM835629">
        <v>0.66</v>
      </c>
      <c r="EN835629">
        <v>0.66</v>
      </c>
      <c r="EO835629">
        <v>0.66</v>
      </c>
      <c r="EP835629">
        <v>0.66</v>
      </c>
    </row>
    <row r="835630" spans="2:146">
      <c r="B835630">
        <v>1144</v>
      </c>
      <c r="BV835630">
        <v>5.0999999999999996</v>
      </c>
      <c r="BW835630">
        <v>5.0999999999999996</v>
      </c>
      <c r="DB835630">
        <v>10.210000000000001</v>
      </c>
      <c r="DC835630">
        <v>10.210000000000001</v>
      </c>
      <c r="DD835630">
        <v>10.210000000000001</v>
      </c>
      <c r="DE835630">
        <v>10.210000000000001</v>
      </c>
      <c r="DF835630">
        <v>10.210000000000001</v>
      </c>
      <c r="DG835630">
        <v>10.210000000000001</v>
      </c>
      <c r="DH835630">
        <v>10.210000000000001</v>
      </c>
    </row>
    <row r="835631" spans="2:146">
      <c r="B835631">
        <v>1240</v>
      </c>
      <c r="EE835631">
        <v>8.15</v>
      </c>
      <c r="EF835631">
        <v>8.15</v>
      </c>
      <c r="EG835631">
        <v>8.15</v>
      </c>
      <c r="EH835631">
        <v>8.15</v>
      </c>
      <c r="EI835631">
        <v>8.15</v>
      </c>
      <c r="EJ835631">
        <v>8.15</v>
      </c>
      <c r="EK835631">
        <v>8.15</v>
      </c>
    </row>
    <row r="835632" spans="2:146">
      <c r="B835632">
        <v>2083.2000000000003</v>
      </c>
      <c r="DI835632">
        <v>20.03</v>
      </c>
      <c r="DJ835632">
        <v>20.03</v>
      </c>
      <c r="DQ835632">
        <v>20.03</v>
      </c>
      <c r="DT835632">
        <v>20.03</v>
      </c>
      <c r="DW835632">
        <v>20.03</v>
      </c>
    </row>
    <row r="835633" spans="2:134">
      <c r="B835633">
        <v>357.20000000000005</v>
      </c>
      <c r="DI835633">
        <v>3.88</v>
      </c>
      <c r="DJ835633">
        <v>3.88</v>
      </c>
      <c r="DV835633">
        <v>3.88</v>
      </c>
      <c r="DW835633">
        <v>3.88</v>
      </c>
    </row>
    <row r="835634" spans="2:134">
      <c r="B835634">
        <v>391.20000000000005</v>
      </c>
      <c r="DI835634">
        <v>3.62</v>
      </c>
      <c r="DJ835634">
        <v>3.62</v>
      </c>
      <c r="DR835634">
        <v>3.62</v>
      </c>
      <c r="DU835634">
        <v>3.62</v>
      </c>
      <c r="DV835634">
        <v>3.62</v>
      </c>
    </row>
    <row r="835635" spans="2:134">
      <c r="B835635">
        <v>762.80000000000007</v>
      </c>
      <c r="DI835635">
        <v>6.15</v>
      </c>
      <c r="DJ835635">
        <v>6.15</v>
      </c>
      <c r="DQ835635">
        <v>6.15</v>
      </c>
      <c r="DR835635">
        <v>6.15</v>
      </c>
      <c r="DS835635">
        <v>6.15</v>
      </c>
      <c r="DT835635">
        <v>6.15</v>
      </c>
    </row>
    <row r="835636" spans="2:134">
      <c r="B835636">
        <v>1280</v>
      </c>
      <c r="DI835636">
        <v>10.66</v>
      </c>
      <c r="DJ835636">
        <v>10.66</v>
      </c>
      <c r="DK835636">
        <v>10.66</v>
      </c>
      <c r="DL835636">
        <v>10.66</v>
      </c>
      <c r="DM835636">
        <v>10.66</v>
      </c>
      <c r="DN835636">
        <v>10.66</v>
      </c>
    </row>
    <row r="835637" spans="2:134">
      <c r="B835637">
        <v>234</v>
      </c>
      <c r="CT835637">
        <v>2.5</v>
      </c>
      <c r="CU835637">
        <v>2.5</v>
      </c>
      <c r="CV835637">
        <v>2.5</v>
      </c>
    </row>
    <row r="835638" spans="2:134">
      <c r="B835638">
        <v>354</v>
      </c>
      <c r="CY835638">
        <v>3.98</v>
      </c>
      <c r="CZ835638">
        <v>3.98</v>
      </c>
      <c r="DA835638">
        <v>3.98</v>
      </c>
    </row>
    <row r="835639" spans="2:134">
      <c r="B835639">
        <v>392</v>
      </c>
      <c r="DI835639">
        <v>3.52</v>
      </c>
      <c r="DJ835639">
        <v>3.52</v>
      </c>
      <c r="DL835639">
        <v>3.52</v>
      </c>
      <c r="DO835639">
        <v>3.52</v>
      </c>
    </row>
    <row r="835640" spans="2:134">
      <c r="B835640">
        <v>304</v>
      </c>
      <c r="CE835640">
        <v>3.8</v>
      </c>
      <c r="CF835640">
        <v>3.8</v>
      </c>
    </row>
    <row r="835641" spans="2:134">
      <c r="B835641">
        <v>144</v>
      </c>
      <c r="DZ835641">
        <v>1.62</v>
      </c>
      <c r="EA835641">
        <v>1.62</v>
      </c>
      <c r="EB835641">
        <v>1.62</v>
      </c>
      <c r="EC835641">
        <v>0.81</v>
      </c>
      <c r="ED835641">
        <v>0.81</v>
      </c>
    </row>
    <row r="835642" spans="2:134">
      <c r="B835642">
        <v>602.40000000000009</v>
      </c>
      <c r="BY835642">
        <v>6.02</v>
      </c>
      <c r="BZ835642">
        <v>6.02</v>
      </c>
      <c r="CB835642">
        <v>3.01</v>
      </c>
      <c r="CC835642">
        <v>3.01</v>
      </c>
      <c r="CD835642">
        <v>3.01</v>
      </c>
      <c r="CI835642">
        <v>6.02</v>
      </c>
      <c r="CJ835642">
        <v>6.02</v>
      </c>
      <c r="CK835642">
        <v>6.02</v>
      </c>
    </row>
    <row r="835643" spans="2:134">
      <c r="B835643">
        <v>307.60000000000002</v>
      </c>
      <c r="BY835643">
        <v>3.34</v>
      </c>
      <c r="BZ835643">
        <v>3.34</v>
      </c>
      <c r="CG835643">
        <v>3.34</v>
      </c>
      <c r="CH835643">
        <v>3.34</v>
      </c>
    </row>
    <row r="835644" spans="2:134">
      <c r="B835644">
        <v>358</v>
      </c>
      <c r="BY835644">
        <v>2.37</v>
      </c>
      <c r="BZ835644">
        <v>2.37</v>
      </c>
      <c r="CA835644">
        <v>2.37</v>
      </c>
      <c r="DX835644">
        <v>4.74</v>
      </c>
      <c r="DY835644">
        <v>4.74</v>
      </c>
    </row>
    <row r="835645" spans="2:134">
      <c r="B835645">
        <v>286</v>
      </c>
      <c r="BT835645">
        <v>1.43</v>
      </c>
      <c r="BV835645">
        <v>1.43</v>
      </c>
      <c r="BW835645">
        <v>1.43</v>
      </c>
      <c r="BX835645">
        <v>1.43</v>
      </c>
      <c r="CO835645">
        <v>2.86</v>
      </c>
      <c r="CP835645">
        <v>2.86</v>
      </c>
      <c r="CQ835645">
        <v>2.86</v>
      </c>
      <c r="CR835645">
        <v>2.86</v>
      </c>
      <c r="CS835645">
        <v>2.86</v>
      </c>
    </row>
    <row r="835646" spans="2:134">
      <c r="B835646">
        <v>410</v>
      </c>
      <c r="BY835646">
        <v>2.88</v>
      </c>
      <c r="BZ835646">
        <v>2.88</v>
      </c>
      <c r="CA835646">
        <v>2.88</v>
      </c>
      <c r="CW835646">
        <v>5.76</v>
      </c>
      <c r="CX835646">
        <v>5.76</v>
      </c>
    </row>
    <row r="835647" spans="2:134">
      <c r="B835647">
        <v>346</v>
      </c>
      <c r="BR835647">
        <v>3.6</v>
      </c>
      <c r="BS835647">
        <v>3.6</v>
      </c>
      <c r="BT835647">
        <v>1.8</v>
      </c>
      <c r="CL835647">
        <v>3.6</v>
      </c>
      <c r="CM835647">
        <v>3.6</v>
      </c>
      <c r="CN835647">
        <v>3.6</v>
      </c>
    </row>
    <row r="835648" spans="2:134">
      <c r="B835648">
        <v>302</v>
      </c>
      <c r="BR835648">
        <v>3.28</v>
      </c>
      <c r="BS835648">
        <v>3.28</v>
      </c>
      <c r="BT835648">
        <v>1.64</v>
      </c>
      <c r="BU835648">
        <v>1.64</v>
      </c>
      <c r="CL835648">
        <v>3.28</v>
      </c>
      <c r="CM835648">
        <v>3.28</v>
      </c>
      <c r="CN835648">
        <v>3.28</v>
      </c>
    </row>
    <row r="835649" spans="2:146">
      <c r="B835649">
        <v>204</v>
      </c>
      <c r="BR835649">
        <v>2.12</v>
      </c>
      <c r="BS835649">
        <v>2.12</v>
      </c>
      <c r="BT835649">
        <v>1.06</v>
      </c>
      <c r="CL835649">
        <v>2.12</v>
      </c>
      <c r="CM835649">
        <v>2.12</v>
      </c>
      <c r="CN835649">
        <v>2.12</v>
      </c>
    </row>
    <row r="835651" spans="2:146">
      <c r="B835651">
        <v>26358.800000000003</v>
      </c>
      <c r="BQ835651">
        <v>0</v>
      </c>
      <c r="BR835651">
        <v>9</v>
      </c>
      <c r="BS835651">
        <v>9</v>
      </c>
      <c r="BT835651">
        <v>5.93</v>
      </c>
      <c r="BU835651">
        <v>1.64</v>
      </c>
      <c r="BV835651">
        <v>6.5299999999999994</v>
      </c>
      <c r="BW835651">
        <v>6.5299999999999994</v>
      </c>
      <c r="BX835651">
        <v>1.43</v>
      </c>
      <c r="BY835651">
        <v>14.61</v>
      </c>
      <c r="BZ835651">
        <v>14.61</v>
      </c>
      <c r="CA835651">
        <v>5.25</v>
      </c>
      <c r="CB835651">
        <v>3.01</v>
      </c>
      <c r="CC835651">
        <v>3.01</v>
      </c>
      <c r="CD835651">
        <v>3.01</v>
      </c>
      <c r="CE835651">
        <v>3.8</v>
      </c>
      <c r="CF835651">
        <v>3.8</v>
      </c>
      <c r="CG835651">
        <v>3.34</v>
      </c>
      <c r="CH835651">
        <v>3.34</v>
      </c>
      <c r="CI835651">
        <v>6.02</v>
      </c>
      <c r="CJ835651">
        <v>6.02</v>
      </c>
      <c r="CK835651">
        <v>6.02</v>
      </c>
      <c r="CL835651">
        <v>9</v>
      </c>
      <c r="CM835651">
        <v>9</v>
      </c>
      <c r="CN835651">
        <v>9</v>
      </c>
      <c r="CO835651">
        <v>2.86</v>
      </c>
      <c r="CP835651">
        <v>2.86</v>
      </c>
      <c r="CQ835651">
        <v>2.86</v>
      </c>
      <c r="CR835651">
        <v>2.86</v>
      </c>
      <c r="CS835651">
        <v>2.86</v>
      </c>
      <c r="CT835651">
        <v>2.5</v>
      </c>
      <c r="CU835651">
        <v>2.5</v>
      </c>
      <c r="CV835651">
        <v>2.5</v>
      </c>
      <c r="CW835651">
        <v>5.76</v>
      </c>
      <c r="CX835651">
        <v>5.76</v>
      </c>
      <c r="CY835651">
        <v>3.98</v>
      </c>
      <c r="CZ835651">
        <v>3.98</v>
      </c>
      <c r="DA835651">
        <v>3.98</v>
      </c>
      <c r="DB835651">
        <v>10.210000000000001</v>
      </c>
      <c r="DC835651">
        <v>10.210000000000001</v>
      </c>
      <c r="DD835651">
        <v>10.210000000000001</v>
      </c>
      <c r="DE835651">
        <v>10.210000000000001</v>
      </c>
      <c r="DF835651">
        <v>10.210000000000001</v>
      </c>
      <c r="DG835651">
        <v>10.210000000000001</v>
      </c>
      <c r="DH835651">
        <v>10.210000000000001</v>
      </c>
      <c r="DI835651">
        <v>47.860000000000007</v>
      </c>
      <c r="DJ835651">
        <v>47.860000000000007</v>
      </c>
      <c r="DK835651">
        <v>10.66</v>
      </c>
      <c r="DL835651">
        <v>14.18</v>
      </c>
      <c r="DM835651">
        <v>10.66</v>
      </c>
      <c r="DN835651">
        <v>10.66</v>
      </c>
      <c r="DO835651">
        <v>3.52</v>
      </c>
      <c r="DP835651">
        <v>0</v>
      </c>
      <c r="DQ835651">
        <v>26.18</v>
      </c>
      <c r="DR835651">
        <v>9.77</v>
      </c>
      <c r="DS835651">
        <v>6.15</v>
      </c>
      <c r="DT835651">
        <v>26.18</v>
      </c>
      <c r="DU835651">
        <v>3.62</v>
      </c>
      <c r="DV835651">
        <v>7.5</v>
      </c>
      <c r="DW835651">
        <v>23.91</v>
      </c>
      <c r="DX835651">
        <v>4.74</v>
      </c>
      <c r="DY835651">
        <v>4.74</v>
      </c>
      <c r="DZ835651">
        <v>1.62</v>
      </c>
      <c r="EA835651">
        <v>1.62</v>
      </c>
      <c r="EB835651">
        <v>1.62</v>
      </c>
      <c r="EC835651">
        <v>0.81</v>
      </c>
      <c r="ED835651">
        <v>0.81</v>
      </c>
      <c r="EE835651">
        <v>8.15</v>
      </c>
      <c r="EF835651">
        <v>8.15</v>
      </c>
      <c r="EG835651">
        <v>8.15</v>
      </c>
      <c r="EH835651">
        <v>8.15</v>
      </c>
      <c r="EI835651">
        <v>8.15</v>
      </c>
      <c r="EJ835651">
        <v>8.15</v>
      </c>
      <c r="EK835651">
        <v>8.15</v>
      </c>
      <c r="EL835651">
        <v>0.66</v>
      </c>
      <c r="EM835651">
        <v>0.66</v>
      </c>
      <c r="EN835651">
        <v>0.66</v>
      </c>
      <c r="EO835651">
        <v>0.66</v>
      </c>
      <c r="EP835651">
        <v>0.66</v>
      </c>
    </row>
    <row r="835652" spans="2:146">
      <c r="B835652" t="s">
        <v>265</v>
      </c>
      <c r="BQ835652" t="s">
        <v>345</v>
      </c>
      <c r="BR835652" t="s">
        <v>131</v>
      </c>
      <c r="BS835652" t="s">
        <v>131</v>
      </c>
      <c r="BT835652" t="s">
        <v>357</v>
      </c>
      <c r="BU835652" t="s">
        <v>131</v>
      </c>
      <c r="BV835652" t="s">
        <v>360</v>
      </c>
      <c r="BW835652" t="s">
        <v>360</v>
      </c>
      <c r="BX835652" t="s">
        <v>360</v>
      </c>
      <c r="BY835652" t="s">
        <v>364</v>
      </c>
      <c r="BZ835652" t="s">
        <v>364</v>
      </c>
      <c r="CA835652" t="s">
        <v>364</v>
      </c>
      <c r="CB835652" t="s">
        <v>368</v>
      </c>
      <c r="CC835652" t="s">
        <v>368</v>
      </c>
      <c r="CD835652" t="s">
        <v>368</v>
      </c>
      <c r="CE835652" t="s">
        <v>352</v>
      </c>
      <c r="CF835652" t="s">
        <v>352</v>
      </c>
      <c r="CG835652" t="s">
        <v>372</v>
      </c>
      <c r="CH835652" t="s">
        <v>372</v>
      </c>
      <c r="CI835652" t="s">
        <v>375</v>
      </c>
      <c r="CJ835652" t="s">
        <v>375</v>
      </c>
      <c r="CK835652" t="s">
        <v>375</v>
      </c>
      <c r="CL835652" t="s">
        <v>379</v>
      </c>
      <c r="CM835652" t="s">
        <v>379</v>
      </c>
      <c r="CN835652" t="s">
        <v>379</v>
      </c>
      <c r="CO835652" t="s">
        <v>383</v>
      </c>
      <c r="CP835652" t="s">
        <v>383</v>
      </c>
      <c r="CQ835652" t="s">
        <v>383</v>
      </c>
      <c r="CR835652" t="s">
        <v>383</v>
      </c>
      <c r="CS835652" t="s">
        <v>383</v>
      </c>
      <c r="CT835652" t="s">
        <v>389</v>
      </c>
      <c r="CU835652" t="s">
        <v>389</v>
      </c>
      <c r="CV835652" t="s">
        <v>389</v>
      </c>
      <c r="CW835652" t="s">
        <v>393</v>
      </c>
      <c r="CX835652" t="s">
        <v>393</v>
      </c>
      <c r="CY835652" t="s">
        <v>396</v>
      </c>
      <c r="CZ835652" t="s">
        <v>396</v>
      </c>
      <c r="DA835652" t="s">
        <v>396</v>
      </c>
      <c r="DB835652" t="s">
        <v>400</v>
      </c>
      <c r="DC835652" t="s">
        <v>400</v>
      </c>
      <c r="DD835652" t="s">
        <v>400</v>
      </c>
      <c r="DE835652" t="s">
        <v>400</v>
      </c>
      <c r="DF835652" t="s">
        <v>400</v>
      </c>
      <c r="DG835652" t="s">
        <v>400</v>
      </c>
      <c r="DH835652" t="s">
        <v>400</v>
      </c>
      <c r="DI835652" t="s">
        <v>121</v>
      </c>
      <c r="DJ835652" t="s">
        <v>121</v>
      </c>
      <c r="DK835652" t="s">
        <v>121</v>
      </c>
      <c r="DL835652" t="s">
        <v>121</v>
      </c>
      <c r="DM835652" t="s">
        <v>121</v>
      </c>
      <c r="DN835652" t="s">
        <v>121</v>
      </c>
      <c r="DO835652" t="s">
        <v>121</v>
      </c>
      <c r="DP835652" t="s">
        <v>121</v>
      </c>
      <c r="DQ835652" t="s">
        <v>121</v>
      </c>
      <c r="DR835652" t="s">
        <v>121</v>
      </c>
      <c r="DS835652" t="s">
        <v>121</v>
      </c>
      <c r="DT835652" t="s">
        <v>121</v>
      </c>
      <c r="DU835652" t="s">
        <v>121</v>
      </c>
      <c r="DV835652" t="s">
        <v>121</v>
      </c>
      <c r="DW835652" t="s">
        <v>121</v>
      </c>
      <c r="DX835652" t="s">
        <v>423</v>
      </c>
      <c r="DY835652" t="s">
        <v>423</v>
      </c>
      <c r="DZ835652" t="s">
        <v>426</v>
      </c>
      <c r="EA835652" t="s">
        <v>426</v>
      </c>
      <c r="EB835652" t="s">
        <v>426</v>
      </c>
      <c r="EC835652" t="s">
        <v>426</v>
      </c>
      <c r="ED835652" t="s">
        <v>426</v>
      </c>
      <c r="EE835652" t="s">
        <v>432</v>
      </c>
      <c r="EF835652" t="s">
        <v>432</v>
      </c>
      <c r="EG835652" t="s">
        <v>432</v>
      </c>
      <c r="EH835652" t="s">
        <v>432</v>
      </c>
      <c r="EI835652" t="s">
        <v>432</v>
      </c>
      <c r="EJ835652" t="s">
        <v>432</v>
      </c>
      <c r="EK835652" t="s">
        <v>432</v>
      </c>
      <c r="EL835652" t="s">
        <v>440</v>
      </c>
      <c r="EM835652" t="s">
        <v>440</v>
      </c>
      <c r="EN835652" t="s">
        <v>440</v>
      </c>
      <c r="EO835652" t="s">
        <v>440</v>
      </c>
      <c r="EP835652" t="s">
        <v>440</v>
      </c>
    </row>
    <row r="835653" spans="2:146">
      <c r="BQ835653" t="s">
        <v>351</v>
      </c>
      <c r="BR835653" t="s">
        <v>355</v>
      </c>
      <c r="BS835653" t="s">
        <v>356</v>
      </c>
      <c r="BT835653" t="s">
        <v>358</v>
      </c>
      <c r="BU835653" t="s">
        <v>359</v>
      </c>
      <c r="BV835653" t="s">
        <v>361</v>
      </c>
      <c r="BW835653" t="s">
        <v>362</v>
      </c>
      <c r="BX835653" t="s">
        <v>363</v>
      </c>
      <c r="BY835653" t="s">
        <v>365</v>
      </c>
      <c r="BZ835653" t="s">
        <v>366</v>
      </c>
      <c r="CA835653" t="s">
        <v>367</v>
      </c>
      <c r="CB835653" t="s">
        <v>369</v>
      </c>
      <c r="CC835653" t="s">
        <v>370</v>
      </c>
      <c r="CD835653" t="s">
        <v>371</v>
      </c>
      <c r="CE835653" t="s">
        <v>353</v>
      </c>
      <c r="CF835653" t="s">
        <v>354</v>
      </c>
      <c r="CG835653" t="s">
        <v>373</v>
      </c>
      <c r="CH835653" t="s">
        <v>374</v>
      </c>
      <c r="CI835653" t="s">
        <v>376</v>
      </c>
      <c r="CJ835653" t="s">
        <v>377</v>
      </c>
      <c r="CK835653" t="s">
        <v>378</v>
      </c>
      <c r="CL835653" t="s">
        <v>380</v>
      </c>
      <c r="CM835653" t="s">
        <v>381</v>
      </c>
      <c r="CN835653" t="s">
        <v>382</v>
      </c>
      <c r="CO835653" t="s">
        <v>384</v>
      </c>
      <c r="CP835653" t="s">
        <v>385</v>
      </c>
      <c r="CQ835653" t="s">
        <v>386</v>
      </c>
      <c r="CR835653" t="s">
        <v>387</v>
      </c>
      <c r="CS835653" t="s">
        <v>388</v>
      </c>
      <c r="CT835653" t="s">
        <v>390</v>
      </c>
      <c r="CU835653" t="s">
        <v>391</v>
      </c>
      <c r="CV835653" t="s">
        <v>392</v>
      </c>
      <c r="CW835653" t="s">
        <v>394</v>
      </c>
      <c r="CX835653" t="s">
        <v>395</v>
      </c>
      <c r="CY835653" t="s">
        <v>397</v>
      </c>
      <c r="CZ835653" t="s">
        <v>398</v>
      </c>
      <c r="DA835653" t="s">
        <v>399</v>
      </c>
      <c r="DB835653" t="s">
        <v>401</v>
      </c>
      <c r="DC835653" t="s">
        <v>402</v>
      </c>
      <c r="DD835653" t="s">
        <v>403</v>
      </c>
      <c r="DE835653" t="s">
        <v>404</v>
      </c>
      <c r="DF835653" t="s">
        <v>405</v>
      </c>
      <c r="DG835653" t="s">
        <v>406</v>
      </c>
      <c r="DH835653" t="s">
        <v>407</v>
      </c>
      <c r="DI835653" t="s">
        <v>408</v>
      </c>
      <c r="DJ835653" t="s">
        <v>409</v>
      </c>
      <c r="DK835653" t="s">
        <v>410</v>
      </c>
      <c r="DL835653" t="s">
        <v>411</v>
      </c>
      <c r="DM835653" t="s">
        <v>412</v>
      </c>
      <c r="DN835653" t="s">
        <v>413</v>
      </c>
      <c r="DO835653" t="s">
        <v>414</v>
      </c>
      <c r="DP835653" t="s">
        <v>415</v>
      </c>
      <c r="DQ835653" t="s">
        <v>416</v>
      </c>
      <c r="DR835653" t="s">
        <v>417</v>
      </c>
      <c r="DS835653" t="s">
        <v>418</v>
      </c>
      <c r="DT835653" t="s">
        <v>419</v>
      </c>
      <c r="DU835653" t="s">
        <v>420</v>
      </c>
      <c r="DV835653" t="s">
        <v>421</v>
      </c>
      <c r="DW835653" t="s">
        <v>422</v>
      </c>
      <c r="DX835653" t="s">
        <v>424</v>
      </c>
      <c r="DY835653" t="s">
        <v>425</v>
      </c>
      <c r="DZ835653" t="s">
        <v>427</v>
      </c>
      <c r="EA835653" t="s">
        <v>428</v>
      </c>
      <c r="EB835653" t="s">
        <v>429</v>
      </c>
      <c r="EC835653" t="s">
        <v>430</v>
      </c>
      <c r="ED835653" t="s">
        <v>431</v>
      </c>
      <c r="EE835653" t="s">
        <v>433</v>
      </c>
      <c r="EF835653" t="s">
        <v>434</v>
      </c>
      <c r="EG835653" t="s">
        <v>435</v>
      </c>
      <c r="EH835653" t="s">
        <v>436</v>
      </c>
      <c r="EI835653" t="s">
        <v>437</v>
      </c>
      <c r="EJ835653" t="s">
        <v>438</v>
      </c>
      <c r="EK835653" t="s">
        <v>439</v>
      </c>
      <c r="EL835653" t="s">
        <v>441</v>
      </c>
      <c r="EM835653" t="s">
        <v>442</v>
      </c>
      <c r="EN835653" t="s">
        <v>443</v>
      </c>
      <c r="EO835653" t="s">
        <v>444</v>
      </c>
      <c r="EP835653" t="s">
        <v>445</v>
      </c>
    </row>
    <row r="835654" spans="2:146">
      <c r="BQ835654">
        <v>67</v>
      </c>
      <c r="BR835654">
        <v>68</v>
      </c>
      <c r="BS835654">
        <v>69</v>
      </c>
      <c r="BT835654">
        <v>70</v>
      </c>
      <c r="BU835654">
        <v>71</v>
      </c>
      <c r="BV835654">
        <v>72</v>
      </c>
      <c r="BW835654">
        <v>73</v>
      </c>
      <c r="BX835654">
        <v>74</v>
      </c>
      <c r="BY835654">
        <v>75</v>
      </c>
      <c r="BZ835654">
        <v>76</v>
      </c>
      <c r="CA835654">
        <v>77</v>
      </c>
      <c r="CB835654">
        <v>78</v>
      </c>
      <c r="CC835654">
        <v>79</v>
      </c>
      <c r="CD835654">
        <v>80</v>
      </c>
      <c r="CE835654">
        <v>81</v>
      </c>
      <c r="CF835654">
        <v>82</v>
      </c>
      <c r="CG835654">
        <v>83</v>
      </c>
      <c r="CH835654">
        <v>84</v>
      </c>
      <c r="CI835654">
        <v>85</v>
      </c>
      <c r="CJ835654">
        <v>86</v>
      </c>
      <c r="CK835654">
        <v>87</v>
      </c>
      <c r="CL835654">
        <v>88</v>
      </c>
      <c r="CM835654">
        <v>89</v>
      </c>
      <c r="CN835654">
        <v>90</v>
      </c>
      <c r="CO835654">
        <v>91</v>
      </c>
      <c r="CP835654">
        <v>92</v>
      </c>
      <c r="CQ835654">
        <v>93</v>
      </c>
      <c r="CR835654">
        <v>94</v>
      </c>
      <c r="CS835654">
        <v>95</v>
      </c>
      <c r="CT835654">
        <v>96</v>
      </c>
      <c r="CU835654">
        <v>97</v>
      </c>
      <c r="CV835654">
        <v>98</v>
      </c>
      <c r="CW835654">
        <v>99</v>
      </c>
      <c r="CX835654">
        <v>100</v>
      </c>
      <c r="CY835654">
        <v>101</v>
      </c>
      <c r="CZ835654">
        <v>102</v>
      </c>
      <c r="DA835654">
        <v>103</v>
      </c>
      <c r="DB835654">
        <v>104</v>
      </c>
      <c r="DC835654">
        <v>105</v>
      </c>
      <c r="DD835654">
        <v>106</v>
      </c>
      <c r="DE835654">
        <v>107</v>
      </c>
      <c r="DF835654">
        <v>108</v>
      </c>
      <c r="DG835654">
        <v>109</v>
      </c>
      <c r="DH835654">
        <v>110</v>
      </c>
      <c r="DI835654">
        <v>111</v>
      </c>
      <c r="DJ835654">
        <v>112</v>
      </c>
      <c r="DK835654">
        <v>113</v>
      </c>
      <c r="DL835654">
        <v>114</v>
      </c>
      <c r="DM835654">
        <v>115</v>
      </c>
      <c r="DN835654">
        <v>116</v>
      </c>
      <c r="DO835654">
        <v>117</v>
      </c>
      <c r="DP835654">
        <v>118</v>
      </c>
      <c r="DQ835654">
        <v>119</v>
      </c>
      <c r="DR835654">
        <v>120</v>
      </c>
      <c r="DS835654">
        <v>121</v>
      </c>
      <c r="DT835654">
        <v>122</v>
      </c>
      <c r="DU835654">
        <v>123</v>
      </c>
      <c r="DV835654">
        <v>124</v>
      </c>
      <c r="DW835654">
        <v>125</v>
      </c>
      <c r="DX835654">
        <v>126</v>
      </c>
      <c r="DY835654">
        <v>127</v>
      </c>
      <c r="DZ835654">
        <v>128</v>
      </c>
      <c r="EA835654">
        <v>129</v>
      </c>
      <c r="EB835654">
        <v>130</v>
      </c>
      <c r="EC835654">
        <v>131</v>
      </c>
      <c r="ED835654">
        <v>132</v>
      </c>
      <c r="EE835654">
        <v>133</v>
      </c>
      <c r="EF835654">
        <v>134</v>
      </c>
      <c r="EG835654">
        <v>135</v>
      </c>
      <c r="EH835654">
        <v>136</v>
      </c>
      <c r="EI835654">
        <v>137</v>
      </c>
      <c r="EJ835654">
        <v>138</v>
      </c>
      <c r="EK835654">
        <v>139</v>
      </c>
      <c r="EL835654">
        <v>140</v>
      </c>
      <c r="EM835654">
        <v>141</v>
      </c>
      <c r="EN835654">
        <v>142</v>
      </c>
      <c r="EO835654">
        <v>143</v>
      </c>
      <c r="EP835654">
        <v>144</v>
      </c>
    </row>
    <row r="835655" spans="2:146">
      <c r="CE835655" t="s">
        <v>451</v>
      </c>
    </row>
    <row r="851970" spans="2:2">
      <c r="B851970">
        <v>200</v>
      </c>
    </row>
    <row r="851971" spans="2:2">
      <c r="B851971">
        <v>200</v>
      </c>
    </row>
    <row r="851972" spans="2:2">
      <c r="B851972">
        <v>800</v>
      </c>
    </row>
    <row r="851973" spans="2:2">
      <c r="B851973">
        <v>200</v>
      </c>
    </row>
    <row r="851974" spans="2:2">
      <c r="B851974">
        <v>1044</v>
      </c>
    </row>
    <row r="851975" spans="2:2">
      <c r="B851975">
        <v>998.40000000000009</v>
      </c>
    </row>
    <row r="851976" spans="2:2">
      <c r="B851976">
        <v>272</v>
      </c>
    </row>
    <row r="851977" spans="2:2">
      <c r="B851977">
        <v>200</v>
      </c>
    </row>
    <row r="851978" spans="2:2">
      <c r="B851978">
        <v>214</v>
      </c>
    </row>
    <row r="851979" spans="2:2">
      <c r="B851979">
        <v>200</v>
      </c>
    </row>
    <row r="851980" spans="2:2">
      <c r="B851980">
        <v>152</v>
      </c>
    </row>
    <row r="851981" spans="2:2">
      <c r="B851981">
        <v>200</v>
      </c>
    </row>
    <row r="851982" spans="2:2">
      <c r="B851982">
        <v>300</v>
      </c>
    </row>
    <row r="851983" spans="2:2">
      <c r="B851983">
        <v>104</v>
      </c>
    </row>
    <row r="851984" spans="2:2">
      <c r="B851984">
        <v>162</v>
      </c>
    </row>
    <row r="851985" spans="2:2">
      <c r="B851985">
        <v>200</v>
      </c>
    </row>
    <row r="851986" spans="2:2">
      <c r="B851986">
        <v>200</v>
      </c>
    </row>
    <row r="851987" spans="2:2">
      <c r="B851987">
        <v>200</v>
      </c>
    </row>
    <row r="851988" spans="2:2">
      <c r="B851988">
        <v>200</v>
      </c>
    </row>
    <row r="851989" spans="2:2">
      <c r="B851989">
        <v>200</v>
      </c>
    </row>
    <row r="851990" spans="2:2">
      <c r="B851990">
        <v>200</v>
      </c>
    </row>
    <row r="851991" spans="2:2">
      <c r="B851991">
        <v>200</v>
      </c>
    </row>
    <row r="851992" spans="2:2">
      <c r="B851992">
        <v>200</v>
      </c>
    </row>
    <row r="851993" spans="2:2">
      <c r="B851993">
        <v>800</v>
      </c>
    </row>
    <row r="851994" spans="2:2">
      <c r="B851994">
        <v>300</v>
      </c>
    </row>
    <row r="851995" spans="2:2">
      <c r="B851995">
        <v>778</v>
      </c>
    </row>
    <row r="851996" spans="2:2">
      <c r="B851996">
        <v>614</v>
      </c>
    </row>
    <row r="851997" spans="2:2">
      <c r="B851997">
        <v>444</v>
      </c>
    </row>
    <row r="851998" spans="2:2">
      <c r="B851998">
        <v>800</v>
      </c>
    </row>
    <row r="851999" spans="2:2">
      <c r="B851999">
        <v>200</v>
      </c>
    </row>
    <row r="852000" spans="2:2">
      <c r="B852000">
        <v>780</v>
      </c>
    </row>
    <row r="852001" spans="2:146">
      <c r="B852001">
        <v>174</v>
      </c>
    </row>
    <row r="852002" spans="2:146">
      <c r="B852002">
        <v>194</v>
      </c>
    </row>
    <row r="852003" spans="2:146">
      <c r="B852003">
        <v>782</v>
      </c>
    </row>
    <row r="852004" spans="2:146">
      <c r="B852004">
        <v>236</v>
      </c>
    </row>
    <row r="852005" spans="2:146">
      <c r="B852005">
        <v>144</v>
      </c>
    </row>
    <row r="852006" spans="2:146">
      <c r="B852006">
        <v>200</v>
      </c>
    </row>
    <row r="852007" spans="2:146">
      <c r="B852007">
        <v>240</v>
      </c>
    </row>
    <row r="852008" spans="2:146">
      <c r="B852008">
        <v>200</v>
      </c>
    </row>
    <row r="852009" spans="2:146">
      <c r="B852009">
        <v>612</v>
      </c>
    </row>
    <row r="852010" spans="2:146">
      <c r="B852010">
        <v>156</v>
      </c>
    </row>
    <row r="852011" spans="2:146">
      <c r="B852011">
        <v>116</v>
      </c>
    </row>
    <row r="852012" spans="2:146">
      <c r="B852012">
        <v>160</v>
      </c>
    </row>
    <row r="852013" spans="2:146">
      <c r="B852013">
        <v>80</v>
      </c>
      <c r="EL852013">
        <v>0.66</v>
      </c>
      <c r="EM852013">
        <v>0.66</v>
      </c>
      <c r="EN852013">
        <v>0.66</v>
      </c>
      <c r="EO852013">
        <v>0.66</v>
      </c>
      <c r="EP852013">
        <v>0.66</v>
      </c>
    </row>
    <row r="852014" spans="2:146">
      <c r="B852014">
        <v>1144</v>
      </c>
      <c r="BV852014">
        <v>5.0999999999999996</v>
      </c>
      <c r="BW852014">
        <v>5.0999999999999996</v>
      </c>
      <c r="DB852014">
        <v>10.210000000000001</v>
      </c>
      <c r="DC852014">
        <v>10.210000000000001</v>
      </c>
      <c r="DD852014">
        <v>10.210000000000001</v>
      </c>
      <c r="DE852014">
        <v>10.210000000000001</v>
      </c>
      <c r="DF852014">
        <v>10.210000000000001</v>
      </c>
      <c r="DG852014">
        <v>10.210000000000001</v>
      </c>
      <c r="DH852014">
        <v>10.210000000000001</v>
      </c>
    </row>
    <row r="852015" spans="2:146">
      <c r="B852015">
        <v>1240</v>
      </c>
      <c r="EE852015">
        <v>8.15</v>
      </c>
      <c r="EF852015">
        <v>8.15</v>
      </c>
      <c r="EG852015">
        <v>8.15</v>
      </c>
      <c r="EH852015">
        <v>8.15</v>
      </c>
      <c r="EI852015">
        <v>8.15</v>
      </c>
      <c r="EJ852015">
        <v>8.15</v>
      </c>
      <c r="EK852015">
        <v>8.15</v>
      </c>
    </row>
    <row r="852016" spans="2:146">
      <c r="B852016">
        <v>2083.2000000000003</v>
      </c>
      <c r="DI852016">
        <v>20.03</v>
      </c>
      <c r="DJ852016">
        <v>20.03</v>
      </c>
      <c r="DQ852016">
        <v>20.03</v>
      </c>
      <c r="DT852016">
        <v>20.03</v>
      </c>
      <c r="DW852016">
        <v>20.03</v>
      </c>
    </row>
    <row r="852017" spans="2:134">
      <c r="B852017">
        <v>357.20000000000005</v>
      </c>
      <c r="DI852017">
        <v>3.88</v>
      </c>
      <c r="DJ852017">
        <v>3.88</v>
      </c>
      <c r="DV852017">
        <v>3.88</v>
      </c>
      <c r="DW852017">
        <v>3.88</v>
      </c>
    </row>
    <row r="852018" spans="2:134">
      <c r="B852018">
        <v>391.20000000000005</v>
      </c>
      <c r="DI852018">
        <v>3.62</v>
      </c>
      <c r="DJ852018">
        <v>3.62</v>
      </c>
      <c r="DR852018">
        <v>3.62</v>
      </c>
      <c r="DU852018">
        <v>3.62</v>
      </c>
      <c r="DV852018">
        <v>3.62</v>
      </c>
    </row>
    <row r="852019" spans="2:134">
      <c r="B852019">
        <v>762.80000000000007</v>
      </c>
      <c r="DI852019">
        <v>6.15</v>
      </c>
      <c r="DJ852019">
        <v>6.15</v>
      </c>
      <c r="DQ852019">
        <v>6.15</v>
      </c>
      <c r="DR852019">
        <v>6.15</v>
      </c>
      <c r="DS852019">
        <v>6.15</v>
      </c>
      <c r="DT852019">
        <v>6.15</v>
      </c>
    </row>
    <row r="852020" spans="2:134">
      <c r="B852020">
        <v>1280</v>
      </c>
      <c r="DI852020">
        <v>10.66</v>
      </c>
      <c r="DJ852020">
        <v>10.66</v>
      </c>
      <c r="DK852020">
        <v>10.66</v>
      </c>
      <c r="DL852020">
        <v>10.66</v>
      </c>
      <c r="DM852020">
        <v>10.66</v>
      </c>
      <c r="DN852020">
        <v>10.66</v>
      </c>
    </row>
    <row r="852021" spans="2:134">
      <c r="B852021">
        <v>234</v>
      </c>
      <c r="CT852021">
        <v>2.5</v>
      </c>
      <c r="CU852021">
        <v>2.5</v>
      </c>
      <c r="CV852021">
        <v>2.5</v>
      </c>
    </row>
    <row r="852022" spans="2:134">
      <c r="B852022">
        <v>354</v>
      </c>
      <c r="CY852022">
        <v>3.98</v>
      </c>
      <c r="CZ852022">
        <v>3.98</v>
      </c>
      <c r="DA852022">
        <v>3.98</v>
      </c>
    </row>
    <row r="852023" spans="2:134">
      <c r="B852023">
        <v>392</v>
      </c>
      <c r="DI852023">
        <v>3.52</v>
      </c>
      <c r="DJ852023">
        <v>3.52</v>
      </c>
      <c r="DL852023">
        <v>3.52</v>
      </c>
      <c r="DO852023">
        <v>3.52</v>
      </c>
    </row>
    <row r="852024" spans="2:134">
      <c r="B852024">
        <v>304</v>
      </c>
      <c r="CE852024">
        <v>3.8</v>
      </c>
      <c r="CF852024">
        <v>3.8</v>
      </c>
    </row>
    <row r="852025" spans="2:134">
      <c r="B852025">
        <v>144</v>
      </c>
      <c r="DZ852025">
        <v>1.62</v>
      </c>
      <c r="EA852025">
        <v>1.62</v>
      </c>
      <c r="EB852025">
        <v>1.62</v>
      </c>
      <c r="EC852025">
        <v>0.81</v>
      </c>
      <c r="ED852025">
        <v>0.81</v>
      </c>
    </row>
    <row r="852026" spans="2:134">
      <c r="B852026">
        <v>602.40000000000009</v>
      </c>
      <c r="BY852026">
        <v>6.02</v>
      </c>
      <c r="BZ852026">
        <v>6.02</v>
      </c>
      <c r="CB852026">
        <v>3.01</v>
      </c>
      <c r="CC852026">
        <v>3.01</v>
      </c>
      <c r="CD852026">
        <v>3.01</v>
      </c>
      <c r="CI852026">
        <v>6.02</v>
      </c>
      <c r="CJ852026">
        <v>6.02</v>
      </c>
      <c r="CK852026">
        <v>6.02</v>
      </c>
    </row>
    <row r="852027" spans="2:134">
      <c r="B852027">
        <v>307.60000000000002</v>
      </c>
      <c r="BY852027">
        <v>3.34</v>
      </c>
      <c r="BZ852027">
        <v>3.34</v>
      </c>
      <c r="CG852027">
        <v>3.34</v>
      </c>
      <c r="CH852027">
        <v>3.34</v>
      </c>
    </row>
    <row r="852028" spans="2:134">
      <c r="B852028">
        <v>358</v>
      </c>
      <c r="BY852028">
        <v>2.37</v>
      </c>
      <c r="BZ852028">
        <v>2.37</v>
      </c>
      <c r="CA852028">
        <v>2.37</v>
      </c>
      <c r="DX852028">
        <v>4.74</v>
      </c>
      <c r="DY852028">
        <v>4.74</v>
      </c>
    </row>
    <row r="852029" spans="2:134">
      <c r="B852029">
        <v>286</v>
      </c>
      <c r="BT852029">
        <v>1.43</v>
      </c>
      <c r="BV852029">
        <v>1.43</v>
      </c>
      <c r="BW852029">
        <v>1.43</v>
      </c>
      <c r="BX852029">
        <v>1.43</v>
      </c>
      <c r="CO852029">
        <v>2.86</v>
      </c>
      <c r="CP852029">
        <v>2.86</v>
      </c>
      <c r="CQ852029">
        <v>2.86</v>
      </c>
      <c r="CR852029">
        <v>2.86</v>
      </c>
      <c r="CS852029">
        <v>2.86</v>
      </c>
    </row>
    <row r="852030" spans="2:134">
      <c r="B852030">
        <v>410</v>
      </c>
      <c r="BY852030">
        <v>2.88</v>
      </c>
      <c r="BZ852030">
        <v>2.88</v>
      </c>
      <c r="CA852030">
        <v>2.88</v>
      </c>
      <c r="CW852030">
        <v>5.76</v>
      </c>
      <c r="CX852030">
        <v>5.76</v>
      </c>
    </row>
    <row r="852031" spans="2:134">
      <c r="B852031">
        <v>346</v>
      </c>
      <c r="BR852031">
        <v>3.6</v>
      </c>
      <c r="BS852031">
        <v>3.6</v>
      </c>
      <c r="BT852031">
        <v>1.8</v>
      </c>
      <c r="CL852031">
        <v>3.6</v>
      </c>
      <c r="CM852031">
        <v>3.6</v>
      </c>
      <c r="CN852031">
        <v>3.6</v>
      </c>
    </row>
    <row r="852032" spans="2:134">
      <c r="B852032">
        <v>302</v>
      </c>
      <c r="BR852032">
        <v>3.28</v>
      </c>
      <c r="BS852032">
        <v>3.28</v>
      </c>
      <c r="BT852032">
        <v>1.64</v>
      </c>
      <c r="BU852032">
        <v>1.64</v>
      </c>
      <c r="CL852032">
        <v>3.28</v>
      </c>
      <c r="CM852032">
        <v>3.28</v>
      </c>
      <c r="CN852032">
        <v>3.28</v>
      </c>
    </row>
    <row r="852033" spans="2:146">
      <c r="B852033">
        <v>204</v>
      </c>
      <c r="BR852033">
        <v>2.12</v>
      </c>
      <c r="BS852033">
        <v>2.12</v>
      </c>
      <c r="BT852033">
        <v>1.06</v>
      </c>
      <c r="CL852033">
        <v>2.12</v>
      </c>
      <c r="CM852033">
        <v>2.12</v>
      </c>
      <c r="CN852033">
        <v>2.12</v>
      </c>
    </row>
    <row r="852035" spans="2:146">
      <c r="B852035">
        <v>26358.800000000003</v>
      </c>
      <c r="BQ852035">
        <v>0</v>
      </c>
      <c r="BR852035">
        <v>9</v>
      </c>
      <c r="BS852035">
        <v>9</v>
      </c>
      <c r="BT852035">
        <v>5.93</v>
      </c>
      <c r="BU852035">
        <v>1.64</v>
      </c>
      <c r="BV852035">
        <v>6.5299999999999994</v>
      </c>
      <c r="BW852035">
        <v>6.5299999999999994</v>
      </c>
      <c r="BX852035">
        <v>1.43</v>
      </c>
      <c r="BY852035">
        <v>14.61</v>
      </c>
      <c r="BZ852035">
        <v>14.61</v>
      </c>
      <c r="CA852035">
        <v>5.25</v>
      </c>
      <c r="CB852035">
        <v>3.01</v>
      </c>
      <c r="CC852035">
        <v>3.01</v>
      </c>
      <c r="CD852035">
        <v>3.01</v>
      </c>
      <c r="CE852035">
        <v>3.8</v>
      </c>
      <c r="CF852035">
        <v>3.8</v>
      </c>
      <c r="CG852035">
        <v>3.34</v>
      </c>
      <c r="CH852035">
        <v>3.34</v>
      </c>
      <c r="CI852035">
        <v>6.02</v>
      </c>
      <c r="CJ852035">
        <v>6.02</v>
      </c>
      <c r="CK852035">
        <v>6.02</v>
      </c>
      <c r="CL852035">
        <v>9</v>
      </c>
      <c r="CM852035">
        <v>9</v>
      </c>
      <c r="CN852035">
        <v>9</v>
      </c>
      <c r="CO852035">
        <v>2.86</v>
      </c>
      <c r="CP852035">
        <v>2.86</v>
      </c>
      <c r="CQ852035">
        <v>2.86</v>
      </c>
      <c r="CR852035">
        <v>2.86</v>
      </c>
      <c r="CS852035">
        <v>2.86</v>
      </c>
      <c r="CT852035">
        <v>2.5</v>
      </c>
      <c r="CU852035">
        <v>2.5</v>
      </c>
      <c r="CV852035">
        <v>2.5</v>
      </c>
      <c r="CW852035">
        <v>5.76</v>
      </c>
      <c r="CX852035">
        <v>5.76</v>
      </c>
      <c r="CY852035">
        <v>3.98</v>
      </c>
      <c r="CZ852035">
        <v>3.98</v>
      </c>
      <c r="DA852035">
        <v>3.98</v>
      </c>
      <c r="DB852035">
        <v>10.210000000000001</v>
      </c>
      <c r="DC852035">
        <v>10.210000000000001</v>
      </c>
      <c r="DD852035">
        <v>10.210000000000001</v>
      </c>
      <c r="DE852035">
        <v>10.210000000000001</v>
      </c>
      <c r="DF852035">
        <v>10.210000000000001</v>
      </c>
      <c r="DG852035">
        <v>10.210000000000001</v>
      </c>
      <c r="DH852035">
        <v>10.210000000000001</v>
      </c>
      <c r="DI852035">
        <v>47.860000000000007</v>
      </c>
      <c r="DJ852035">
        <v>47.860000000000007</v>
      </c>
      <c r="DK852035">
        <v>10.66</v>
      </c>
      <c r="DL852035">
        <v>14.18</v>
      </c>
      <c r="DM852035">
        <v>10.66</v>
      </c>
      <c r="DN852035">
        <v>10.66</v>
      </c>
      <c r="DO852035">
        <v>3.52</v>
      </c>
      <c r="DP852035">
        <v>0</v>
      </c>
      <c r="DQ852035">
        <v>26.18</v>
      </c>
      <c r="DR852035">
        <v>9.77</v>
      </c>
      <c r="DS852035">
        <v>6.15</v>
      </c>
      <c r="DT852035">
        <v>26.18</v>
      </c>
      <c r="DU852035">
        <v>3.62</v>
      </c>
      <c r="DV852035">
        <v>7.5</v>
      </c>
      <c r="DW852035">
        <v>23.91</v>
      </c>
      <c r="DX852035">
        <v>4.74</v>
      </c>
      <c r="DY852035">
        <v>4.74</v>
      </c>
      <c r="DZ852035">
        <v>1.62</v>
      </c>
      <c r="EA852035">
        <v>1.62</v>
      </c>
      <c r="EB852035">
        <v>1.62</v>
      </c>
      <c r="EC852035">
        <v>0.81</v>
      </c>
      <c r="ED852035">
        <v>0.81</v>
      </c>
      <c r="EE852035">
        <v>8.15</v>
      </c>
      <c r="EF852035">
        <v>8.15</v>
      </c>
      <c r="EG852035">
        <v>8.15</v>
      </c>
      <c r="EH852035">
        <v>8.15</v>
      </c>
      <c r="EI852035">
        <v>8.15</v>
      </c>
      <c r="EJ852035">
        <v>8.15</v>
      </c>
      <c r="EK852035">
        <v>8.15</v>
      </c>
      <c r="EL852035">
        <v>0.66</v>
      </c>
      <c r="EM852035">
        <v>0.66</v>
      </c>
      <c r="EN852035">
        <v>0.66</v>
      </c>
      <c r="EO852035">
        <v>0.66</v>
      </c>
      <c r="EP852035">
        <v>0.66</v>
      </c>
    </row>
    <row r="852036" spans="2:146">
      <c r="B852036" t="s">
        <v>265</v>
      </c>
      <c r="BQ852036" t="s">
        <v>345</v>
      </c>
      <c r="BR852036" t="s">
        <v>131</v>
      </c>
      <c r="BS852036" t="s">
        <v>131</v>
      </c>
      <c r="BT852036" t="s">
        <v>357</v>
      </c>
      <c r="BU852036" t="s">
        <v>131</v>
      </c>
      <c r="BV852036" t="s">
        <v>360</v>
      </c>
      <c r="BW852036" t="s">
        <v>360</v>
      </c>
      <c r="BX852036" t="s">
        <v>360</v>
      </c>
      <c r="BY852036" t="s">
        <v>364</v>
      </c>
      <c r="BZ852036" t="s">
        <v>364</v>
      </c>
      <c r="CA852036" t="s">
        <v>364</v>
      </c>
      <c r="CB852036" t="s">
        <v>368</v>
      </c>
      <c r="CC852036" t="s">
        <v>368</v>
      </c>
      <c r="CD852036" t="s">
        <v>368</v>
      </c>
      <c r="CE852036" t="s">
        <v>352</v>
      </c>
      <c r="CF852036" t="s">
        <v>352</v>
      </c>
      <c r="CG852036" t="s">
        <v>372</v>
      </c>
      <c r="CH852036" t="s">
        <v>372</v>
      </c>
      <c r="CI852036" t="s">
        <v>375</v>
      </c>
      <c r="CJ852036" t="s">
        <v>375</v>
      </c>
      <c r="CK852036" t="s">
        <v>375</v>
      </c>
      <c r="CL852036" t="s">
        <v>379</v>
      </c>
      <c r="CM852036" t="s">
        <v>379</v>
      </c>
      <c r="CN852036" t="s">
        <v>379</v>
      </c>
      <c r="CO852036" t="s">
        <v>383</v>
      </c>
      <c r="CP852036" t="s">
        <v>383</v>
      </c>
      <c r="CQ852036" t="s">
        <v>383</v>
      </c>
      <c r="CR852036" t="s">
        <v>383</v>
      </c>
      <c r="CS852036" t="s">
        <v>383</v>
      </c>
      <c r="CT852036" t="s">
        <v>389</v>
      </c>
      <c r="CU852036" t="s">
        <v>389</v>
      </c>
      <c r="CV852036" t="s">
        <v>389</v>
      </c>
      <c r="CW852036" t="s">
        <v>393</v>
      </c>
      <c r="CX852036" t="s">
        <v>393</v>
      </c>
      <c r="CY852036" t="s">
        <v>396</v>
      </c>
      <c r="CZ852036" t="s">
        <v>396</v>
      </c>
      <c r="DA852036" t="s">
        <v>396</v>
      </c>
      <c r="DB852036" t="s">
        <v>400</v>
      </c>
      <c r="DC852036" t="s">
        <v>400</v>
      </c>
      <c r="DD852036" t="s">
        <v>400</v>
      </c>
      <c r="DE852036" t="s">
        <v>400</v>
      </c>
      <c r="DF852036" t="s">
        <v>400</v>
      </c>
      <c r="DG852036" t="s">
        <v>400</v>
      </c>
      <c r="DH852036" t="s">
        <v>400</v>
      </c>
      <c r="DI852036" t="s">
        <v>121</v>
      </c>
      <c r="DJ852036" t="s">
        <v>121</v>
      </c>
      <c r="DK852036" t="s">
        <v>121</v>
      </c>
      <c r="DL852036" t="s">
        <v>121</v>
      </c>
      <c r="DM852036" t="s">
        <v>121</v>
      </c>
      <c r="DN852036" t="s">
        <v>121</v>
      </c>
      <c r="DO852036" t="s">
        <v>121</v>
      </c>
      <c r="DP852036" t="s">
        <v>121</v>
      </c>
      <c r="DQ852036" t="s">
        <v>121</v>
      </c>
      <c r="DR852036" t="s">
        <v>121</v>
      </c>
      <c r="DS852036" t="s">
        <v>121</v>
      </c>
      <c r="DT852036" t="s">
        <v>121</v>
      </c>
      <c r="DU852036" t="s">
        <v>121</v>
      </c>
      <c r="DV852036" t="s">
        <v>121</v>
      </c>
      <c r="DW852036" t="s">
        <v>121</v>
      </c>
      <c r="DX852036" t="s">
        <v>423</v>
      </c>
      <c r="DY852036" t="s">
        <v>423</v>
      </c>
      <c r="DZ852036" t="s">
        <v>426</v>
      </c>
      <c r="EA852036" t="s">
        <v>426</v>
      </c>
      <c r="EB852036" t="s">
        <v>426</v>
      </c>
      <c r="EC852036" t="s">
        <v>426</v>
      </c>
      <c r="ED852036" t="s">
        <v>426</v>
      </c>
      <c r="EE852036" t="s">
        <v>432</v>
      </c>
      <c r="EF852036" t="s">
        <v>432</v>
      </c>
      <c r="EG852036" t="s">
        <v>432</v>
      </c>
      <c r="EH852036" t="s">
        <v>432</v>
      </c>
      <c r="EI852036" t="s">
        <v>432</v>
      </c>
      <c r="EJ852036" t="s">
        <v>432</v>
      </c>
      <c r="EK852036" t="s">
        <v>432</v>
      </c>
      <c r="EL852036" t="s">
        <v>440</v>
      </c>
      <c r="EM852036" t="s">
        <v>440</v>
      </c>
      <c r="EN852036" t="s">
        <v>440</v>
      </c>
      <c r="EO852036" t="s">
        <v>440</v>
      </c>
      <c r="EP852036" t="s">
        <v>440</v>
      </c>
    </row>
    <row r="852037" spans="2:146">
      <c r="BQ852037" t="s">
        <v>351</v>
      </c>
      <c r="BR852037" t="s">
        <v>355</v>
      </c>
      <c r="BS852037" t="s">
        <v>356</v>
      </c>
      <c r="BT852037" t="s">
        <v>358</v>
      </c>
      <c r="BU852037" t="s">
        <v>359</v>
      </c>
      <c r="BV852037" t="s">
        <v>361</v>
      </c>
      <c r="BW852037" t="s">
        <v>362</v>
      </c>
      <c r="BX852037" t="s">
        <v>363</v>
      </c>
      <c r="BY852037" t="s">
        <v>365</v>
      </c>
      <c r="BZ852037" t="s">
        <v>366</v>
      </c>
      <c r="CA852037" t="s">
        <v>367</v>
      </c>
      <c r="CB852037" t="s">
        <v>369</v>
      </c>
      <c r="CC852037" t="s">
        <v>370</v>
      </c>
      <c r="CD852037" t="s">
        <v>371</v>
      </c>
      <c r="CE852037" t="s">
        <v>353</v>
      </c>
      <c r="CF852037" t="s">
        <v>354</v>
      </c>
      <c r="CG852037" t="s">
        <v>373</v>
      </c>
      <c r="CH852037" t="s">
        <v>374</v>
      </c>
      <c r="CI852037" t="s">
        <v>376</v>
      </c>
      <c r="CJ852037" t="s">
        <v>377</v>
      </c>
      <c r="CK852037" t="s">
        <v>378</v>
      </c>
      <c r="CL852037" t="s">
        <v>380</v>
      </c>
      <c r="CM852037" t="s">
        <v>381</v>
      </c>
      <c r="CN852037" t="s">
        <v>382</v>
      </c>
      <c r="CO852037" t="s">
        <v>384</v>
      </c>
      <c r="CP852037" t="s">
        <v>385</v>
      </c>
      <c r="CQ852037" t="s">
        <v>386</v>
      </c>
      <c r="CR852037" t="s">
        <v>387</v>
      </c>
      <c r="CS852037" t="s">
        <v>388</v>
      </c>
      <c r="CT852037" t="s">
        <v>390</v>
      </c>
      <c r="CU852037" t="s">
        <v>391</v>
      </c>
      <c r="CV852037" t="s">
        <v>392</v>
      </c>
      <c r="CW852037" t="s">
        <v>394</v>
      </c>
      <c r="CX852037" t="s">
        <v>395</v>
      </c>
      <c r="CY852037" t="s">
        <v>397</v>
      </c>
      <c r="CZ852037" t="s">
        <v>398</v>
      </c>
      <c r="DA852037" t="s">
        <v>399</v>
      </c>
      <c r="DB852037" t="s">
        <v>401</v>
      </c>
      <c r="DC852037" t="s">
        <v>402</v>
      </c>
      <c r="DD852037" t="s">
        <v>403</v>
      </c>
      <c r="DE852037" t="s">
        <v>404</v>
      </c>
      <c r="DF852037" t="s">
        <v>405</v>
      </c>
      <c r="DG852037" t="s">
        <v>406</v>
      </c>
      <c r="DH852037" t="s">
        <v>407</v>
      </c>
      <c r="DI852037" t="s">
        <v>408</v>
      </c>
      <c r="DJ852037" t="s">
        <v>409</v>
      </c>
      <c r="DK852037" t="s">
        <v>410</v>
      </c>
      <c r="DL852037" t="s">
        <v>411</v>
      </c>
      <c r="DM852037" t="s">
        <v>412</v>
      </c>
      <c r="DN852037" t="s">
        <v>413</v>
      </c>
      <c r="DO852037" t="s">
        <v>414</v>
      </c>
      <c r="DP852037" t="s">
        <v>415</v>
      </c>
      <c r="DQ852037" t="s">
        <v>416</v>
      </c>
      <c r="DR852037" t="s">
        <v>417</v>
      </c>
      <c r="DS852037" t="s">
        <v>418</v>
      </c>
      <c r="DT852037" t="s">
        <v>419</v>
      </c>
      <c r="DU852037" t="s">
        <v>420</v>
      </c>
      <c r="DV852037" t="s">
        <v>421</v>
      </c>
      <c r="DW852037" t="s">
        <v>422</v>
      </c>
      <c r="DX852037" t="s">
        <v>424</v>
      </c>
      <c r="DY852037" t="s">
        <v>425</v>
      </c>
      <c r="DZ852037" t="s">
        <v>427</v>
      </c>
      <c r="EA852037" t="s">
        <v>428</v>
      </c>
      <c r="EB852037" t="s">
        <v>429</v>
      </c>
      <c r="EC852037" t="s">
        <v>430</v>
      </c>
      <c r="ED852037" t="s">
        <v>431</v>
      </c>
      <c r="EE852037" t="s">
        <v>433</v>
      </c>
      <c r="EF852037" t="s">
        <v>434</v>
      </c>
      <c r="EG852037" t="s">
        <v>435</v>
      </c>
      <c r="EH852037" t="s">
        <v>436</v>
      </c>
      <c r="EI852037" t="s">
        <v>437</v>
      </c>
      <c r="EJ852037" t="s">
        <v>438</v>
      </c>
      <c r="EK852037" t="s">
        <v>439</v>
      </c>
      <c r="EL852037" t="s">
        <v>441</v>
      </c>
      <c r="EM852037" t="s">
        <v>442</v>
      </c>
      <c r="EN852037" t="s">
        <v>443</v>
      </c>
      <c r="EO852037" t="s">
        <v>444</v>
      </c>
      <c r="EP852037" t="s">
        <v>445</v>
      </c>
    </row>
    <row r="852038" spans="2:146">
      <c r="BQ852038">
        <v>67</v>
      </c>
      <c r="BR852038">
        <v>68</v>
      </c>
      <c r="BS852038">
        <v>69</v>
      </c>
      <c r="BT852038">
        <v>70</v>
      </c>
      <c r="BU852038">
        <v>71</v>
      </c>
      <c r="BV852038">
        <v>72</v>
      </c>
      <c r="BW852038">
        <v>73</v>
      </c>
      <c r="BX852038">
        <v>74</v>
      </c>
      <c r="BY852038">
        <v>75</v>
      </c>
      <c r="BZ852038">
        <v>76</v>
      </c>
      <c r="CA852038">
        <v>77</v>
      </c>
      <c r="CB852038">
        <v>78</v>
      </c>
      <c r="CC852038">
        <v>79</v>
      </c>
      <c r="CD852038">
        <v>80</v>
      </c>
      <c r="CE852038">
        <v>81</v>
      </c>
      <c r="CF852038">
        <v>82</v>
      </c>
      <c r="CG852038">
        <v>83</v>
      </c>
      <c r="CH852038">
        <v>84</v>
      </c>
      <c r="CI852038">
        <v>85</v>
      </c>
      <c r="CJ852038">
        <v>86</v>
      </c>
      <c r="CK852038">
        <v>87</v>
      </c>
      <c r="CL852038">
        <v>88</v>
      </c>
      <c r="CM852038">
        <v>89</v>
      </c>
      <c r="CN852038">
        <v>90</v>
      </c>
      <c r="CO852038">
        <v>91</v>
      </c>
      <c r="CP852038">
        <v>92</v>
      </c>
      <c r="CQ852038">
        <v>93</v>
      </c>
      <c r="CR852038">
        <v>94</v>
      </c>
      <c r="CS852038">
        <v>95</v>
      </c>
      <c r="CT852038">
        <v>96</v>
      </c>
      <c r="CU852038">
        <v>97</v>
      </c>
      <c r="CV852038">
        <v>98</v>
      </c>
      <c r="CW852038">
        <v>99</v>
      </c>
      <c r="CX852038">
        <v>100</v>
      </c>
      <c r="CY852038">
        <v>101</v>
      </c>
      <c r="CZ852038">
        <v>102</v>
      </c>
      <c r="DA852038">
        <v>103</v>
      </c>
      <c r="DB852038">
        <v>104</v>
      </c>
      <c r="DC852038">
        <v>105</v>
      </c>
      <c r="DD852038">
        <v>106</v>
      </c>
      <c r="DE852038">
        <v>107</v>
      </c>
      <c r="DF852038">
        <v>108</v>
      </c>
      <c r="DG852038">
        <v>109</v>
      </c>
      <c r="DH852038">
        <v>110</v>
      </c>
      <c r="DI852038">
        <v>111</v>
      </c>
      <c r="DJ852038">
        <v>112</v>
      </c>
      <c r="DK852038">
        <v>113</v>
      </c>
      <c r="DL852038">
        <v>114</v>
      </c>
      <c r="DM852038">
        <v>115</v>
      </c>
      <c r="DN852038">
        <v>116</v>
      </c>
      <c r="DO852038">
        <v>117</v>
      </c>
      <c r="DP852038">
        <v>118</v>
      </c>
      <c r="DQ852038">
        <v>119</v>
      </c>
      <c r="DR852038">
        <v>120</v>
      </c>
      <c r="DS852038">
        <v>121</v>
      </c>
      <c r="DT852038">
        <v>122</v>
      </c>
      <c r="DU852038">
        <v>123</v>
      </c>
      <c r="DV852038">
        <v>124</v>
      </c>
      <c r="DW852038">
        <v>125</v>
      </c>
      <c r="DX852038">
        <v>126</v>
      </c>
      <c r="DY852038">
        <v>127</v>
      </c>
      <c r="DZ852038">
        <v>128</v>
      </c>
      <c r="EA852038">
        <v>129</v>
      </c>
      <c r="EB852038">
        <v>130</v>
      </c>
      <c r="EC852038">
        <v>131</v>
      </c>
      <c r="ED852038">
        <v>132</v>
      </c>
      <c r="EE852038">
        <v>133</v>
      </c>
      <c r="EF852038">
        <v>134</v>
      </c>
      <c r="EG852038">
        <v>135</v>
      </c>
      <c r="EH852038">
        <v>136</v>
      </c>
      <c r="EI852038">
        <v>137</v>
      </c>
      <c r="EJ852038">
        <v>138</v>
      </c>
      <c r="EK852038">
        <v>139</v>
      </c>
      <c r="EL852038">
        <v>140</v>
      </c>
      <c r="EM852038">
        <v>141</v>
      </c>
      <c r="EN852038">
        <v>142</v>
      </c>
      <c r="EO852038">
        <v>143</v>
      </c>
      <c r="EP852038">
        <v>144</v>
      </c>
    </row>
    <row r="852039" spans="2:146">
      <c r="CE852039" t="s">
        <v>451</v>
      </c>
    </row>
    <row r="868354" spans="2:2">
      <c r="B868354">
        <v>200</v>
      </c>
    </row>
    <row r="868355" spans="2:2">
      <c r="B868355">
        <v>200</v>
      </c>
    </row>
    <row r="868356" spans="2:2">
      <c r="B868356">
        <v>800</v>
      </c>
    </row>
    <row r="868357" spans="2:2">
      <c r="B868357">
        <v>200</v>
      </c>
    </row>
    <row r="868358" spans="2:2">
      <c r="B868358">
        <v>1044</v>
      </c>
    </row>
    <row r="868359" spans="2:2">
      <c r="B868359">
        <v>998.40000000000009</v>
      </c>
    </row>
    <row r="868360" spans="2:2">
      <c r="B868360">
        <v>272</v>
      </c>
    </row>
    <row r="868361" spans="2:2">
      <c r="B868361">
        <v>200</v>
      </c>
    </row>
    <row r="868362" spans="2:2">
      <c r="B868362">
        <v>214</v>
      </c>
    </row>
    <row r="868363" spans="2:2">
      <c r="B868363">
        <v>200</v>
      </c>
    </row>
    <row r="868364" spans="2:2">
      <c r="B868364">
        <v>152</v>
      </c>
    </row>
    <row r="868365" spans="2:2">
      <c r="B868365">
        <v>200</v>
      </c>
    </row>
    <row r="868366" spans="2:2">
      <c r="B868366">
        <v>300</v>
      </c>
    </row>
    <row r="868367" spans="2:2">
      <c r="B868367">
        <v>104</v>
      </c>
    </row>
    <row r="868368" spans="2:2">
      <c r="B868368">
        <v>162</v>
      </c>
    </row>
    <row r="868369" spans="2:2">
      <c r="B868369">
        <v>200</v>
      </c>
    </row>
    <row r="868370" spans="2:2">
      <c r="B868370">
        <v>200</v>
      </c>
    </row>
    <row r="868371" spans="2:2">
      <c r="B868371">
        <v>200</v>
      </c>
    </row>
    <row r="868372" spans="2:2">
      <c r="B868372">
        <v>200</v>
      </c>
    </row>
    <row r="868373" spans="2:2">
      <c r="B868373">
        <v>200</v>
      </c>
    </row>
    <row r="868374" spans="2:2">
      <c r="B868374">
        <v>200</v>
      </c>
    </row>
    <row r="868375" spans="2:2">
      <c r="B868375">
        <v>200</v>
      </c>
    </row>
    <row r="868376" spans="2:2">
      <c r="B868376">
        <v>200</v>
      </c>
    </row>
    <row r="868377" spans="2:2">
      <c r="B868377">
        <v>800</v>
      </c>
    </row>
    <row r="868378" spans="2:2">
      <c r="B868378">
        <v>300</v>
      </c>
    </row>
    <row r="868379" spans="2:2">
      <c r="B868379">
        <v>778</v>
      </c>
    </row>
    <row r="868380" spans="2:2">
      <c r="B868380">
        <v>614</v>
      </c>
    </row>
    <row r="868381" spans="2:2">
      <c r="B868381">
        <v>444</v>
      </c>
    </row>
    <row r="868382" spans="2:2">
      <c r="B868382">
        <v>800</v>
      </c>
    </row>
    <row r="868383" spans="2:2">
      <c r="B868383">
        <v>200</v>
      </c>
    </row>
    <row r="868384" spans="2:2">
      <c r="B868384">
        <v>780</v>
      </c>
    </row>
    <row r="868385" spans="2:146">
      <c r="B868385">
        <v>174</v>
      </c>
    </row>
    <row r="868386" spans="2:146">
      <c r="B868386">
        <v>194</v>
      </c>
    </row>
    <row r="868387" spans="2:146">
      <c r="B868387">
        <v>782</v>
      </c>
    </row>
    <row r="868388" spans="2:146">
      <c r="B868388">
        <v>236</v>
      </c>
    </row>
    <row r="868389" spans="2:146">
      <c r="B868389">
        <v>144</v>
      </c>
    </row>
    <row r="868390" spans="2:146">
      <c r="B868390">
        <v>200</v>
      </c>
    </row>
    <row r="868391" spans="2:146">
      <c r="B868391">
        <v>240</v>
      </c>
    </row>
    <row r="868392" spans="2:146">
      <c r="B868392">
        <v>200</v>
      </c>
    </row>
    <row r="868393" spans="2:146">
      <c r="B868393">
        <v>612</v>
      </c>
    </row>
    <row r="868394" spans="2:146">
      <c r="B868394">
        <v>156</v>
      </c>
    </row>
    <row r="868395" spans="2:146">
      <c r="B868395">
        <v>116</v>
      </c>
    </row>
    <row r="868396" spans="2:146">
      <c r="B868396">
        <v>160</v>
      </c>
    </row>
    <row r="868397" spans="2:146">
      <c r="B868397">
        <v>80</v>
      </c>
      <c r="EL868397">
        <v>0.66</v>
      </c>
      <c r="EM868397">
        <v>0.66</v>
      </c>
      <c r="EN868397">
        <v>0.66</v>
      </c>
      <c r="EO868397">
        <v>0.66</v>
      </c>
      <c r="EP868397">
        <v>0.66</v>
      </c>
    </row>
    <row r="868398" spans="2:146">
      <c r="B868398">
        <v>1144</v>
      </c>
      <c r="BV868398">
        <v>5.0999999999999996</v>
      </c>
      <c r="BW868398">
        <v>5.0999999999999996</v>
      </c>
      <c r="DB868398">
        <v>10.210000000000001</v>
      </c>
      <c r="DC868398">
        <v>10.210000000000001</v>
      </c>
      <c r="DD868398">
        <v>10.210000000000001</v>
      </c>
      <c r="DE868398">
        <v>10.210000000000001</v>
      </c>
      <c r="DF868398">
        <v>10.210000000000001</v>
      </c>
      <c r="DG868398">
        <v>10.210000000000001</v>
      </c>
      <c r="DH868398">
        <v>10.210000000000001</v>
      </c>
    </row>
    <row r="868399" spans="2:146">
      <c r="B868399">
        <v>1240</v>
      </c>
      <c r="EE868399">
        <v>8.15</v>
      </c>
      <c r="EF868399">
        <v>8.15</v>
      </c>
      <c r="EG868399">
        <v>8.15</v>
      </c>
      <c r="EH868399">
        <v>8.15</v>
      </c>
      <c r="EI868399">
        <v>8.15</v>
      </c>
      <c r="EJ868399">
        <v>8.15</v>
      </c>
      <c r="EK868399">
        <v>8.15</v>
      </c>
    </row>
    <row r="868400" spans="2:146">
      <c r="B868400">
        <v>2083.2000000000003</v>
      </c>
      <c r="DI868400">
        <v>20.03</v>
      </c>
      <c r="DJ868400">
        <v>20.03</v>
      </c>
      <c r="DQ868400">
        <v>20.03</v>
      </c>
      <c r="DT868400">
        <v>20.03</v>
      </c>
      <c r="DW868400">
        <v>20.03</v>
      </c>
    </row>
    <row r="868401" spans="2:134">
      <c r="B868401">
        <v>357.20000000000005</v>
      </c>
      <c r="DI868401">
        <v>3.88</v>
      </c>
      <c r="DJ868401">
        <v>3.88</v>
      </c>
      <c r="DV868401">
        <v>3.88</v>
      </c>
      <c r="DW868401">
        <v>3.88</v>
      </c>
    </row>
    <row r="868402" spans="2:134">
      <c r="B868402">
        <v>391.20000000000005</v>
      </c>
      <c r="DI868402">
        <v>3.62</v>
      </c>
      <c r="DJ868402">
        <v>3.62</v>
      </c>
      <c r="DR868402">
        <v>3.62</v>
      </c>
      <c r="DU868402">
        <v>3.62</v>
      </c>
      <c r="DV868402">
        <v>3.62</v>
      </c>
    </row>
    <row r="868403" spans="2:134">
      <c r="B868403">
        <v>762.80000000000007</v>
      </c>
      <c r="DI868403">
        <v>6.15</v>
      </c>
      <c r="DJ868403">
        <v>6.15</v>
      </c>
      <c r="DQ868403">
        <v>6.15</v>
      </c>
      <c r="DR868403">
        <v>6.15</v>
      </c>
      <c r="DS868403">
        <v>6.15</v>
      </c>
      <c r="DT868403">
        <v>6.15</v>
      </c>
    </row>
    <row r="868404" spans="2:134">
      <c r="B868404">
        <v>1280</v>
      </c>
      <c r="DI868404">
        <v>10.66</v>
      </c>
      <c r="DJ868404">
        <v>10.66</v>
      </c>
      <c r="DK868404">
        <v>10.66</v>
      </c>
      <c r="DL868404">
        <v>10.66</v>
      </c>
      <c r="DM868404">
        <v>10.66</v>
      </c>
      <c r="DN868404">
        <v>10.66</v>
      </c>
    </row>
    <row r="868405" spans="2:134">
      <c r="B868405">
        <v>234</v>
      </c>
      <c r="CT868405">
        <v>2.5</v>
      </c>
      <c r="CU868405">
        <v>2.5</v>
      </c>
      <c r="CV868405">
        <v>2.5</v>
      </c>
    </row>
    <row r="868406" spans="2:134">
      <c r="B868406">
        <v>354</v>
      </c>
      <c r="CY868406">
        <v>3.98</v>
      </c>
      <c r="CZ868406">
        <v>3.98</v>
      </c>
      <c r="DA868406">
        <v>3.98</v>
      </c>
    </row>
    <row r="868407" spans="2:134">
      <c r="B868407">
        <v>392</v>
      </c>
      <c r="DI868407">
        <v>3.52</v>
      </c>
      <c r="DJ868407">
        <v>3.52</v>
      </c>
      <c r="DL868407">
        <v>3.52</v>
      </c>
      <c r="DO868407">
        <v>3.52</v>
      </c>
    </row>
    <row r="868408" spans="2:134">
      <c r="B868408">
        <v>304</v>
      </c>
      <c r="CE868408">
        <v>3.8</v>
      </c>
      <c r="CF868408">
        <v>3.8</v>
      </c>
    </row>
    <row r="868409" spans="2:134">
      <c r="B868409">
        <v>144</v>
      </c>
      <c r="DZ868409">
        <v>1.62</v>
      </c>
      <c r="EA868409">
        <v>1.62</v>
      </c>
      <c r="EB868409">
        <v>1.62</v>
      </c>
      <c r="EC868409">
        <v>0.81</v>
      </c>
      <c r="ED868409">
        <v>0.81</v>
      </c>
    </row>
    <row r="868410" spans="2:134">
      <c r="B868410">
        <v>602.40000000000009</v>
      </c>
      <c r="BY868410">
        <v>6.02</v>
      </c>
      <c r="BZ868410">
        <v>6.02</v>
      </c>
      <c r="CB868410">
        <v>3.01</v>
      </c>
      <c r="CC868410">
        <v>3.01</v>
      </c>
      <c r="CD868410">
        <v>3.01</v>
      </c>
      <c r="CI868410">
        <v>6.02</v>
      </c>
      <c r="CJ868410">
        <v>6.02</v>
      </c>
      <c r="CK868410">
        <v>6.02</v>
      </c>
    </row>
    <row r="868411" spans="2:134">
      <c r="B868411">
        <v>307.60000000000002</v>
      </c>
      <c r="BY868411">
        <v>3.34</v>
      </c>
      <c r="BZ868411">
        <v>3.34</v>
      </c>
      <c r="CG868411">
        <v>3.34</v>
      </c>
      <c r="CH868411">
        <v>3.34</v>
      </c>
    </row>
    <row r="868412" spans="2:134">
      <c r="B868412">
        <v>358</v>
      </c>
      <c r="BY868412">
        <v>2.37</v>
      </c>
      <c r="BZ868412">
        <v>2.37</v>
      </c>
      <c r="CA868412">
        <v>2.37</v>
      </c>
      <c r="DX868412">
        <v>4.74</v>
      </c>
      <c r="DY868412">
        <v>4.74</v>
      </c>
    </row>
    <row r="868413" spans="2:134">
      <c r="B868413">
        <v>286</v>
      </c>
      <c r="BT868413">
        <v>1.43</v>
      </c>
      <c r="BV868413">
        <v>1.43</v>
      </c>
      <c r="BW868413">
        <v>1.43</v>
      </c>
      <c r="BX868413">
        <v>1.43</v>
      </c>
      <c r="CO868413">
        <v>2.86</v>
      </c>
      <c r="CP868413">
        <v>2.86</v>
      </c>
      <c r="CQ868413">
        <v>2.86</v>
      </c>
      <c r="CR868413">
        <v>2.86</v>
      </c>
      <c r="CS868413">
        <v>2.86</v>
      </c>
    </row>
    <row r="868414" spans="2:134">
      <c r="B868414">
        <v>410</v>
      </c>
      <c r="BY868414">
        <v>2.88</v>
      </c>
      <c r="BZ868414">
        <v>2.88</v>
      </c>
      <c r="CA868414">
        <v>2.88</v>
      </c>
      <c r="CW868414">
        <v>5.76</v>
      </c>
      <c r="CX868414">
        <v>5.76</v>
      </c>
    </row>
    <row r="868415" spans="2:134">
      <c r="B868415">
        <v>346</v>
      </c>
      <c r="BR868415">
        <v>3.6</v>
      </c>
      <c r="BS868415">
        <v>3.6</v>
      </c>
      <c r="BT868415">
        <v>1.8</v>
      </c>
      <c r="CL868415">
        <v>3.6</v>
      </c>
      <c r="CM868415">
        <v>3.6</v>
      </c>
      <c r="CN868415">
        <v>3.6</v>
      </c>
    </row>
    <row r="868416" spans="2:134">
      <c r="B868416">
        <v>302</v>
      </c>
      <c r="BR868416">
        <v>3.28</v>
      </c>
      <c r="BS868416">
        <v>3.28</v>
      </c>
      <c r="BT868416">
        <v>1.64</v>
      </c>
      <c r="BU868416">
        <v>1.64</v>
      </c>
      <c r="CL868416">
        <v>3.28</v>
      </c>
      <c r="CM868416">
        <v>3.28</v>
      </c>
      <c r="CN868416">
        <v>3.28</v>
      </c>
    </row>
    <row r="868417" spans="2:146">
      <c r="B868417">
        <v>204</v>
      </c>
      <c r="BR868417">
        <v>2.12</v>
      </c>
      <c r="BS868417">
        <v>2.12</v>
      </c>
      <c r="BT868417">
        <v>1.06</v>
      </c>
      <c r="CL868417">
        <v>2.12</v>
      </c>
      <c r="CM868417">
        <v>2.12</v>
      </c>
      <c r="CN868417">
        <v>2.12</v>
      </c>
    </row>
    <row r="868419" spans="2:146">
      <c r="B868419">
        <v>26358.800000000003</v>
      </c>
      <c r="BQ868419">
        <v>0</v>
      </c>
      <c r="BR868419">
        <v>9</v>
      </c>
      <c r="BS868419">
        <v>9</v>
      </c>
      <c r="BT868419">
        <v>5.93</v>
      </c>
      <c r="BU868419">
        <v>1.64</v>
      </c>
      <c r="BV868419">
        <v>6.5299999999999994</v>
      </c>
      <c r="BW868419">
        <v>6.5299999999999994</v>
      </c>
      <c r="BX868419">
        <v>1.43</v>
      </c>
      <c r="BY868419">
        <v>14.61</v>
      </c>
      <c r="BZ868419">
        <v>14.61</v>
      </c>
      <c r="CA868419">
        <v>5.25</v>
      </c>
      <c r="CB868419">
        <v>3.01</v>
      </c>
      <c r="CC868419">
        <v>3.01</v>
      </c>
      <c r="CD868419">
        <v>3.01</v>
      </c>
      <c r="CE868419">
        <v>3.8</v>
      </c>
      <c r="CF868419">
        <v>3.8</v>
      </c>
      <c r="CG868419">
        <v>3.34</v>
      </c>
      <c r="CH868419">
        <v>3.34</v>
      </c>
      <c r="CI868419">
        <v>6.02</v>
      </c>
      <c r="CJ868419">
        <v>6.02</v>
      </c>
      <c r="CK868419">
        <v>6.02</v>
      </c>
      <c r="CL868419">
        <v>9</v>
      </c>
      <c r="CM868419">
        <v>9</v>
      </c>
      <c r="CN868419">
        <v>9</v>
      </c>
      <c r="CO868419">
        <v>2.86</v>
      </c>
      <c r="CP868419">
        <v>2.86</v>
      </c>
      <c r="CQ868419">
        <v>2.86</v>
      </c>
      <c r="CR868419">
        <v>2.86</v>
      </c>
      <c r="CS868419">
        <v>2.86</v>
      </c>
      <c r="CT868419">
        <v>2.5</v>
      </c>
      <c r="CU868419">
        <v>2.5</v>
      </c>
      <c r="CV868419">
        <v>2.5</v>
      </c>
      <c r="CW868419">
        <v>5.76</v>
      </c>
      <c r="CX868419">
        <v>5.76</v>
      </c>
      <c r="CY868419">
        <v>3.98</v>
      </c>
      <c r="CZ868419">
        <v>3.98</v>
      </c>
      <c r="DA868419">
        <v>3.98</v>
      </c>
      <c r="DB868419">
        <v>10.210000000000001</v>
      </c>
      <c r="DC868419">
        <v>10.210000000000001</v>
      </c>
      <c r="DD868419">
        <v>10.210000000000001</v>
      </c>
      <c r="DE868419">
        <v>10.210000000000001</v>
      </c>
      <c r="DF868419">
        <v>10.210000000000001</v>
      </c>
      <c r="DG868419">
        <v>10.210000000000001</v>
      </c>
      <c r="DH868419">
        <v>10.210000000000001</v>
      </c>
      <c r="DI868419">
        <v>47.860000000000007</v>
      </c>
      <c r="DJ868419">
        <v>47.860000000000007</v>
      </c>
      <c r="DK868419">
        <v>10.66</v>
      </c>
      <c r="DL868419">
        <v>14.18</v>
      </c>
      <c r="DM868419">
        <v>10.66</v>
      </c>
      <c r="DN868419">
        <v>10.66</v>
      </c>
      <c r="DO868419">
        <v>3.52</v>
      </c>
      <c r="DP868419">
        <v>0</v>
      </c>
      <c r="DQ868419">
        <v>26.18</v>
      </c>
      <c r="DR868419">
        <v>9.77</v>
      </c>
      <c r="DS868419">
        <v>6.15</v>
      </c>
      <c r="DT868419">
        <v>26.18</v>
      </c>
      <c r="DU868419">
        <v>3.62</v>
      </c>
      <c r="DV868419">
        <v>7.5</v>
      </c>
      <c r="DW868419">
        <v>23.91</v>
      </c>
      <c r="DX868419">
        <v>4.74</v>
      </c>
      <c r="DY868419">
        <v>4.74</v>
      </c>
      <c r="DZ868419">
        <v>1.62</v>
      </c>
      <c r="EA868419">
        <v>1.62</v>
      </c>
      <c r="EB868419">
        <v>1.62</v>
      </c>
      <c r="EC868419">
        <v>0.81</v>
      </c>
      <c r="ED868419">
        <v>0.81</v>
      </c>
      <c r="EE868419">
        <v>8.15</v>
      </c>
      <c r="EF868419">
        <v>8.15</v>
      </c>
      <c r="EG868419">
        <v>8.15</v>
      </c>
      <c r="EH868419">
        <v>8.15</v>
      </c>
      <c r="EI868419">
        <v>8.15</v>
      </c>
      <c r="EJ868419">
        <v>8.15</v>
      </c>
      <c r="EK868419">
        <v>8.15</v>
      </c>
      <c r="EL868419">
        <v>0.66</v>
      </c>
      <c r="EM868419">
        <v>0.66</v>
      </c>
      <c r="EN868419">
        <v>0.66</v>
      </c>
      <c r="EO868419">
        <v>0.66</v>
      </c>
      <c r="EP868419">
        <v>0.66</v>
      </c>
    </row>
    <row r="868420" spans="2:146">
      <c r="B868420" t="s">
        <v>265</v>
      </c>
      <c r="BQ868420" t="s">
        <v>345</v>
      </c>
      <c r="BR868420" t="s">
        <v>131</v>
      </c>
      <c r="BS868420" t="s">
        <v>131</v>
      </c>
      <c r="BT868420" t="s">
        <v>357</v>
      </c>
      <c r="BU868420" t="s">
        <v>131</v>
      </c>
      <c r="BV868420" t="s">
        <v>360</v>
      </c>
      <c r="BW868420" t="s">
        <v>360</v>
      </c>
      <c r="BX868420" t="s">
        <v>360</v>
      </c>
      <c r="BY868420" t="s">
        <v>364</v>
      </c>
      <c r="BZ868420" t="s">
        <v>364</v>
      </c>
      <c r="CA868420" t="s">
        <v>364</v>
      </c>
      <c r="CB868420" t="s">
        <v>368</v>
      </c>
      <c r="CC868420" t="s">
        <v>368</v>
      </c>
      <c r="CD868420" t="s">
        <v>368</v>
      </c>
      <c r="CE868420" t="s">
        <v>352</v>
      </c>
      <c r="CF868420" t="s">
        <v>352</v>
      </c>
      <c r="CG868420" t="s">
        <v>372</v>
      </c>
      <c r="CH868420" t="s">
        <v>372</v>
      </c>
      <c r="CI868420" t="s">
        <v>375</v>
      </c>
      <c r="CJ868420" t="s">
        <v>375</v>
      </c>
      <c r="CK868420" t="s">
        <v>375</v>
      </c>
      <c r="CL868420" t="s">
        <v>379</v>
      </c>
      <c r="CM868420" t="s">
        <v>379</v>
      </c>
      <c r="CN868420" t="s">
        <v>379</v>
      </c>
      <c r="CO868420" t="s">
        <v>383</v>
      </c>
      <c r="CP868420" t="s">
        <v>383</v>
      </c>
      <c r="CQ868420" t="s">
        <v>383</v>
      </c>
      <c r="CR868420" t="s">
        <v>383</v>
      </c>
      <c r="CS868420" t="s">
        <v>383</v>
      </c>
      <c r="CT868420" t="s">
        <v>389</v>
      </c>
      <c r="CU868420" t="s">
        <v>389</v>
      </c>
      <c r="CV868420" t="s">
        <v>389</v>
      </c>
      <c r="CW868420" t="s">
        <v>393</v>
      </c>
      <c r="CX868420" t="s">
        <v>393</v>
      </c>
      <c r="CY868420" t="s">
        <v>396</v>
      </c>
      <c r="CZ868420" t="s">
        <v>396</v>
      </c>
      <c r="DA868420" t="s">
        <v>396</v>
      </c>
      <c r="DB868420" t="s">
        <v>400</v>
      </c>
      <c r="DC868420" t="s">
        <v>400</v>
      </c>
      <c r="DD868420" t="s">
        <v>400</v>
      </c>
      <c r="DE868420" t="s">
        <v>400</v>
      </c>
      <c r="DF868420" t="s">
        <v>400</v>
      </c>
      <c r="DG868420" t="s">
        <v>400</v>
      </c>
      <c r="DH868420" t="s">
        <v>400</v>
      </c>
      <c r="DI868420" t="s">
        <v>121</v>
      </c>
      <c r="DJ868420" t="s">
        <v>121</v>
      </c>
      <c r="DK868420" t="s">
        <v>121</v>
      </c>
      <c r="DL868420" t="s">
        <v>121</v>
      </c>
      <c r="DM868420" t="s">
        <v>121</v>
      </c>
      <c r="DN868420" t="s">
        <v>121</v>
      </c>
      <c r="DO868420" t="s">
        <v>121</v>
      </c>
      <c r="DP868420" t="s">
        <v>121</v>
      </c>
      <c r="DQ868420" t="s">
        <v>121</v>
      </c>
      <c r="DR868420" t="s">
        <v>121</v>
      </c>
      <c r="DS868420" t="s">
        <v>121</v>
      </c>
      <c r="DT868420" t="s">
        <v>121</v>
      </c>
      <c r="DU868420" t="s">
        <v>121</v>
      </c>
      <c r="DV868420" t="s">
        <v>121</v>
      </c>
      <c r="DW868420" t="s">
        <v>121</v>
      </c>
      <c r="DX868420" t="s">
        <v>423</v>
      </c>
      <c r="DY868420" t="s">
        <v>423</v>
      </c>
      <c r="DZ868420" t="s">
        <v>426</v>
      </c>
      <c r="EA868420" t="s">
        <v>426</v>
      </c>
      <c r="EB868420" t="s">
        <v>426</v>
      </c>
      <c r="EC868420" t="s">
        <v>426</v>
      </c>
      <c r="ED868420" t="s">
        <v>426</v>
      </c>
      <c r="EE868420" t="s">
        <v>432</v>
      </c>
      <c r="EF868420" t="s">
        <v>432</v>
      </c>
      <c r="EG868420" t="s">
        <v>432</v>
      </c>
      <c r="EH868420" t="s">
        <v>432</v>
      </c>
      <c r="EI868420" t="s">
        <v>432</v>
      </c>
      <c r="EJ868420" t="s">
        <v>432</v>
      </c>
      <c r="EK868420" t="s">
        <v>432</v>
      </c>
      <c r="EL868420" t="s">
        <v>440</v>
      </c>
      <c r="EM868420" t="s">
        <v>440</v>
      </c>
      <c r="EN868420" t="s">
        <v>440</v>
      </c>
      <c r="EO868420" t="s">
        <v>440</v>
      </c>
      <c r="EP868420" t="s">
        <v>440</v>
      </c>
    </row>
    <row r="868421" spans="2:146">
      <c r="BQ868421" t="s">
        <v>351</v>
      </c>
      <c r="BR868421" t="s">
        <v>355</v>
      </c>
      <c r="BS868421" t="s">
        <v>356</v>
      </c>
      <c r="BT868421" t="s">
        <v>358</v>
      </c>
      <c r="BU868421" t="s">
        <v>359</v>
      </c>
      <c r="BV868421" t="s">
        <v>361</v>
      </c>
      <c r="BW868421" t="s">
        <v>362</v>
      </c>
      <c r="BX868421" t="s">
        <v>363</v>
      </c>
      <c r="BY868421" t="s">
        <v>365</v>
      </c>
      <c r="BZ868421" t="s">
        <v>366</v>
      </c>
      <c r="CA868421" t="s">
        <v>367</v>
      </c>
      <c r="CB868421" t="s">
        <v>369</v>
      </c>
      <c r="CC868421" t="s">
        <v>370</v>
      </c>
      <c r="CD868421" t="s">
        <v>371</v>
      </c>
      <c r="CE868421" t="s">
        <v>353</v>
      </c>
      <c r="CF868421" t="s">
        <v>354</v>
      </c>
      <c r="CG868421" t="s">
        <v>373</v>
      </c>
      <c r="CH868421" t="s">
        <v>374</v>
      </c>
      <c r="CI868421" t="s">
        <v>376</v>
      </c>
      <c r="CJ868421" t="s">
        <v>377</v>
      </c>
      <c r="CK868421" t="s">
        <v>378</v>
      </c>
      <c r="CL868421" t="s">
        <v>380</v>
      </c>
      <c r="CM868421" t="s">
        <v>381</v>
      </c>
      <c r="CN868421" t="s">
        <v>382</v>
      </c>
      <c r="CO868421" t="s">
        <v>384</v>
      </c>
      <c r="CP868421" t="s">
        <v>385</v>
      </c>
      <c r="CQ868421" t="s">
        <v>386</v>
      </c>
      <c r="CR868421" t="s">
        <v>387</v>
      </c>
      <c r="CS868421" t="s">
        <v>388</v>
      </c>
      <c r="CT868421" t="s">
        <v>390</v>
      </c>
      <c r="CU868421" t="s">
        <v>391</v>
      </c>
      <c r="CV868421" t="s">
        <v>392</v>
      </c>
      <c r="CW868421" t="s">
        <v>394</v>
      </c>
      <c r="CX868421" t="s">
        <v>395</v>
      </c>
      <c r="CY868421" t="s">
        <v>397</v>
      </c>
      <c r="CZ868421" t="s">
        <v>398</v>
      </c>
      <c r="DA868421" t="s">
        <v>399</v>
      </c>
      <c r="DB868421" t="s">
        <v>401</v>
      </c>
      <c r="DC868421" t="s">
        <v>402</v>
      </c>
      <c r="DD868421" t="s">
        <v>403</v>
      </c>
      <c r="DE868421" t="s">
        <v>404</v>
      </c>
      <c r="DF868421" t="s">
        <v>405</v>
      </c>
      <c r="DG868421" t="s">
        <v>406</v>
      </c>
      <c r="DH868421" t="s">
        <v>407</v>
      </c>
      <c r="DI868421" t="s">
        <v>408</v>
      </c>
      <c r="DJ868421" t="s">
        <v>409</v>
      </c>
      <c r="DK868421" t="s">
        <v>410</v>
      </c>
      <c r="DL868421" t="s">
        <v>411</v>
      </c>
      <c r="DM868421" t="s">
        <v>412</v>
      </c>
      <c r="DN868421" t="s">
        <v>413</v>
      </c>
      <c r="DO868421" t="s">
        <v>414</v>
      </c>
      <c r="DP868421" t="s">
        <v>415</v>
      </c>
      <c r="DQ868421" t="s">
        <v>416</v>
      </c>
      <c r="DR868421" t="s">
        <v>417</v>
      </c>
      <c r="DS868421" t="s">
        <v>418</v>
      </c>
      <c r="DT868421" t="s">
        <v>419</v>
      </c>
      <c r="DU868421" t="s">
        <v>420</v>
      </c>
      <c r="DV868421" t="s">
        <v>421</v>
      </c>
      <c r="DW868421" t="s">
        <v>422</v>
      </c>
      <c r="DX868421" t="s">
        <v>424</v>
      </c>
      <c r="DY868421" t="s">
        <v>425</v>
      </c>
      <c r="DZ868421" t="s">
        <v>427</v>
      </c>
      <c r="EA868421" t="s">
        <v>428</v>
      </c>
      <c r="EB868421" t="s">
        <v>429</v>
      </c>
      <c r="EC868421" t="s">
        <v>430</v>
      </c>
      <c r="ED868421" t="s">
        <v>431</v>
      </c>
      <c r="EE868421" t="s">
        <v>433</v>
      </c>
      <c r="EF868421" t="s">
        <v>434</v>
      </c>
      <c r="EG868421" t="s">
        <v>435</v>
      </c>
      <c r="EH868421" t="s">
        <v>436</v>
      </c>
      <c r="EI868421" t="s">
        <v>437</v>
      </c>
      <c r="EJ868421" t="s">
        <v>438</v>
      </c>
      <c r="EK868421" t="s">
        <v>439</v>
      </c>
      <c r="EL868421" t="s">
        <v>441</v>
      </c>
      <c r="EM868421" t="s">
        <v>442</v>
      </c>
      <c r="EN868421" t="s">
        <v>443</v>
      </c>
      <c r="EO868421" t="s">
        <v>444</v>
      </c>
      <c r="EP868421" t="s">
        <v>445</v>
      </c>
    </row>
    <row r="868422" spans="2:146">
      <c r="BQ868422">
        <v>67</v>
      </c>
      <c r="BR868422">
        <v>68</v>
      </c>
      <c r="BS868422">
        <v>69</v>
      </c>
      <c r="BT868422">
        <v>70</v>
      </c>
      <c r="BU868422">
        <v>71</v>
      </c>
      <c r="BV868422">
        <v>72</v>
      </c>
      <c r="BW868422">
        <v>73</v>
      </c>
      <c r="BX868422">
        <v>74</v>
      </c>
      <c r="BY868422">
        <v>75</v>
      </c>
      <c r="BZ868422">
        <v>76</v>
      </c>
      <c r="CA868422">
        <v>77</v>
      </c>
      <c r="CB868422">
        <v>78</v>
      </c>
      <c r="CC868422">
        <v>79</v>
      </c>
      <c r="CD868422">
        <v>80</v>
      </c>
      <c r="CE868422">
        <v>81</v>
      </c>
      <c r="CF868422">
        <v>82</v>
      </c>
      <c r="CG868422">
        <v>83</v>
      </c>
      <c r="CH868422">
        <v>84</v>
      </c>
      <c r="CI868422">
        <v>85</v>
      </c>
      <c r="CJ868422">
        <v>86</v>
      </c>
      <c r="CK868422">
        <v>87</v>
      </c>
      <c r="CL868422">
        <v>88</v>
      </c>
      <c r="CM868422">
        <v>89</v>
      </c>
      <c r="CN868422">
        <v>90</v>
      </c>
      <c r="CO868422">
        <v>91</v>
      </c>
      <c r="CP868422">
        <v>92</v>
      </c>
      <c r="CQ868422">
        <v>93</v>
      </c>
      <c r="CR868422">
        <v>94</v>
      </c>
      <c r="CS868422">
        <v>95</v>
      </c>
      <c r="CT868422">
        <v>96</v>
      </c>
      <c r="CU868422">
        <v>97</v>
      </c>
      <c r="CV868422">
        <v>98</v>
      </c>
      <c r="CW868422">
        <v>99</v>
      </c>
      <c r="CX868422">
        <v>100</v>
      </c>
      <c r="CY868422">
        <v>101</v>
      </c>
      <c r="CZ868422">
        <v>102</v>
      </c>
      <c r="DA868422">
        <v>103</v>
      </c>
      <c r="DB868422">
        <v>104</v>
      </c>
      <c r="DC868422">
        <v>105</v>
      </c>
      <c r="DD868422">
        <v>106</v>
      </c>
      <c r="DE868422">
        <v>107</v>
      </c>
      <c r="DF868422">
        <v>108</v>
      </c>
      <c r="DG868422">
        <v>109</v>
      </c>
      <c r="DH868422">
        <v>110</v>
      </c>
      <c r="DI868422">
        <v>111</v>
      </c>
      <c r="DJ868422">
        <v>112</v>
      </c>
      <c r="DK868422">
        <v>113</v>
      </c>
      <c r="DL868422">
        <v>114</v>
      </c>
      <c r="DM868422">
        <v>115</v>
      </c>
      <c r="DN868422">
        <v>116</v>
      </c>
      <c r="DO868422">
        <v>117</v>
      </c>
      <c r="DP868422">
        <v>118</v>
      </c>
      <c r="DQ868422">
        <v>119</v>
      </c>
      <c r="DR868422">
        <v>120</v>
      </c>
      <c r="DS868422">
        <v>121</v>
      </c>
      <c r="DT868422">
        <v>122</v>
      </c>
      <c r="DU868422">
        <v>123</v>
      </c>
      <c r="DV868422">
        <v>124</v>
      </c>
      <c r="DW868422">
        <v>125</v>
      </c>
      <c r="DX868422">
        <v>126</v>
      </c>
      <c r="DY868422">
        <v>127</v>
      </c>
      <c r="DZ868422">
        <v>128</v>
      </c>
      <c r="EA868422">
        <v>129</v>
      </c>
      <c r="EB868422">
        <v>130</v>
      </c>
      <c r="EC868422">
        <v>131</v>
      </c>
      <c r="ED868422">
        <v>132</v>
      </c>
      <c r="EE868422">
        <v>133</v>
      </c>
      <c r="EF868422">
        <v>134</v>
      </c>
      <c r="EG868422">
        <v>135</v>
      </c>
      <c r="EH868422">
        <v>136</v>
      </c>
      <c r="EI868422">
        <v>137</v>
      </c>
      <c r="EJ868422">
        <v>138</v>
      </c>
      <c r="EK868422">
        <v>139</v>
      </c>
      <c r="EL868422">
        <v>140</v>
      </c>
      <c r="EM868422">
        <v>141</v>
      </c>
      <c r="EN868422">
        <v>142</v>
      </c>
      <c r="EO868422">
        <v>143</v>
      </c>
      <c r="EP868422">
        <v>144</v>
      </c>
    </row>
    <row r="868423" spans="2:146">
      <c r="CE868423" t="s">
        <v>451</v>
      </c>
    </row>
    <row r="884738" spans="2:2">
      <c r="B884738">
        <v>200</v>
      </c>
    </row>
    <row r="884739" spans="2:2">
      <c r="B884739">
        <v>200</v>
      </c>
    </row>
    <row r="884740" spans="2:2">
      <c r="B884740">
        <v>800</v>
      </c>
    </row>
    <row r="884741" spans="2:2">
      <c r="B884741">
        <v>200</v>
      </c>
    </row>
    <row r="884742" spans="2:2">
      <c r="B884742">
        <v>1044</v>
      </c>
    </row>
    <row r="884743" spans="2:2">
      <c r="B884743">
        <v>998.40000000000009</v>
      </c>
    </row>
    <row r="884744" spans="2:2">
      <c r="B884744">
        <v>272</v>
      </c>
    </row>
    <row r="884745" spans="2:2">
      <c r="B884745">
        <v>200</v>
      </c>
    </row>
    <row r="884746" spans="2:2">
      <c r="B884746">
        <v>214</v>
      </c>
    </row>
    <row r="884747" spans="2:2">
      <c r="B884747">
        <v>200</v>
      </c>
    </row>
    <row r="884748" spans="2:2">
      <c r="B884748">
        <v>152</v>
      </c>
    </row>
    <row r="884749" spans="2:2">
      <c r="B884749">
        <v>200</v>
      </c>
    </row>
    <row r="884750" spans="2:2">
      <c r="B884750">
        <v>300</v>
      </c>
    </row>
    <row r="884751" spans="2:2">
      <c r="B884751">
        <v>104</v>
      </c>
    </row>
    <row r="884752" spans="2:2">
      <c r="B884752">
        <v>162</v>
      </c>
    </row>
    <row r="884753" spans="2:2">
      <c r="B884753">
        <v>200</v>
      </c>
    </row>
    <row r="884754" spans="2:2">
      <c r="B884754">
        <v>200</v>
      </c>
    </row>
    <row r="884755" spans="2:2">
      <c r="B884755">
        <v>200</v>
      </c>
    </row>
    <row r="884756" spans="2:2">
      <c r="B884756">
        <v>200</v>
      </c>
    </row>
    <row r="884757" spans="2:2">
      <c r="B884757">
        <v>200</v>
      </c>
    </row>
    <row r="884758" spans="2:2">
      <c r="B884758">
        <v>200</v>
      </c>
    </row>
    <row r="884759" spans="2:2">
      <c r="B884759">
        <v>200</v>
      </c>
    </row>
    <row r="884760" spans="2:2">
      <c r="B884760">
        <v>200</v>
      </c>
    </row>
    <row r="884761" spans="2:2">
      <c r="B884761">
        <v>800</v>
      </c>
    </row>
    <row r="884762" spans="2:2">
      <c r="B884762">
        <v>300</v>
      </c>
    </row>
    <row r="884763" spans="2:2">
      <c r="B884763">
        <v>778</v>
      </c>
    </row>
    <row r="884764" spans="2:2">
      <c r="B884764">
        <v>614</v>
      </c>
    </row>
    <row r="884765" spans="2:2">
      <c r="B884765">
        <v>444</v>
      </c>
    </row>
    <row r="884766" spans="2:2">
      <c r="B884766">
        <v>800</v>
      </c>
    </row>
    <row r="884767" spans="2:2">
      <c r="B884767">
        <v>200</v>
      </c>
    </row>
    <row r="884768" spans="2:2">
      <c r="B884768">
        <v>780</v>
      </c>
    </row>
    <row r="884769" spans="2:146">
      <c r="B884769">
        <v>174</v>
      </c>
    </row>
    <row r="884770" spans="2:146">
      <c r="B884770">
        <v>194</v>
      </c>
    </row>
    <row r="884771" spans="2:146">
      <c r="B884771">
        <v>782</v>
      </c>
    </row>
    <row r="884772" spans="2:146">
      <c r="B884772">
        <v>236</v>
      </c>
    </row>
    <row r="884773" spans="2:146">
      <c r="B884773">
        <v>144</v>
      </c>
    </row>
    <row r="884774" spans="2:146">
      <c r="B884774">
        <v>200</v>
      </c>
    </row>
    <row r="884775" spans="2:146">
      <c r="B884775">
        <v>240</v>
      </c>
    </row>
    <row r="884776" spans="2:146">
      <c r="B884776">
        <v>200</v>
      </c>
    </row>
    <row r="884777" spans="2:146">
      <c r="B884777">
        <v>612</v>
      </c>
    </row>
    <row r="884778" spans="2:146">
      <c r="B884778">
        <v>156</v>
      </c>
    </row>
    <row r="884779" spans="2:146">
      <c r="B884779">
        <v>116</v>
      </c>
    </row>
    <row r="884780" spans="2:146">
      <c r="B884780">
        <v>160</v>
      </c>
    </row>
    <row r="884781" spans="2:146">
      <c r="B884781">
        <v>80</v>
      </c>
      <c r="EL884781">
        <v>0.66</v>
      </c>
      <c r="EM884781">
        <v>0.66</v>
      </c>
      <c r="EN884781">
        <v>0.66</v>
      </c>
      <c r="EO884781">
        <v>0.66</v>
      </c>
      <c r="EP884781">
        <v>0.66</v>
      </c>
    </row>
    <row r="884782" spans="2:146">
      <c r="B884782">
        <v>1144</v>
      </c>
      <c r="BV884782">
        <v>5.0999999999999996</v>
      </c>
      <c r="BW884782">
        <v>5.0999999999999996</v>
      </c>
      <c r="DB884782">
        <v>10.210000000000001</v>
      </c>
      <c r="DC884782">
        <v>10.210000000000001</v>
      </c>
      <c r="DD884782">
        <v>10.210000000000001</v>
      </c>
      <c r="DE884782">
        <v>10.210000000000001</v>
      </c>
      <c r="DF884782">
        <v>10.210000000000001</v>
      </c>
      <c r="DG884782">
        <v>10.210000000000001</v>
      </c>
      <c r="DH884782">
        <v>10.210000000000001</v>
      </c>
    </row>
    <row r="884783" spans="2:146">
      <c r="B884783">
        <v>1240</v>
      </c>
      <c r="EE884783">
        <v>8.15</v>
      </c>
      <c r="EF884783">
        <v>8.15</v>
      </c>
      <c r="EG884783">
        <v>8.15</v>
      </c>
      <c r="EH884783">
        <v>8.15</v>
      </c>
      <c r="EI884783">
        <v>8.15</v>
      </c>
      <c r="EJ884783">
        <v>8.15</v>
      </c>
      <c r="EK884783">
        <v>8.15</v>
      </c>
    </row>
    <row r="884784" spans="2:146">
      <c r="B884784">
        <v>2083.2000000000003</v>
      </c>
      <c r="DI884784">
        <v>20.03</v>
      </c>
      <c r="DJ884784">
        <v>20.03</v>
      </c>
      <c r="DQ884784">
        <v>20.03</v>
      </c>
      <c r="DT884784">
        <v>20.03</v>
      </c>
      <c r="DW884784">
        <v>20.03</v>
      </c>
    </row>
    <row r="884785" spans="2:134">
      <c r="B884785">
        <v>357.20000000000005</v>
      </c>
      <c r="DI884785">
        <v>3.88</v>
      </c>
      <c r="DJ884785">
        <v>3.88</v>
      </c>
      <c r="DV884785">
        <v>3.88</v>
      </c>
      <c r="DW884785">
        <v>3.88</v>
      </c>
    </row>
    <row r="884786" spans="2:134">
      <c r="B884786">
        <v>391.20000000000005</v>
      </c>
      <c r="DI884786">
        <v>3.62</v>
      </c>
      <c r="DJ884786">
        <v>3.62</v>
      </c>
      <c r="DR884786">
        <v>3.62</v>
      </c>
      <c r="DU884786">
        <v>3.62</v>
      </c>
      <c r="DV884786">
        <v>3.62</v>
      </c>
    </row>
    <row r="884787" spans="2:134">
      <c r="B884787">
        <v>762.80000000000007</v>
      </c>
      <c r="DI884787">
        <v>6.15</v>
      </c>
      <c r="DJ884787">
        <v>6.15</v>
      </c>
      <c r="DQ884787">
        <v>6.15</v>
      </c>
      <c r="DR884787">
        <v>6.15</v>
      </c>
      <c r="DS884787">
        <v>6.15</v>
      </c>
      <c r="DT884787">
        <v>6.15</v>
      </c>
    </row>
    <row r="884788" spans="2:134">
      <c r="B884788">
        <v>1280</v>
      </c>
      <c r="DI884788">
        <v>10.66</v>
      </c>
      <c r="DJ884788">
        <v>10.66</v>
      </c>
      <c r="DK884788">
        <v>10.66</v>
      </c>
      <c r="DL884788">
        <v>10.66</v>
      </c>
      <c r="DM884788">
        <v>10.66</v>
      </c>
      <c r="DN884788">
        <v>10.66</v>
      </c>
    </row>
    <row r="884789" spans="2:134">
      <c r="B884789">
        <v>234</v>
      </c>
      <c r="CT884789">
        <v>2.5</v>
      </c>
      <c r="CU884789">
        <v>2.5</v>
      </c>
      <c r="CV884789">
        <v>2.5</v>
      </c>
    </row>
    <row r="884790" spans="2:134">
      <c r="B884790">
        <v>354</v>
      </c>
      <c r="CY884790">
        <v>3.98</v>
      </c>
      <c r="CZ884790">
        <v>3.98</v>
      </c>
      <c r="DA884790">
        <v>3.98</v>
      </c>
    </row>
    <row r="884791" spans="2:134">
      <c r="B884791">
        <v>392</v>
      </c>
      <c r="DI884791">
        <v>3.52</v>
      </c>
      <c r="DJ884791">
        <v>3.52</v>
      </c>
      <c r="DL884791">
        <v>3.52</v>
      </c>
      <c r="DO884791">
        <v>3.52</v>
      </c>
    </row>
    <row r="884792" spans="2:134">
      <c r="B884792">
        <v>304</v>
      </c>
      <c r="CE884792">
        <v>3.8</v>
      </c>
      <c r="CF884792">
        <v>3.8</v>
      </c>
    </row>
    <row r="884793" spans="2:134">
      <c r="B884793">
        <v>144</v>
      </c>
      <c r="DZ884793">
        <v>1.62</v>
      </c>
      <c r="EA884793">
        <v>1.62</v>
      </c>
      <c r="EB884793">
        <v>1.62</v>
      </c>
      <c r="EC884793">
        <v>0.81</v>
      </c>
      <c r="ED884793">
        <v>0.81</v>
      </c>
    </row>
    <row r="884794" spans="2:134">
      <c r="B884794">
        <v>602.40000000000009</v>
      </c>
      <c r="BY884794">
        <v>6.02</v>
      </c>
      <c r="BZ884794">
        <v>6.02</v>
      </c>
      <c r="CB884794">
        <v>3.01</v>
      </c>
      <c r="CC884794">
        <v>3.01</v>
      </c>
      <c r="CD884794">
        <v>3.01</v>
      </c>
      <c r="CI884794">
        <v>6.02</v>
      </c>
      <c r="CJ884794">
        <v>6.02</v>
      </c>
      <c r="CK884794">
        <v>6.02</v>
      </c>
    </row>
    <row r="884795" spans="2:134">
      <c r="B884795">
        <v>307.60000000000002</v>
      </c>
      <c r="BY884795">
        <v>3.34</v>
      </c>
      <c r="BZ884795">
        <v>3.34</v>
      </c>
      <c r="CG884795">
        <v>3.34</v>
      </c>
      <c r="CH884795">
        <v>3.34</v>
      </c>
    </row>
    <row r="884796" spans="2:134">
      <c r="B884796">
        <v>358</v>
      </c>
      <c r="BY884796">
        <v>2.37</v>
      </c>
      <c r="BZ884796">
        <v>2.37</v>
      </c>
      <c r="CA884796">
        <v>2.37</v>
      </c>
      <c r="DX884796">
        <v>4.74</v>
      </c>
      <c r="DY884796">
        <v>4.74</v>
      </c>
    </row>
    <row r="884797" spans="2:134">
      <c r="B884797">
        <v>286</v>
      </c>
      <c r="BT884797">
        <v>1.43</v>
      </c>
      <c r="BV884797">
        <v>1.43</v>
      </c>
      <c r="BW884797">
        <v>1.43</v>
      </c>
      <c r="BX884797">
        <v>1.43</v>
      </c>
      <c r="CO884797">
        <v>2.86</v>
      </c>
      <c r="CP884797">
        <v>2.86</v>
      </c>
      <c r="CQ884797">
        <v>2.86</v>
      </c>
      <c r="CR884797">
        <v>2.86</v>
      </c>
      <c r="CS884797">
        <v>2.86</v>
      </c>
    </row>
    <row r="884798" spans="2:134">
      <c r="B884798">
        <v>410</v>
      </c>
      <c r="BY884798">
        <v>2.88</v>
      </c>
      <c r="BZ884798">
        <v>2.88</v>
      </c>
      <c r="CA884798">
        <v>2.88</v>
      </c>
      <c r="CW884798">
        <v>5.76</v>
      </c>
      <c r="CX884798">
        <v>5.76</v>
      </c>
    </row>
    <row r="884799" spans="2:134">
      <c r="B884799">
        <v>346</v>
      </c>
      <c r="BR884799">
        <v>3.6</v>
      </c>
      <c r="BS884799">
        <v>3.6</v>
      </c>
      <c r="BT884799">
        <v>1.8</v>
      </c>
      <c r="CL884799">
        <v>3.6</v>
      </c>
      <c r="CM884799">
        <v>3.6</v>
      </c>
      <c r="CN884799">
        <v>3.6</v>
      </c>
    </row>
    <row r="884800" spans="2:134">
      <c r="B884800">
        <v>302</v>
      </c>
      <c r="BR884800">
        <v>3.28</v>
      </c>
      <c r="BS884800">
        <v>3.28</v>
      </c>
      <c r="BT884800">
        <v>1.64</v>
      </c>
      <c r="BU884800">
        <v>1.64</v>
      </c>
      <c r="CL884800">
        <v>3.28</v>
      </c>
      <c r="CM884800">
        <v>3.28</v>
      </c>
      <c r="CN884800">
        <v>3.28</v>
      </c>
    </row>
    <row r="884801" spans="2:146">
      <c r="B884801">
        <v>204</v>
      </c>
      <c r="BR884801">
        <v>2.12</v>
      </c>
      <c r="BS884801">
        <v>2.12</v>
      </c>
      <c r="BT884801">
        <v>1.06</v>
      </c>
      <c r="CL884801">
        <v>2.12</v>
      </c>
      <c r="CM884801">
        <v>2.12</v>
      </c>
      <c r="CN884801">
        <v>2.12</v>
      </c>
    </row>
    <row r="884803" spans="2:146">
      <c r="B884803">
        <v>26358.800000000003</v>
      </c>
      <c r="BQ884803">
        <v>0</v>
      </c>
      <c r="BR884803">
        <v>9</v>
      </c>
      <c r="BS884803">
        <v>9</v>
      </c>
      <c r="BT884803">
        <v>5.93</v>
      </c>
      <c r="BU884803">
        <v>1.64</v>
      </c>
      <c r="BV884803">
        <v>6.5299999999999994</v>
      </c>
      <c r="BW884803">
        <v>6.5299999999999994</v>
      </c>
      <c r="BX884803">
        <v>1.43</v>
      </c>
      <c r="BY884803">
        <v>14.61</v>
      </c>
      <c r="BZ884803">
        <v>14.61</v>
      </c>
      <c r="CA884803">
        <v>5.25</v>
      </c>
      <c r="CB884803">
        <v>3.01</v>
      </c>
      <c r="CC884803">
        <v>3.01</v>
      </c>
      <c r="CD884803">
        <v>3.01</v>
      </c>
      <c r="CE884803">
        <v>3.8</v>
      </c>
      <c r="CF884803">
        <v>3.8</v>
      </c>
      <c r="CG884803">
        <v>3.34</v>
      </c>
      <c r="CH884803">
        <v>3.34</v>
      </c>
      <c r="CI884803">
        <v>6.02</v>
      </c>
      <c r="CJ884803">
        <v>6.02</v>
      </c>
      <c r="CK884803">
        <v>6.02</v>
      </c>
      <c r="CL884803">
        <v>9</v>
      </c>
      <c r="CM884803">
        <v>9</v>
      </c>
      <c r="CN884803">
        <v>9</v>
      </c>
      <c r="CO884803">
        <v>2.86</v>
      </c>
      <c r="CP884803">
        <v>2.86</v>
      </c>
      <c r="CQ884803">
        <v>2.86</v>
      </c>
      <c r="CR884803">
        <v>2.86</v>
      </c>
      <c r="CS884803">
        <v>2.86</v>
      </c>
      <c r="CT884803">
        <v>2.5</v>
      </c>
      <c r="CU884803">
        <v>2.5</v>
      </c>
      <c r="CV884803">
        <v>2.5</v>
      </c>
      <c r="CW884803">
        <v>5.76</v>
      </c>
      <c r="CX884803">
        <v>5.76</v>
      </c>
      <c r="CY884803">
        <v>3.98</v>
      </c>
      <c r="CZ884803">
        <v>3.98</v>
      </c>
      <c r="DA884803">
        <v>3.98</v>
      </c>
      <c r="DB884803">
        <v>10.210000000000001</v>
      </c>
      <c r="DC884803">
        <v>10.210000000000001</v>
      </c>
      <c r="DD884803">
        <v>10.210000000000001</v>
      </c>
      <c r="DE884803">
        <v>10.210000000000001</v>
      </c>
      <c r="DF884803">
        <v>10.210000000000001</v>
      </c>
      <c r="DG884803">
        <v>10.210000000000001</v>
      </c>
      <c r="DH884803">
        <v>10.210000000000001</v>
      </c>
      <c r="DI884803">
        <v>47.860000000000007</v>
      </c>
      <c r="DJ884803">
        <v>47.860000000000007</v>
      </c>
      <c r="DK884803">
        <v>10.66</v>
      </c>
      <c r="DL884803">
        <v>14.18</v>
      </c>
      <c r="DM884803">
        <v>10.66</v>
      </c>
      <c r="DN884803">
        <v>10.66</v>
      </c>
      <c r="DO884803">
        <v>3.52</v>
      </c>
      <c r="DP884803">
        <v>0</v>
      </c>
      <c r="DQ884803">
        <v>26.18</v>
      </c>
      <c r="DR884803">
        <v>9.77</v>
      </c>
      <c r="DS884803">
        <v>6.15</v>
      </c>
      <c r="DT884803">
        <v>26.18</v>
      </c>
      <c r="DU884803">
        <v>3.62</v>
      </c>
      <c r="DV884803">
        <v>7.5</v>
      </c>
      <c r="DW884803">
        <v>23.91</v>
      </c>
      <c r="DX884803">
        <v>4.74</v>
      </c>
      <c r="DY884803">
        <v>4.74</v>
      </c>
      <c r="DZ884803">
        <v>1.62</v>
      </c>
      <c r="EA884803">
        <v>1.62</v>
      </c>
      <c r="EB884803">
        <v>1.62</v>
      </c>
      <c r="EC884803">
        <v>0.81</v>
      </c>
      <c r="ED884803">
        <v>0.81</v>
      </c>
      <c r="EE884803">
        <v>8.15</v>
      </c>
      <c r="EF884803">
        <v>8.15</v>
      </c>
      <c r="EG884803">
        <v>8.15</v>
      </c>
      <c r="EH884803">
        <v>8.15</v>
      </c>
      <c r="EI884803">
        <v>8.15</v>
      </c>
      <c r="EJ884803">
        <v>8.15</v>
      </c>
      <c r="EK884803">
        <v>8.15</v>
      </c>
      <c r="EL884803">
        <v>0.66</v>
      </c>
      <c r="EM884803">
        <v>0.66</v>
      </c>
      <c r="EN884803">
        <v>0.66</v>
      </c>
      <c r="EO884803">
        <v>0.66</v>
      </c>
      <c r="EP884803">
        <v>0.66</v>
      </c>
    </row>
    <row r="884804" spans="2:146">
      <c r="B884804" t="s">
        <v>265</v>
      </c>
      <c r="BQ884804" t="s">
        <v>345</v>
      </c>
      <c r="BR884804" t="s">
        <v>131</v>
      </c>
      <c r="BS884804" t="s">
        <v>131</v>
      </c>
      <c r="BT884804" t="s">
        <v>357</v>
      </c>
      <c r="BU884804" t="s">
        <v>131</v>
      </c>
      <c r="BV884804" t="s">
        <v>360</v>
      </c>
      <c r="BW884804" t="s">
        <v>360</v>
      </c>
      <c r="BX884804" t="s">
        <v>360</v>
      </c>
      <c r="BY884804" t="s">
        <v>364</v>
      </c>
      <c r="BZ884804" t="s">
        <v>364</v>
      </c>
      <c r="CA884804" t="s">
        <v>364</v>
      </c>
      <c r="CB884804" t="s">
        <v>368</v>
      </c>
      <c r="CC884804" t="s">
        <v>368</v>
      </c>
      <c r="CD884804" t="s">
        <v>368</v>
      </c>
      <c r="CE884804" t="s">
        <v>352</v>
      </c>
      <c r="CF884804" t="s">
        <v>352</v>
      </c>
      <c r="CG884804" t="s">
        <v>372</v>
      </c>
      <c r="CH884804" t="s">
        <v>372</v>
      </c>
      <c r="CI884804" t="s">
        <v>375</v>
      </c>
      <c r="CJ884804" t="s">
        <v>375</v>
      </c>
      <c r="CK884804" t="s">
        <v>375</v>
      </c>
      <c r="CL884804" t="s">
        <v>379</v>
      </c>
      <c r="CM884804" t="s">
        <v>379</v>
      </c>
      <c r="CN884804" t="s">
        <v>379</v>
      </c>
      <c r="CO884804" t="s">
        <v>383</v>
      </c>
      <c r="CP884804" t="s">
        <v>383</v>
      </c>
      <c r="CQ884804" t="s">
        <v>383</v>
      </c>
      <c r="CR884804" t="s">
        <v>383</v>
      </c>
      <c r="CS884804" t="s">
        <v>383</v>
      </c>
      <c r="CT884804" t="s">
        <v>389</v>
      </c>
      <c r="CU884804" t="s">
        <v>389</v>
      </c>
      <c r="CV884804" t="s">
        <v>389</v>
      </c>
      <c r="CW884804" t="s">
        <v>393</v>
      </c>
      <c r="CX884804" t="s">
        <v>393</v>
      </c>
      <c r="CY884804" t="s">
        <v>396</v>
      </c>
      <c r="CZ884804" t="s">
        <v>396</v>
      </c>
      <c r="DA884804" t="s">
        <v>396</v>
      </c>
      <c r="DB884804" t="s">
        <v>400</v>
      </c>
      <c r="DC884804" t="s">
        <v>400</v>
      </c>
      <c r="DD884804" t="s">
        <v>400</v>
      </c>
      <c r="DE884804" t="s">
        <v>400</v>
      </c>
      <c r="DF884804" t="s">
        <v>400</v>
      </c>
      <c r="DG884804" t="s">
        <v>400</v>
      </c>
      <c r="DH884804" t="s">
        <v>400</v>
      </c>
      <c r="DI884804" t="s">
        <v>121</v>
      </c>
      <c r="DJ884804" t="s">
        <v>121</v>
      </c>
      <c r="DK884804" t="s">
        <v>121</v>
      </c>
      <c r="DL884804" t="s">
        <v>121</v>
      </c>
      <c r="DM884804" t="s">
        <v>121</v>
      </c>
      <c r="DN884804" t="s">
        <v>121</v>
      </c>
      <c r="DO884804" t="s">
        <v>121</v>
      </c>
      <c r="DP884804" t="s">
        <v>121</v>
      </c>
      <c r="DQ884804" t="s">
        <v>121</v>
      </c>
      <c r="DR884804" t="s">
        <v>121</v>
      </c>
      <c r="DS884804" t="s">
        <v>121</v>
      </c>
      <c r="DT884804" t="s">
        <v>121</v>
      </c>
      <c r="DU884804" t="s">
        <v>121</v>
      </c>
      <c r="DV884804" t="s">
        <v>121</v>
      </c>
      <c r="DW884804" t="s">
        <v>121</v>
      </c>
      <c r="DX884804" t="s">
        <v>423</v>
      </c>
      <c r="DY884804" t="s">
        <v>423</v>
      </c>
      <c r="DZ884804" t="s">
        <v>426</v>
      </c>
      <c r="EA884804" t="s">
        <v>426</v>
      </c>
      <c r="EB884804" t="s">
        <v>426</v>
      </c>
      <c r="EC884804" t="s">
        <v>426</v>
      </c>
      <c r="ED884804" t="s">
        <v>426</v>
      </c>
      <c r="EE884804" t="s">
        <v>432</v>
      </c>
      <c r="EF884804" t="s">
        <v>432</v>
      </c>
      <c r="EG884804" t="s">
        <v>432</v>
      </c>
      <c r="EH884804" t="s">
        <v>432</v>
      </c>
      <c r="EI884804" t="s">
        <v>432</v>
      </c>
      <c r="EJ884804" t="s">
        <v>432</v>
      </c>
      <c r="EK884804" t="s">
        <v>432</v>
      </c>
      <c r="EL884804" t="s">
        <v>440</v>
      </c>
      <c r="EM884804" t="s">
        <v>440</v>
      </c>
      <c r="EN884804" t="s">
        <v>440</v>
      </c>
      <c r="EO884804" t="s">
        <v>440</v>
      </c>
      <c r="EP884804" t="s">
        <v>440</v>
      </c>
    </row>
    <row r="884805" spans="2:146">
      <c r="BQ884805" t="s">
        <v>351</v>
      </c>
      <c r="BR884805" t="s">
        <v>355</v>
      </c>
      <c r="BS884805" t="s">
        <v>356</v>
      </c>
      <c r="BT884805" t="s">
        <v>358</v>
      </c>
      <c r="BU884805" t="s">
        <v>359</v>
      </c>
      <c r="BV884805" t="s">
        <v>361</v>
      </c>
      <c r="BW884805" t="s">
        <v>362</v>
      </c>
      <c r="BX884805" t="s">
        <v>363</v>
      </c>
      <c r="BY884805" t="s">
        <v>365</v>
      </c>
      <c r="BZ884805" t="s">
        <v>366</v>
      </c>
      <c r="CA884805" t="s">
        <v>367</v>
      </c>
      <c r="CB884805" t="s">
        <v>369</v>
      </c>
      <c r="CC884805" t="s">
        <v>370</v>
      </c>
      <c r="CD884805" t="s">
        <v>371</v>
      </c>
      <c r="CE884805" t="s">
        <v>353</v>
      </c>
      <c r="CF884805" t="s">
        <v>354</v>
      </c>
      <c r="CG884805" t="s">
        <v>373</v>
      </c>
      <c r="CH884805" t="s">
        <v>374</v>
      </c>
      <c r="CI884805" t="s">
        <v>376</v>
      </c>
      <c r="CJ884805" t="s">
        <v>377</v>
      </c>
      <c r="CK884805" t="s">
        <v>378</v>
      </c>
      <c r="CL884805" t="s">
        <v>380</v>
      </c>
      <c r="CM884805" t="s">
        <v>381</v>
      </c>
      <c r="CN884805" t="s">
        <v>382</v>
      </c>
      <c r="CO884805" t="s">
        <v>384</v>
      </c>
      <c r="CP884805" t="s">
        <v>385</v>
      </c>
      <c r="CQ884805" t="s">
        <v>386</v>
      </c>
      <c r="CR884805" t="s">
        <v>387</v>
      </c>
      <c r="CS884805" t="s">
        <v>388</v>
      </c>
      <c r="CT884805" t="s">
        <v>390</v>
      </c>
      <c r="CU884805" t="s">
        <v>391</v>
      </c>
      <c r="CV884805" t="s">
        <v>392</v>
      </c>
      <c r="CW884805" t="s">
        <v>394</v>
      </c>
      <c r="CX884805" t="s">
        <v>395</v>
      </c>
      <c r="CY884805" t="s">
        <v>397</v>
      </c>
      <c r="CZ884805" t="s">
        <v>398</v>
      </c>
      <c r="DA884805" t="s">
        <v>399</v>
      </c>
      <c r="DB884805" t="s">
        <v>401</v>
      </c>
      <c r="DC884805" t="s">
        <v>402</v>
      </c>
      <c r="DD884805" t="s">
        <v>403</v>
      </c>
      <c r="DE884805" t="s">
        <v>404</v>
      </c>
      <c r="DF884805" t="s">
        <v>405</v>
      </c>
      <c r="DG884805" t="s">
        <v>406</v>
      </c>
      <c r="DH884805" t="s">
        <v>407</v>
      </c>
      <c r="DI884805" t="s">
        <v>408</v>
      </c>
      <c r="DJ884805" t="s">
        <v>409</v>
      </c>
      <c r="DK884805" t="s">
        <v>410</v>
      </c>
      <c r="DL884805" t="s">
        <v>411</v>
      </c>
      <c r="DM884805" t="s">
        <v>412</v>
      </c>
      <c r="DN884805" t="s">
        <v>413</v>
      </c>
      <c r="DO884805" t="s">
        <v>414</v>
      </c>
      <c r="DP884805" t="s">
        <v>415</v>
      </c>
      <c r="DQ884805" t="s">
        <v>416</v>
      </c>
      <c r="DR884805" t="s">
        <v>417</v>
      </c>
      <c r="DS884805" t="s">
        <v>418</v>
      </c>
      <c r="DT884805" t="s">
        <v>419</v>
      </c>
      <c r="DU884805" t="s">
        <v>420</v>
      </c>
      <c r="DV884805" t="s">
        <v>421</v>
      </c>
      <c r="DW884805" t="s">
        <v>422</v>
      </c>
      <c r="DX884805" t="s">
        <v>424</v>
      </c>
      <c r="DY884805" t="s">
        <v>425</v>
      </c>
      <c r="DZ884805" t="s">
        <v>427</v>
      </c>
      <c r="EA884805" t="s">
        <v>428</v>
      </c>
      <c r="EB884805" t="s">
        <v>429</v>
      </c>
      <c r="EC884805" t="s">
        <v>430</v>
      </c>
      <c r="ED884805" t="s">
        <v>431</v>
      </c>
      <c r="EE884805" t="s">
        <v>433</v>
      </c>
      <c r="EF884805" t="s">
        <v>434</v>
      </c>
      <c r="EG884805" t="s">
        <v>435</v>
      </c>
      <c r="EH884805" t="s">
        <v>436</v>
      </c>
      <c r="EI884805" t="s">
        <v>437</v>
      </c>
      <c r="EJ884805" t="s">
        <v>438</v>
      </c>
      <c r="EK884805" t="s">
        <v>439</v>
      </c>
      <c r="EL884805" t="s">
        <v>441</v>
      </c>
      <c r="EM884805" t="s">
        <v>442</v>
      </c>
      <c r="EN884805" t="s">
        <v>443</v>
      </c>
      <c r="EO884805" t="s">
        <v>444</v>
      </c>
      <c r="EP884805" t="s">
        <v>445</v>
      </c>
    </row>
    <row r="884806" spans="2:146">
      <c r="BQ884806">
        <v>67</v>
      </c>
      <c r="BR884806">
        <v>68</v>
      </c>
      <c r="BS884806">
        <v>69</v>
      </c>
      <c r="BT884806">
        <v>70</v>
      </c>
      <c r="BU884806">
        <v>71</v>
      </c>
      <c r="BV884806">
        <v>72</v>
      </c>
      <c r="BW884806">
        <v>73</v>
      </c>
      <c r="BX884806">
        <v>74</v>
      </c>
      <c r="BY884806">
        <v>75</v>
      </c>
      <c r="BZ884806">
        <v>76</v>
      </c>
      <c r="CA884806">
        <v>77</v>
      </c>
      <c r="CB884806">
        <v>78</v>
      </c>
      <c r="CC884806">
        <v>79</v>
      </c>
      <c r="CD884806">
        <v>80</v>
      </c>
      <c r="CE884806">
        <v>81</v>
      </c>
      <c r="CF884806">
        <v>82</v>
      </c>
      <c r="CG884806">
        <v>83</v>
      </c>
      <c r="CH884806">
        <v>84</v>
      </c>
      <c r="CI884806">
        <v>85</v>
      </c>
      <c r="CJ884806">
        <v>86</v>
      </c>
      <c r="CK884806">
        <v>87</v>
      </c>
      <c r="CL884806">
        <v>88</v>
      </c>
      <c r="CM884806">
        <v>89</v>
      </c>
      <c r="CN884806">
        <v>90</v>
      </c>
      <c r="CO884806">
        <v>91</v>
      </c>
      <c r="CP884806">
        <v>92</v>
      </c>
      <c r="CQ884806">
        <v>93</v>
      </c>
      <c r="CR884806">
        <v>94</v>
      </c>
      <c r="CS884806">
        <v>95</v>
      </c>
      <c r="CT884806">
        <v>96</v>
      </c>
      <c r="CU884806">
        <v>97</v>
      </c>
      <c r="CV884806">
        <v>98</v>
      </c>
      <c r="CW884806">
        <v>99</v>
      </c>
      <c r="CX884806">
        <v>100</v>
      </c>
      <c r="CY884806">
        <v>101</v>
      </c>
      <c r="CZ884806">
        <v>102</v>
      </c>
      <c r="DA884806">
        <v>103</v>
      </c>
      <c r="DB884806">
        <v>104</v>
      </c>
      <c r="DC884806">
        <v>105</v>
      </c>
      <c r="DD884806">
        <v>106</v>
      </c>
      <c r="DE884806">
        <v>107</v>
      </c>
      <c r="DF884806">
        <v>108</v>
      </c>
      <c r="DG884806">
        <v>109</v>
      </c>
      <c r="DH884806">
        <v>110</v>
      </c>
      <c r="DI884806">
        <v>111</v>
      </c>
      <c r="DJ884806">
        <v>112</v>
      </c>
      <c r="DK884806">
        <v>113</v>
      </c>
      <c r="DL884806">
        <v>114</v>
      </c>
      <c r="DM884806">
        <v>115</v>
      </c>
      <c r="DN884806">
        <v>116</v>
      </c>
      <c r="DO884806">
        <v>117</v>
      </c>
      <c r="DP884806">
        <v>118</v>
      </c>
      <c r="DQ884806">
        <v>119</v>
      </c>
      <c r="DR884806">
        <v>120</v>
      </c>
      <c r="DS884806">
        <v>121</v>
      </c>
      <c r="DT884806">
        <v>122</v>
      </c>
      <c r="DU884806">
        <v>123</v>
      </c>
      <c r="DV884806">
        <v>124</v>
      </c>
      <c r="DW884806">
        <v>125</v>
      </c>
      <c r="DX884806">
        <v>126</v>
      </c>
      <c r="DY884806">
        <v>127</v>
      </c>
      <c r="DZ884806">
        <v>128</v>
      </c>
      <c r="EA884806">
        <v>129</v>
      </c>
      <c r="EB884806">
        <v>130</v>
      </c>
      <c r="EC884806">
        <v>131</v>
      </c>
      <c r="ED884806">
        <v>132</v>
      </c>
      <c r="EE884806">
        <v>133</v>
      </c>
      <c r="EF884806">
        <v>134</v>
      </c>
      <c r="EG884806">
        <v>135</v>
      </c>
      <c r="EH884806">
        <v>136</v>
      </c>
      <c r="EI884806">
        <v>137</v>
      </c>
      <c r="EJ884806">
        <v>138</v>
      </c>
      <c r="EK884806">
        <v>139</v>
      </c>
      <c r="EL884806">
        <v>140</v>
      </c>
      <c r="EM884806">
        <v>141</v>
      </c>
      <c r="EN884806">
        <v>142</v>
      </c>
      <c r="EO884806">
        <v>143</v>
      </c>
      <c r="EP884806">
        <v>144</v>
      </c>
    </row>
    <row r="884807" spans="2:146">
      <c r="CE884807" t="s">
        <v>451</v>
      </c>
    </row>
    <row r="901122" spans="2:2">
      <c r="B901122">
        <v>200</v>
      </c>
    </row>
    <row r="901123" spans="2:2">
      <c r="B901123">
        <v>200</v>
      </c>
    </row>
    <row r="901124" spans="2:2">
      <c r="B901124">
        <v>800</v>
      </c>
    </row>
    <row r="901125" spans="2:2">
      <c r="B901125">
        <v>200</v>
      </c>
    </row>
    <row r="901126" spans="2:2">
      <c r="B901126">
        <v>1044</v>
      </c>
    </row>
    <row r="901127" spans="2:2">
      <c r="B901127">
        <v>998.40000000000009</v>
      </c>
    </row>
    <row r="901128" spans="2:2">
      <c r="B901128">
        <v>272</v>
      </c>
    </row>
    <row r="901129" spans="2:2">
      <c r="B901129">
        <v>200</v>
      </c>
    </row>
    <row r="901130" spans="2:2">
      <c r="B901130">
        <v>214</v>
      </c>
    </row>
    <row r="901131" spans="2:2">
      <c r="B901131">
        <v>200</v>
      </c>
    </row>
    <row r="901132" spans="2:2">
      <c r="B901132">
        <v>152</v>
      </c>
    </row>
    <row r="901133" spans="2:2">
      <c r="B901133">
        <v>200</v>
      </c>
    </row>
    <row r="901134" spans="2:2">
      <c r="B901134">
        <v>300</v>
      </c>
    </row>
    <row r="901135" spans="2:2">
      <c r="B901135">
        <v>104</v>
      </c>
    </row>
    <row r="901136" spans="2:2">
      <c r="B901136">
        <v>162</v>
      </c>
    </row>
    <row r="901137" spans="2:2">
      <c r="B901137">
        <v>200</v>
      </c>
    </row>
    <row r="901138" spans="2:2">
      <c r="B901138">
        <v>200</v>
      </c>
    </row>
    <row r="901139" spans="2:2">
      <c r="B901139">
        <v>200</v>
      </c>
    </row>
    <row r="901140" spans="2:2">
      <c r="B901140">
        <v>200</v>
      </c>
    </row>
    <row r="901141" spans="2:2">
      <c r="B901141">
        <v>200</v>
      </c>
    </row>
    <row r="901142" spans="2:2">
      <c r="B901142">
        <v>200</v>
      </c>
    </row>
    <row r="901143" spans="2:2">
      <c r="B901143">
        <v>200</v>
      </c>
    </row>
    <row r="901144" spans="2:2">
      <c r="B901144">
        <v>200</v>
      </c>
    </row>
    <row r="901145" spans="2:2">
      <c r="B901145">
        <v>800</v>
      </c>
    </row>
    <row r="901146" spans="2:2">
      <c r="B901146">
        <v>300</v>
      </c>
    </row>
    <row r="901147" spans="2:2">
      <c r="B901147">
        <v>778</v>
      </c>
    </row>
    <row r="901148" spans="2:2">
      <c r="B901148">
        <v>614</v>
      </c>
    </row>
    <row r="901149" spans="2:2">
      <c r="B901149">
        <v>444</v>
      </c>
    </row>
    <row r="901150" spans="2:2">
      <c r="B901150">
        <v>800</v>
      </c>
    </row>
    <row r="901151" spans="2:2">
      <c r="B901151">
        <v>200</v>
      </c>
    </row>
    <row r="901152" spans="2:2">
      <c r="B901152">
        <v>780</v>
      </c>
    </row>
    <row r="901153" spans="2:146">
      <c r="B901153">
        <v>174</v>
      </c>
    </row>
    <row r="901154" spans="2:146">
      <c r="B901154">
        <v>194</v>
      </c>
    </row>
    <row r="901155" spans="2:146">
      <c r="B901155">
        <v>782</v>
      </c>
    </row>
    <row r="901156" spans="2:146">
      <c r="B901156">
        <v>236</v>
      </c>
    </row>
    <row r="901157" spans="2:146">
      <c r="B901157">
        <v>144</v>
      </c>
    </row>
    <row r="901158" spans="2:146">
      <c r="B901158">
        <v>200</v>
      </c>
    </row>
    <row r="901159" spans="2:146">
      <c r="B901159">
        <v>240</v>
      </c>
    </row>
    <row r="901160" spans="2:146">
      <c r="B901160">
        <v>200</v>
      </c>
    </row>
    <row r="901161" spans="2:146">
      <c r="B901161">
        <v>612</v>
      </c>
    </row>
    <row r="901162" spans="2:146">
      <c r="B901162">
        <v>156</v>
      </c>
    </row>
    <row r="901163" spans="2:146">
      <c r="B901163">
        <v>116</v>
      </c>
    </row>
    <row r="901164" spans="2:146">
      <c r="B901164">
        <v>160</v>
      </c>
    </row>
    <row r="901165" spans="2:146">
      <c r="B901165">
        <v>80</v>
      </c>
      <c r="EL901165">
        <v>0.66</v>
      </c>
      <c r="EM901165">
        <v>0.66</v>
      </c>
      <c r="EN901165">
        <v>0.66</v>
      </c>
      <c r="EO901165">
        <v>0.66</v>
      </c>
      <c r="EP901165">
        <v>0.66</v>
      </c>
    </row>
    <row r="901166" spans="2:146">
      <c r="B901166">
        <v>1144</v>
      </c>
      <c r="BV901166">
        <v>5.0999999999999996</v>
      </c>
      <c r="BW901166">
        <v>5.0999999999999996</v>
      </c>
      <c r="DB901166">
        <v>10.210000000000001</v>
      </c>
      <c r="DC901166">
        <v>10.210000000000001</v>
      </c>
      <c r="DD901166">
        <v>10.210000000000001</v>
      </c>
      <c r="DE901166">
        <v>10.210000000000001</v>
      </c>
      <c r="DF901166">
        <v>10.210000000000001</v>
      </c>
      <c r="DG901166">
        <v>10.210000000000001</v>
      </c>
      <c r="DH901166">
        <v>10.210000000000001</v>
      </c>
    </row>
    <row r="901167" spans="2:146">
      <c r="B901167">
        <v>1240</v>
      </c>
      <c r="EE901167">
        <v>8.15</v>
      </c>
      <c r="EF901167">
        <v>8.15</v>
      </c>
      <c r="EG901167">
        <v>8.15</v>
      </c>
      <c r="EH901167">
        <v>8.15</v>
      </c>
      <c r="EI901167">
        <v>8.15</v>
      </c>
      <c r="EJ901167">
        <v>8.15</v>
      </c>
      <c r="EK901167">
        <v>8.15</v>
      </c>
    </row>
    <row r="901168" spans="2:146">
      <c r="B901168">
        <v>2083.2000000000003</v>
      </c>
      <c r="DI901168">
        <v>20.03</v>
      </c>
      <c r="DJ901168">
        <v>20.03</v>
      </c>
      <c r="DQ901168">
        <v>20.03</v>
      </c>
      <c r="DT901168">
        <v>20.03</v>
      </c>
      <c r="DW901168">
        <v>20.03</v>
      </c>
    </row>
    <row r="901169" spans="2:134">
      <c r="B901169">
        <v>357.20000000000005</v>
      </c>
      <c r="DI901169">
        <v>3.88</v>
      </c>
      <c r="DJ901169">
        <v>3.88</v>
      </c>
      <c r="DV901169">
        <v>3.88</v>
      </c>
      <c r="DW901169">
        <v>3.88</v>
      </c>
    </row>
    <row r="901170" spans="2:134">
      <c r="B901170">
        <v>391.20000000000005</v>
      </c>
      <c r="DI901170">
        <v>3.62</v>
      </c>
      <c r="DJ901170">
        <v>3.62</v>
      </c>
      <c r="DR901170">
        <v>3.62</v>
      </c>
      <c r="DU901170">
        <v>3.62</v>
      </c>
      <c r="DV901170">
        <v>3.62</v>
      </c>
    </row>
    <row r="901171" spans="2:134">
      <c r="B901171">
        <v>762.80000000000007</v>
      </c>
      <c r="DI901171">
        <v>6.15</v>
      </c>
      <c r="DJ901171">
        <v>6.15</v>
      </c>
      <c r="DQ901171">
        <v>6.15</v>
      </c>
      <c r="DR901171">
        <v>6.15</v>
      </c>
      <c r="DS901171">
        <v>6.15</v>
      </c>
      <c r="DT901171">
        <v>6.15</v>
      </c>
    </row>
    <row r="901172" spans="2:134">
      <c r="B901172">
        <v>1280</v>
      </c>
      <c r="DI901172">
        <v>10.66</v>
      </c>
      <c r="DJ901172">
        <v>10.66</v>
      </c>
      <c r="DK901172">
        <v>10.66</v>
      </c>
      <c r="DL901172">
        <v>10.66</v>
      </c>
      <c r="DM901172">
        <v>10.66</v>
      </c>
      <c r="DN901172">
        <v>10.66</v>
      </c>
    </row>
    <row r="901173" spans="2:134">
      <c r="B901173">
        <v>234</v>
      </c>
      <c r="CT901173">
        <v>2.5</v>
      </c>
      <c r="CU901173">
        <v>2.5</v>
      </c>
      <c r="CV901173">
        <v>2.5</v>
      </c>
    </row>
    <row r="901174" spans="2:134">
      <c r="B901174">
        <v>354</v>
      </c>
      <c r="CY901174">
        <v>3.98</v>
      </c>
      <c r="CZ901174">
        <v>3.98</v>
      </c>
      <c r="DA901174">
        <v>3.98</v>
      </c>
    </row>
    <row r="901175" spans="2:134">
      <c r="B901175">
        <v>392</v>
      </c>
      <c r="DI901175">
        <v>3.52</v>
      </c>
      <c r="DJ901175">
        <v>3.52</v>
      </c>
      <c r="DL901175">
        <v>3.52</v>
      </c>
      <c r="DO901175">
        <v>3.52</v>
      </c>
    </row>
    <row r="901176" spans="2:134">
      <c r="B901176">
        <v>304</v>
      </c>
      <c r="CE901176">
        <v>3.8</v>
      </c>
      <c r="CF901176">
        <v>3.8</v>
      </c>
    </row>
    <row r="901177" spans="2:134">
      <c r="B901177">
        <v>144</v>
      </c>
      <c r="DZ901177">
        <v>1.62</v>
      </c>
      <c r="EA901177">
        <v>1.62</v>
      </c>
      <c r="EB901177">
        <v>1.62</v>
      </c>
      <c r="EC901177">
        <v>0.81</v>
      </c>
      <c r="ED901177">
        <v>0.81</v>
      </c>
    </row>
    <row r="901178" spans="2:134">
      <c r="B901178">
        <v>602.40000000000009</v>
      </c>
      <c r="BY901178">
        <v>6.02</v>
      </c>
      <c r="BZ901178">
        <v>6.02</v>
      </c>
      <c r="CB901178">
        <v>3.01</v>
      </c>
      <c r="CC901178">
        <v>3.01</v>
      </c>
      <c r="CD901178">
        <v>3.01</v>
      </c>
      <c r="CI901178">
        <v>6.02</v>
      </c>
      <c r="CJ901178">
        <v>6.02</v>
      </c>
      <c r="CK901178">
        <v>6.02</v>
      </c>
    </row>
    <row r="901179" spans="2:134">
      <c r="B901179">
        <v>307.60000000000002</v>
      </c>
      <c r="BY901179">
        <v>3.34</v>
      </c>
      <c r="BZ901179">
        <v>3.34</v>
      </c>
      <c r="CG901179">
        <v>3.34</v>
      </c>
      <c r="CH901179">
        <v>3.34</v>
      </c>
    </row>
    <row r="901180" spans="2:134">
      <c r="B901180">
        <v>358</v>
      </c>
      <c r="BY901180">
        <v>2.37</v>
      </c>
      <c r="BZ901180">
        <v>2.37</v>
      </c>
      <c r="CA901180">
        <v>2.37</v>
      </c>
      <c r="DX901180">
        <v>4.74</v>
      </c>
      <c r="DY901180">
        <v>4.74</v>
      </c>
    </row>
    <row r="901181" spans="2:134">
      <c r="B901181">
        <v>286</v>
      </c>
      <c r="BT901181">
        <v>1.43</v>
      </c>
      <c r="BV901181">
        <v>1.43</v>
      </c>
      <c r="BW901181">
        <v>1.43</v>
      </c>
      <c r="BX901181">
        <v>1.43</v>
      </c>
      <c r="CO901181">
        <v>2.86</v>
      </c>
      <c r="CP901181">
        <v>2.86</v>
      </c>
      <c r="CQ901181">
        <v>2.86</v>
      </c>
      <c r="CR901181">
        <v>2.86</v>
      </c>
      <c r="CS901181">
        <v>2.86</v>
      </c>
    </row>
    <row r="901182" spans="2:134">
      <c r="B901182">
        <v>410</v>
      </c>
      <c r="BY901182">
        <v>2.88</v>
      </c>
      <c r="BZ901182">
        <v>2.88</v>
      </c>
      <c r="CA901182">
        <v>2.88</v>
      </c>
      <c r="CW901182">
        <v>5.76</v>
      </c>
      <c r="CX901182">
        <v>5.76</v>
      </c>
    </row>
    <row r="901183" spans="2:134">
      <c r="B901183">
        <v>346</v>
      </c>
      <c r="BR901183">
        <v>3.6</v>
      </c>
      <c r="BS901183">
        <v>3.6</v>
      </c>
      <c r="BT901183">
        <v>1.8</v>
      </c>
      <c r="CL901183">
        <v>3.6</v>
      </c>
      <c r="CM901183">
        <v>3.6</v>
      </c>
      <c r="CN901183">
        <v>3.6</v>
      </c>
    </row>
    <row r="901184" spans="2:134">
      <c r="B901184">
        <v>302</v>
      </c>
      <c r="BR901184">
        <v>3.28</v>
      </c>
      <c r="BS901184">
        <v>3.28</v>
      </c>
      <c r="BT901184">
        <v>1.64</v>
      </c>
      <c r="BU901184">
        <v>1.64</v>
      </c>
      <c r="CL901184">
        <v>3.28</v>
      </c>
      <c r="CM901184">
        <v>3.28</v>
      </c>
      <c r="CN901184">
        <v>3.28</v>
      </c>
    </row>
    <row r="901185" spans="2:146">
      <c r="B901185">
        <v>204</v>
      </c>
      <c r="BR901185">
        <v>2.12</v>
      </c>
      <c r="BS901185">
        <v>2.12</v>
      </c>
      <c r="BT901185">
        <v>1.06</v>
      </c>
      <c r="CL901185">
        <v>2.12</v>
      </c>
      <c r="CM901185">
        <v>2.12</v>
      </c>
      <c r="CN901185">
        <v>2.12</v>
      </c>
    </row>
    <row r="901187" spans="2:146">
      <c r="B901187">
        <v>26358.800000000003</v>
      </c>
      <c r="BQ901187">
        <v>0</v>
      </c>
      <c r="BR901187">
        <v>9</v>
      </c>
      <c r="BS901187">
        <v>9</v>
      </c>
      <c r="BT901187">
        <v>5.93</v>
      </c>
      <c r="BU901187">
        <v>1.64</v>
      </c>
      <c r="BV901187">
        <v>6.5299999999999994</v>
      </c>
      <c r="BW901187">
        <v>6.5299999999999994</v>
      </c>
      <c r="BX901187">
        <v>1.43</v>
      </c>
      <c r="BY901187">
        <v>14.61</v>
      </c>
      <c r="BZ901187">
        <v>14.61</v>
      </c>
      <c r="CA901187">
        <v>5.25</v>
      </c>
      <c r="CB901187">
        <v>3.01</v>
      </c>
      <c r="CC901187">
        <v>3.01</v>
      </c>
      <c r="CD901187">
        <v>3.01</v>
      </c>
      <c r="CE901187">
        <v>3.8</v>
      </c>
      <c r="CF901187">
        <v>3.8</v>
      </c>
      <c r="CG901187">
        <v>3.34</v>
      </c>
      <c r="CH901187">
        <v>3.34</v>
      </c>
      <c r="CI901187">
        <v>6.02</v>
      </c>
      <c r="CJ901187">
        <v>6.02</v>
      </c>
      <c r="CK901187">
        <v>6.02</v>
      </c>
      <c r="CL901187">
        <v>9</v>
      </c>
      <c r="CM901187">
        <v>9</v>
      </c>
      <c r="CN901187">
        <v>9</v>
      </c>
      <c r="CO901187">
        <v>2.86</v>
      </c>
      <c r="CP901187">
        <v>2.86</v>
      </c>
      <c r="CQ901187">
        <v>2.86</v>
      </c>
      <c r="CR901187">
        <v>2.86</v>
      </c>
      <c r="CS901187">
        <v>2.86</v>
      </c>
      <c r="CT901187">
        <v>2.5</v>
      </c>
      <c r="CU901187">
        <v>2.5</v>
      </c>
      <c r="CV901187">
        <v>2.5</v>
      </c>
      <c r="CW901187">
        <v>5.76</v>
      </c>
      <c r="CX901187">
        <v>5.76</v>
      </c>
      <c r="CY901187">
        <v>3.98</v>
      </c>
      <c r="CZ901187">
        <v>3.98</v>
      </c>
      <c r="DA901187">
        <v>3.98</v>
      </c>
      <c r="DB901187">
        <v>10.210000000000001</v>
      </c>
      <c r="DC901187">
        <v>10.210000000000001</v>
      </c>
      <c r="DD901187">
        <v>10.210000000000001</v>
      </c>
      <c r="DE901187">
        <v>10.210000000000001</v>
      </c>
      <c r="DF901187">
        <v>10.210000000000001</v>
      </c>
      <c r="DG901187">
        <v>10.210000000000001</v>
      </c>
      <c r="DH901187">
        <v>10.210000000000001</v>
      </c>
      <c r="DI901187">
        <v>47.860000000000007</v>
      </c>
      <c r="DJ901187">
        <v>47.860000000000007</v>
      </c>
      <c r="DK901187">
        <v>10.66</v>
      </c>
      <c r="DL901187">
        <v>14.18</v>
      </c>
      <c r="DM901187">
        <v>10.66</v>
      </c>
      <c r="DN901187">
        <v>10.66</v>
      </c>
      <c r="DO901187">
        <v>3.52</v>
      </c>
      <c r="DP901187">
        <v>0</v>
      </c>
      <c r="DQ901187">
        <v>26.18</v>
      </c>
      <c r="DR901187">
        <v>9.77</v>
      </c>
      <c r="DS901187">
        <v>6.15</v>
      </c>
      <c r="DT901187">
        <v>26.18</v>
      </c>
      <c r="DU901187">
        <v>3.62</v>
      </c>
      <c r="DV901187">
        <v>7.5</v>
      </c>
      <c r="DW901187">
        <v>23.91</v>
      </c>
      <c r="DX901187">
        <v>4.74</v>
      </c>
      <c r="DY901187">
        <v>4.74</v>
      </c>
      <c r="DZ901187">
        <v>1.62</v>
      </c>
      <c r="EA901187">
        <v>1.62</v>
      </c>
      <c r="EB901187">
        <v>1.62</v>
      </c>
      <c r="EC901187">
        <v>0.81</v>
      </c>
      <c r="ED901187">
        <v>0.81</v>
      </c>
      <c r="EE901187">
        <v>8.15</v>
      </c>
      <c r="EF901187">
        <v>8.15</v>
      </c>
      <c r="EG901187">
        <v>8.15</v>
      </c>
      <c r="EH901187">
        <v>8.15</v>
      </c>
      <c r="EI901187">
        <v>8.15</v>
      </c>
      <c r="EJ901187">
        <v>8.15</v>
      </c>
      <c r="EK901187">
        <v>8.15</v>
      </c>
      <c r="EL901187">
        <v>0.66</v>
      </c>
      <c r="EM901187">
        <v>0.66</v>
      </c>
      <c r="EN901187">
        <v>0.66</v>
      </c>
      <c r="EO901187">
        <v>0.66</v>
      </c>
      <c r="EP901187">
        <v>0.66</v>
      </c>
    </row>
    <row r="901188" spans="2:146">
      <c r="B901188" t="s">
        <v>265</v>
      </c>
      <c r="BQ901188" t="s">
        <v>345</v>
      </c>
      <c r="BR901188" t="s">
        <v>131</v>
      </c>
      <c r="BS901188" t="s">
        <v>131</v>
      </c>
      <c r="BT901188" t="s">
        <v>357</v>
      </c>
      <c r="BU901188" t="s">
        <v>131</v>
      </c>
      <c r="BV901188" t="s">
        <v>360</v>
      </c>
      <c r="BW901188" t="s">
        <v>360</v>
      </c>
      <c r="BX901188" t="s">
        <v>360</v>
      </c>
      <c r="BY901188" t="s">
        <v>364</v>
      </c>
      <c r="BZ901188" t="s">
        <v>364</v>
      </c>
      <c r="CA901188" t="s">
        <v>364</v>
      </c>
      <c r="CB901188" t="s">
        <v>368</v>
      </c>
      <c r="CC901188" t="s">
        <v>368</v>
      </c>
      <c r="CD901188" t="s">
        <v>368</v>
      </c>
      <c r="CE901188" t="s">
        <v>352</v>
      </c>
      <c r="CF901188" t="s">
        <v>352</v>
      </c>
      <c r="CG901188" t="s">
        <v>372</v>
      </c>
      <c r="CH901188" t="s">
        <v>372</v>
      </c>
      <c r="CI901188" t="s">
        <v>375</v>
      </c>
      <c r="CJ901188" t="s">
        <v>375</v>
      </c>
      <c r="CK901188" t="s">
        <v>375</v>
      </c>
      <c r="CL901188" t="s">
        <v>379</v>
      </c>
      <c r="CM901188" t="s">
        <v>379</v>
      </c>
      <c r="CN901188" t="s">
        <v>379</v>
      </c>
      <c r="CO901188" t="s">
        <v>383</v>
      </c>
      <c r="CP901188" t="s">
        <v>383</v>
      </c>
      <c r="CQ901188" t="s">
        <v>383</v>
      </c>
      <c r="CR901188" t="s">
        <v>383</v>
      </c>
      <c r="CS901188" t="s">
        <v>383</v>
      </c>
      <c r="CT901188" t="s">
        <v>389</v>
      </c>
      <c r="CU901188" t="s">
        <v>389</v>
      </c>
      <c r="CV901188" t="s">
        <v>389</v>
      </c>
      <c r="CW901188" t="s">
        <v>393</v>
      </c>
      <c r="CX901188" t="s">
        <v>393</v>
      </c>
      <c r="CY901188" t="s">
        <v>396</v>
      </c>
      <c r="CZ901188" t="s">
        <v>396</v>
      </c>
      <c r="DA901188" t="s">
        <v>396</v>
      </c>
      <c r="DB901188" t="s">
        <v>400</v>
      </c>
      <c r="DC901188" t="s">
        <v>400</v>
      </c>
      <c r="DD901188" t="s">
        <v>400</v>
      </c>
      <c r="DE901188" t="s">
        <v>400</v>
      </c>
      <c r="DF901188" t="s">
        <v>400</v>
      </c>
      <c r="DG901188" t="s">
        <v>400</v>
      </c>
      <c r="DH901188" t="s">
        <v>400</v>
      </c>
      <c r="DI901188" t="s">
        <v>121</v>
      </c>
      <c r="DJ901188" t="s">
        <v>121</v>
      </c>
      <c r="DK901188" t="s">
        <v>121</v>
      </c>
      <c r="DL901188" t="s">
        <v>121</v>
      </c>
      <c r="DM901188" t="s">
        <v>121</v>
      </c>
      <c r="DN901188" t="s">
        <v>121</v>
      </c>
      <c r="DO901188" t="s">
        <v>121</v>
      </c>
      <c r="DP901188" t="s">
        <v>121</v>
      </c>
      <c r="DQ901188" t="s">
        <v>121</v>
      </c>
      <c r="DR901188" t="s">
        <v>121</v>
      </c>
      <c r="DS901188" t="s">
        <v>121</v>
      </c>
      <c r="DT901188" t="s">
        <v>121</v>
      </c>
      <c r="DU901188" t="s">
        <v>121</v>
      </c>
      <c r="DV901188" t="s">
        <v>121</v>
      </c>
      <c r="DW901188" t="s">
        <v>121</v>
      </c>
      <c r="DX901188" t="s">
        <v>423</v>
      </c>
      <c r="DY901188" t="s">
        <v>423</v>
      </c>
      <c r="DZ901188" t="s">
        <v>426</v>
      </c>
      <c r="EA901188" t="s">
        <v>426</v>
      </c>
      <c r="EB901188" t="s">
        <v>426</v>
      </c>
      <c r="EC901188" t="s">
        <v>426</v>
      </c>
      <c r="ED901188" t="s">
        <v>426</v>
      </c>
      <c r="EE901188" t="s">
        <v>432</v>
      </c>
      <c r="EF901188" t="s">
        <v>432</v>
      </c>
      <c r="EG901188" t="s">
        <v>432</v>
      </c>
      <c r="EH901188" t="s">
        <v>432</v>
      </c>
      <c r="EI901188" t="s">
        <v>432</v>
      </c>
      <c r="EJ901188" t="s">
        <v>432</v>
      </c>
      <c r="EK901188" t="s">
        <v>432</v>
      </c>
      <c r="EL901188" t="s">
        <v>440</v>
      </c>
      <c r="EM901188" t="s">
        <v>440</v>
      </c>
      <c r="EN901188" t="s">
        <v>440</v>
      </c>
      <c r="EO901188" t="s">
        <v>440</v>
      </c>
      <c r="EP901188" t="s">
        <v>440</v>
      </c>
    </row>
    <row r="901189" spans="2:146">
      <c r="BQ901189" t="s">
        <v>351</v>
      </c>
      <c r="BR901189" t="s">
        <v>355</v>
      </c>
      <c r="BS901189" t="s">
        <v>356</v>
      </c>
      <c r="BT901189" t="s">
        <v>358</v>
      </c>
      <c r="BU901189" t="s">
        <v>359</v>
      </c>
      <c r="BV901189" t="s">
        <v>361</v>
      </c>
      <c r="BW901189" t="s">
        <v>362</v>
      </c>
      <c r="BX901189" t="s">
        <v>363</v>
      </c>
      <c r="BY901189" t="s">
        <v>365</v>
      </c>
      <c r="BZ901189" t="s">
        <v>366</v>
      </c>
      <c r="CA901189" t="s">
        <v>367</v>
      </c>
      <c r="CB901189" t="s">
        <v>369</v>
      </c>
      <c r="CC901189" t="s">
        <v>370</v>
      </c>
      <c r="CD901189" t="s">
        <v>371</v>
      </c>
      <c r="CE901189" t="s">
        <v>353</v>
      </c>
      <c r="CF901189" t="s">
        <v>354</v>
      </c>
      <c r="CG901189" t="s">
        <v>373</v>
      </c>
      <c r="CH901189" t="s">
        <v>374</v>
      </c>
      <c r="CI901189" t="s">
        <v>376</v>
      </c>
      <c r="CJ901189" t="s">
        <v>377</v>
      </c>
      <c r="CK901189" t="s">
        <v>378</v>
      </c>
      <c r="CL901189" t="s">
        <v>380</v>
      </c>
      <c r="CM901189" t="s">
        <v>381</v>
      </c>
      <c r="CN901189" t="s">
        <v>382</v>
      </c>
      <c r="CO901189" t="s">
        <v>384</v>
      </c>
      <c r="CP901189" t="s">
        <v>385</v>
      </c>
      <c r="CQ901189" t="s">
        <v>386</v>
      </c>
      <c r="CR901189" t="s">
        <v>387</v>
      </c>
      <c r="CS901189" t="s">
        <v>388</v>
      </c>
      <c r="CT901189" t="s">
        <v>390</v>
      </c>
      <c r="CU901189" t="s">
        <v>391</v>
      </c>
      <c r="CV901189" t="s">
        <v>392</v>
      </c>
      <c r="CW901189" t="s">
        <v>394</v>
      </c>
      <c r="CX901189" t="s">
        <v>395</v>
      </c>
      <c r="CY901189" t="s">
        <v>397</v>
      </c>
      <c r="CZ901189" t="s">
        <v>398</v>
      </c>
      <c r="DA901189" t="s">
        <v>399</v>
      </c>
      <c r="DB901189" t="s">
        <v>401</v>
      </c>
      <c r="DC901189" t="s">
        <v>402</v>
      </c>
      <c r="DD901189" t="s">
        <v>403</v>
      </c>
      <c r="DE901189" t="s">
        <v>404</v>
      </c>
      <c r="DF901189" t="s">
        <v>405</v>
      </c>
      <c r="DG901189" t="s">
        <v>406</v>
      </c>
      <c r="DH901189" t="s">
        <v>407</v>
      </c>
      <c r="DI901189" t="s">
        <v>408</v>
      </c>
      <c r="DJ901189" t="s">
        <v>409</v>
      </c>
      <c r="DK901189" t="s">
        <v>410</v>
      </c>
      <c r="DL901189" t="s">
        <v>411</v>
      </c>
      <c r="DM901189" t="s">
        <v>412</v>
      </c>
      <c r="DN901189" t="s">
        <v>413</v>
      </c>
      <c r="DO901189" t="s">
        <v>414</v>
      </c>
      <c r="DP901189" t="s">
        <v>415</v>
      </c>
      <c r="DQ901189" t="s">
        <v>416</v>
      </c>
      <c r="DR901189" t="s">
        <v>417</v>
      </c>
      <c r="DS901189" t="s">
        <v>418</v>
      </c>
      <c r="DT901189" t="s">
        <v>419</v>
      </c>
      <c r="DU901189" t="s">
        <v>420</v>
      </c>
      <c r="DV901189" t="s">
        <v>421</v>
      </c>
      <c r="DW901189" t="s">
        <v>422</v>
      </c>
      <c r="DX901189" t="s">
        <v>424</v>
      </c>
      <c r="DY901189" t="s">
        <v>425</v>
      </c>
      <c r="DZ901189" t="s">
        <v>427</v>
      </c>
      <c r="EA901189" t="s">
        <v>428</v>
      </c>
      <c r="EB901189" t="s">
        <v>429</v>
      </c>
      <c r="EC901189" t="s">
        <v>430</v>
      </c>
      <c r="ED901189" t="s">
        <v>431</v>
      </c>
      <c r="EE901189" t="s">
        <v>433</v>
      </c>
      <c r="EF901189" t="s">
        <v>434</v>
      </c>
      <c r="EG901189" t="s">
        <v>435</v>
      </c>
      <c r="EH901189" t="s">
        <v>436</v>
      </c>
      <c r="EI901189" t="s">
        <v>437</v>
      </c>
      <c r="EJ901189" t="s">
        <v>438</v>
      </c>
      <c r="EK901189" t="s">
        <v>439</v>
      </c>
      <c r="EL901189" t="s">
        <v>441</v>
      </c>
      <c r="EM901189" t="s">
        <v>442</v>
      </c>
      <c r="EN901189" t="s">
        <v>443</v>
      </c>
      <c r="EO901189" t="s">
        <v>444</v>
      </c>
      <c r="EP901189" t="s">
        <v>445</v>
      </c>
    </row>
    <row r="901190" spans="2:146">
      <c r="BQ901190">
        <v>67</v>
      </c>
      <c r="BR901190">
        <v>68</v>
      </c>
      <c r="BS901190">
        <v>69</v>
      </c>
      <c r="BT901190">
        <v>70</v>
      </c>
      <c r="BU901190">
        <v>71</v>
      </c>
      <c r="BV901190">
        <v>72</v>
      </c>
      <c r="BW901190">
        <v>73</v>
      </c>
      <c r="BX901190">
        <v>74</v>
      </c>
      <c r="BY901190">
        <v>75</v>
      </c>
      <c r="BZ901190">
        <v>76</v>
      </c>
      <c r="CA901190">
        <v>77</v>
      </c>
      <c r="CB901190">
        <v>78</v>
      </c>
      <c r="CC901190">
        <v>79</v>
      </c>
      <c r="CD901190">
        <v>80</v>
      </c>
      <c r="CE901190">
        <v>81</v>
      </c>
      <c r="CF901190">
        <v>82</v>
      </c>
      <c r="CG901190">
        <v>83</v>
      </c>
      <c r="CH901190">
        <v>84</v>
      </c>
      <c r="CI901190">
        <v>85</v>
      </c>
      <c r="CJ901190">
        <v>86</v>
      </c>
      <c r="CK901190">
        <v>87</v>
      </c>
      <c r="CL901190">
        <v>88</v>
      </c>
      <c r="CM901190">
        <v>89</v>
      </c>
      <c r="CN901190">
        <v>90</v>
      </c>
      <c r="CO901190">
        <v>91</v>
      </c>
      <c r="CP901190">
        <v>92</v>
      </c>
      <c r="CQ901190">
        <v>93</v>
      </c>
      <c r="CR901190">
        <v>94</v>
      </c>
      <c r="CS901190">
        <v>95</v>
      </c>
      <c r="CT901190">
        <v>96</v>
      </c>
      <c r="CU901190">
        <v>97</v>
      </c>
      <c r="CV901190">
        <v>98</v>
      </c>
      <c r="CW901190">
        <v>99</v>
      </c>
      <c r="CX901190">
        <v>100</v>
      </c>
      <c r="CY901190">
        <v>101</v>
      </c>
      <c r="CZ901190">
        <v>102</v>
      </c>
      <c r="DA901190">
        <v>103</v>
      </c>
      <c r="DB901190">
        <v>104</v>
      </c>
      <c r="DC901190">
        <v>105</v>
      </c>
      <c r="DD901190">
        <v>106</v>
      </c>
      <c r="DE901190">
        <v>107</v>
      </c>
      <c r="DF901190">
        <v>108</v>
      </c>
      <c r="DG901190">
        <v>109</v>
      </c>
      <c r="DH901190">
        <v>110</v>
      </c>
      <c r="DI901190">
        <v>111</v>
      </c>
      <c r="DJ901190">
        <v>112</v>
      </c>
      <c r="DK901190">
        <v>113</v>
      </c>
      <c r="DL901190">
        <v>114</v>
      </c>
      <c r="DM901190">
        <v>115</v>
      </c>
      <c r="DN901190">
        <v>116</v>
      </c>
      <c r="DO901190">
        <v>117</v>
      </c>
      <c r="DP901190">
        <v>118</v>
      </c>
      <c r="DQ901190">
        <v>119</v>
      </c>
      <c r="DR901190">
        <v>120</v>
      </c>
      <c r="DS901190">
        <v>121</v>
      </c>
      <c r="DT901190">
        <v>122</v>
      </c>
      <c r="DU901190">
        <v>123</v>
      </c>
      <c r="DV901190">
        <v>124</v>
      </c>
      <c r="DW901190">
        <v>125</v>
      </c>
      <c r="DX901190">
        <v>126</v>
      </c>
      <c r="DY901190">
        <v>127</v>
      </c>
      <c r="DZ901190">
        <v>128</v>
      </c>
      <c r="EA901190">
        <v>129</v>
      </c>
      <c r="EB901190">
        <v>130</v>
      </c>
      <c r="EC901190">
        <v>131</v>
      </c>
      <c r="ED901190">
        <v>132</v>
      </c>
      <c r="EE901190">
        <v>133</v>
      </c>
      <c r="EF901190">
        <v>134</v>
      </c>
      <c r="EG901190">
        <v>135</v>
      </c>
      <c r="EH901190">
        <v>136</v>
      </c>
      <c r="EI901190">
        <v>137</v>
      </c>
      <c r="EJ901190">
        <v>138</v>
      </c>
      <c r="EK901190">
        <v>139</v>
      </c>
      <c r="EL901190">
        <v>140</v>
      </c>
      <c r="EM901190">
        <v>141</v>
      </c>
      <c r="EN901190">
        <v>142</v>
      </c>
      <c r="EO901190">
        <v>143</v>
      </c>
      <c r="EP901190">
        <v>144</v>
      </c>
    </row>
    <row r="901191" spans="2:146">
      <c r="CE901191" t="s">
        <v>451</v>
      </c>
    </row>
    <row r="917506" spans="2:2">
      <c r="B917506">
        <v>200</v>
      </c>
    </row>
    <row r="917507" spans="2:2">
      <c r="B917507">
        <v>200</v>
      </c>
    </row>
    <row r="917508" spans="2:2">
      <c r="B917508">
        <v>800</v>
      </c>
    </row>
    <row r="917509" spans="2:2">
      <c r="B917509">
        <v>200</v>
      </c>
    </row>
    <row r="917510" spans="2:2">
      <c r="B917510">
        <v>1044</v>
      </c>
    </row>
    <row r="917511" spans="2:2">
      <c r="B917511">
        <v>998.40000000000009</v>
      </c>
    </row>
    <row r="917512" spans="2:2">
      <c r="B917512">
        <v>272</v>
      </c>
    </row>
    <row r="917513" spans="2:2">
      <c r="B917513">
        <v>200</v>
      </c>
    </row>
    <row r="917514" spans="2:2">
      <c r="B917514">
        <v>214</v>
      </c>
    </row>
    <row r="917515" spans="2:2">
      <c r="B917515">
        <v>200</v>
      </c>
    </row>
    <row r="917516" spans="2:2">
      <c r="B917516">
        <v>152</v>
      </c>
    </row>
    <row r="917517" spans="2:2">
      <c r="B917517">
        <v>200</v>
      </c>
    </row>
    <row r="917518" spans="2:2">
      <c r="B917518">
        <v>300</v>
      </c>
    </row>
    <row r="917519" spans="2:2">
      <c r="B917519">
        <v>104</v>
      </c>
    </row>
    <row r="917520" spans="2:2">
      <c r="B917520">
        <v>162</v>
      </c>
    </row>
    <row r="917521" spans="2:2">
      <c r="B917521">
        <v>200</v>
      </c>
    </row>
    <row r="917522" spans="2:2">
      <c r="B917522">
        <v>200</v>
      </c>
    </row>
    <row r="917523" spans="2:2">
      <c r="B917523">
        <v>200</v>
      </c>
    </row>
    <row r="917524" spans="2:2">
      <c r="B917524">
        <v>200</v>
      </c>
    </row>
    <row r="917525" spans="2:2">
      <c r="B917525">
        <v>200</v>
      </c>
    </row>
    <row r="917526" spans="2:2">
      <c r="B917526">
        <v>200</v>
      </c>
    </row>
    <row r="917527" spans="2:2">
      <c r="B917527">
        <v>200</v>
      </c>
    </row>
    <row r="917528" spans="2:2">
      <c r="B917528">
        <v>200</v>
      </c>
    </row>
    <row r="917529" spans="2:2">
      <c r="B917529">
        <v>800</v>
      </c>
    </row>
    <row r="917530" spans="2:2">
      <c r="B917530">
        <v>300</v>
      </c>
    </row>
    <row r="917531" spans="2:2">
      <c r="B917531">
        <v>778</v>
      </c>
    </row>
    <row r="917532" spans="2:2">
      <c r="B917532">
        <v>614</v>
      </c>
    </row>
    <row r="917533" spans="2:2">
      <c r="B917533">
        <v>444</v>
      </c>
    </row>
    <row r="917534" spans="2:2">
      <c r="B917534">
        <v>800</v>
      </c>
    </row>
    <row r="917535" spans="2:2">
      <c r="B917535">
        <v>200</v>
      </c>
    </row>
    <row r="917536" spans="2:2">
      <c r="B917536">
        <v>780</v>
      </c>
    </row>
    <row r="917537" spans="2:146">
      <c r="B917537">
        <v>174</v>
      </c>
    </row>
    <row r="917538" spans="2:146">
      <c r="B917538">
        <v>194</v>
      </c>
    </row>
    <row r="917539" spans="2:146">
      <c r="B917539">
        <v>782</v>
      </c>
    </row>
    <row r="917540" spans="2:146">
      <c r="B917540">
        <v>236</v>
      </c>
    </row>
    <row r="917541" spans="2:146">
      <c r="B917541">
        <v>144</v>
      </c>
    </row>
    <row r="917542" spans="2:146">
      <c r="B917542">
        <v>200</v>
      </c>
    </row>
    <row r="917543" spans="2:146">
      <c r="B917543">
        <v>240</v>
      </c>
    </row>
    <row r="917544" spans="2:146">
      <c r="B917544">
        <v>200</v>
      </c>
    </row>
    <row r="917545" spans="2:146">
      <c r="B917545">
        <v>612</v>
      </c>
    </row>
    <row r="917546" spans="2:146">
      <c r="B917546">
        <v>156</v>
      </c>
    </row>
    <row r="917547" spans="2:146">
      <c r="B917547">
        <v>116</v>
      </c>
    </row>
    <row r="917548" spans="2:146">
      <c r="B917548">
        <v>160</v>
      </c>
    </row>
    <row r="917549" spans="2:146">
      <c r="B917549">
        <v>80</v>
      </c>
      <c r="EL917549">
        <v>0.66</v>
      </c>
      <c r="EM917549">
        <v>0.66</v>
      </c>
      <c r="EN917549">
        <v>0.66</v>
      </c>
      <c r="EO917549">
        <v>0.66</v>
      </c>
      <c r="EP917549">
        <v>0.66</v>
      </c>
    </row>
    <row r="917550" spans="2:146">
      <c r="B917550">
        <v>1144</v>
      </c>
      <c r="BV917550">
        <v>5.0999999999999996</v>
      </c>
      <c r="BW917550">
        <v>5.0999999999999996</v>
      </c>
      <c r="DB917550">
        <v>10.210000000000001</v>
      </c>
      <c r="DC917550">
        <v>10.210000000000001</v>
      </c>
      <c r="DD917550">
        <v>10.210000000000001</v>
      </c>
      <c r="DE917550">
        <v>10.210000000000001</v>
      </c>
      <c r="DF917550">
        <v>10.210000000000001</v>
      </c>
      <c r="DG917550">
        <v>10.210000000000001</v>
      </c>
      <c r="DH917550">
        <v>10.210000000000001</v>
      </c>
    </row>
    <row r="917551" spans="2:146">
      <c r="B917551">
        <v>1240</v>
      </c>
      <c r="EE917551">
        <v>8.15</v>
      </c>
      <c r="EF917551">
        <v>8.15</v>
      </c>
      <c r="EG917551">
        <v>8.15</v>
      </c>
      <c r="EH917551">
        <v>8.15</v>
      </c>
      <c r="EI917551">
        <v>8.15</v>
      </c>
      <c r="EJ917551">
        <v>8.15</v>
      </c>
      <c r="EK917551">
        <v>8.15</v>
      </c>
    </row>
    <row r="917552" spans="2:146">
      <c r="B917552">
        <v>2083.2000000000003</v>
      </c>
      <c r="DI917552">
        <v>20.03</v>
      </c>
      <c r="DJ917552">
        <v>20.03</v>
      </c>
      <c r="DQ917552">
        <v>20.03</v>
      </c>
      <c r="DT917552">
        <v>20.03</v>
      </c>
      <c r="DW917552">
        <v>20.03</v>
      </c>
    </row>
    <row r="917553" spans="2:134">
      <c r="B917553">
        <v>357.20000000000005</v>
      </c>
      <c r="DI917553">
        <v>3.88</v>
      </c>
      <c r="DJ917553">
        <v>3.88</v>
      </c>
      <c r="DV917553">
        <v>3.88</v>
      </c>
      <c r="DW917553">
        <v>3.88</v>
      </c>
    </row>
    <row r="917554" spans="2:134">
      <c r="B917554">
        <v>391.20000000000005</v>
      </c>
      <c r="DI917554">
        <v>3.62</v>
      </c>
      <c r="DJ917554">
        <v>3.62</v>
      </c>
      <c r="DR917554">
        <v>3.62</v>
      </c>
      <c r="DU917554">
        <v>3.62</v>
      </c>
      <c r="DV917554">
        <v>3.62</v>
      </c>
    </row>
    <row r="917555" spans="2:134">
      <c r="B917555">
        <v>762.80000000000007</v>
      </c>
      <c r="DI917555">
        <v>6.15</v>
      </c>
      <c r="DJ917555">
        <v>6.15</v>
      </c>
      <c r="DQ917555">
        <v>6.15</v>
      </c>
      <c r="DR917555">
        <v>6.15</v>
      </c>
      <c r="DS917555">
        <v>6.15</v>
      </c>
      <c r="DT917555">
        <v>6.15</v>
      </c>
    </row>
    <row r="917556" spans="2:134">
      <c r="B917556">
        <v>1280</v>
      </c>
      <c r="DI917556">
        <v>10.66</v>
      </c>
      <c r="DJ917556">
        <v>10.66</v>
      </c>
      <c r="DK917556">
        <v>10.66</v>
      </c>
      <c r="DL917556">
        <v>10.66</v>
      </c>
      <c r="DM917556">
        <v>10.66</v>
      </c>
      <c r="DN917556">
        <v>10.66</v>
      </c>
    </row>
    <row r="917557" spans="2:134">
      <c r="B917557">
        <v>234</v>
      </c>
      <c r="CT917557">
        <v>2.5</v>
      </c>
      <c r="CU917557">
        <v>2.5</v>
      </c>
      <c r="CV917557">
        <v>2.5</v>
      </c>
    </row>
    <row r="917558" spans="2:134">
      <c r="B917558">
        <v>354</v>
      </c>
      <c r="CY917558">
        <v>3.98</v>
      </c>
      <c r="CZ917558">
        <v>3.98</v>
      </c>
      <c r="DA917558">
        <v>3.98</v>
      </c>
    </row>
    <row r="917559" spans="2:134">
      <c r="B917559">
        <v>392</v>
      </c>
      <c r="DI917559">
        <v>3.52</v>
      </c>
      <c r="DJ917559">
        <v>3.52</v>
      </c>
      <c r="DL917559">
        <v>3.52</v>
      </c>
      <c r="DO917559">
        <v>3.52</v>
      </c>
    </row>
    <row r="917560" spans="2:134">
      <c r="B917560">
        <v>304</v>
      </c>
      <c r="CE917560">
        <v>3.8</v>
      </c>
      <c r="CF917560">
        <v>3.8</v>
      </c>
    </row>
    <row r="917561" spans="2:134">
      <c r="B917561">
        <v>144</v>
      </c>
      <c r="DZ917561">
        <v>1.62</v>
      </c>
      <c r="EA917561">
        <v>1.62</v>
      </c>
      <c r="EB917561">
        <v>1.62</v>
      </c>
      <c r="EC917561">
        <v>0.81</v>
      </c>
      <c r="ED917561">
        <v>0.81</v>
      </c>
    </row>
    <row r="917562" spans="2:134">
      <c r="B917562">
        <v>602.40000000000009</v>
      </c>
      <c r="BY917562">
        <v>6.02</v>
      </c>
      <c r="BZ917562">
        <v>6.02</v>
      </c>
      <c r="CB917562">
        <v>3.01</v>
      </c>
      <c r="CC917562">
        <v>3.01</v>
      </c>
      <c r="CD917562">
        <v>3.01</v>
      </c>
      <c r="CI917562">
        <v>6.02</v>
      </c>
      <c r="CJ917562">
        <v>6.02</v>
      </c>
      <c r="CK917562">
        <v>6.02</v>
      </c>
    </row>
    <row r="917563" spans="2:134">
      <c r="B917563">
        <v>307.60000000000002</v>
      </c>
      <c r="BY917563">
        <v>3.34</v>
      </c>
      <c r="BZ917563">
        <v>3.34</v>
      </c>
      <c r="CG917563">
        <v>3.34</v>
      </c>
      <c r="CH917563">
        <v>3.34</v>
      </c>
    </row>
    <row r="917564" spans="2:134">
      <c r="B917564">
        <v>358</v>
      </c>
      <c r="BY917564">
        <v>2.37</v>
      </c>
      <c r="BZ917564">
        <v>2.37</v>
      </c>
      <c r="CA917564">
        <v>2.37</v>
      </c>
      <c r="DX917564">
        <v>4.74</v>
      </c>
      <c r="DY917564">
        <v>4.74</v>
      </c>
    </row>
    <row r="917565" spans="2:134">
      <c r="B917565">
        <v>286</v>
      </c>
      <c r="BT917565">
        <v>1.43</v>
      </c>
      <c r="BV917565">
        <v>1.43</v>
      </c>
      <c r="BW917565">
        <v>1.43</v>
      </c>
      <c r="BX917565">
        <v>1.43</v>
      </c>
      <c r="CO917565">
        <v>2.86</v>
      </c>
      <c r="CP917565">
        <v>2.86</v>
      </c>
      <c r="CQ917565">
        <v>2.86</v>
      </c>
      <c r="CR917565">
        <v>2.86</v>
      </c>
      <c r="CS917565">
        <v>2.86</v>
      </c>
    </row>
    <row r="917566" spans="2:134">
      <c r="B917566">
        <v>410</v>
      </c>
      <c r="BY917566">
        <v>2.88</v>
      </c>
      <c r="BZ917566">
        <v>2.88</v>
      </c>
      <c r="CA917566">
        <v>2.88</v>
      </c>
      <c r="CW917566">
        <v>5.76</v>
      </c>
      <c r="CX917566">
        <v>5.76</v>
      </c>
    </row>
    <row r="917567" spans="2:134">
      <c r="B917567">
        <v>346</v>
      </c>
      <c r="BR917567">
        <v>3.6</v>
      </c>
      <c r="BS917567">
        <v>3.6</v>
      </c>
      <c r="BT917567">
        <v>1.8</v>
      </c>
      <c r="CL917567">
        <v>3.6</v>
      </c>
      <c r="CM917567">
        <v>3.6</v>
      </c>
      <c r="CN917567">
        <v>3.6</v>
      </c>
    </row>
    <row r="917568" spans="2:134">
      <c r="B917568">
        <v>302</v>
      </c>
      <c r="BR917568">
        <v>3.28</v>
      </c>
      <c r="BS917568">
        <v>3.28</v>
      </c>
      <c r="BT917568">
        <v>1.64</v>
      </c>
      <c r="BU917568">
        <v>1.64</v>
      </c>
      <c r="CL917568">
        <v>3.28</v>
      </c>
      <c r="CM917568">
        <v>3.28</v>
      </c>
      <c r="CN917568">
        <v>3.28</v>
      </c>
    </row>
    <row r="917569" spans="2:146">
      <c r="B917569">
        <v>204</v>
      </c>
      <c r="BR917569">
        <v>2.12</v>
      </c>
      <c r="BS917569">
        <v>2.12</v>
      </c>
      <c r="BT917569">
        <v>1.06</v>
      </c>
      <c r="CL917569">
        <v>2.12</v>
      </c>
      <c r="CM917569">
        <v>2.12</v>
      </c>
      <c r="CN917569">
        <v>2.12</v>
      </c>
    </row>
    <row r="917571" spans="2:146">
      <c r="B917571">
        <v>26358.800000000003</v>
      </c>
      <c r="BQ917571">
        <v>0</v>
      </c>
      <c r="BR917571">
        <v>9</v>
      </c>
      <c r="BS917571">
        <v>9</v>
      </c>
      <c r="BT917571">
        <v>5.93</v>
      </c>
      <c r="BU917571">
        <v>1.64</v>
      </c>
      <c r="BV917571">
        <v>6.5299999999999994</v>
      </c>
      <c r="BW917571">
        <v>6.5299999999999994</v>
      </c>
      <c r="BX917571">
        <v>1.43</v>
      </c>
      <c r="BY917571">
        <v>14.61</v>
      </c>
      <c r="BZ917571">
        <v>14.61</v>
      </c>
      <c r="CA917571">
        <v>5.25</v>
      </c>
      <c r="CB917571">
        <v>3.01</v>
      </c>
      <c r="CC917571">
        <v>3.01</v>
      </c>
      <c r="CD917571">
        <v>3.01</v>
      </c>
      <c r="CE917571">
        <v>3.8</v>
      </c>
      <c r="CF917571">
        <v>3.8</v>
      </c>
      <c r="CG917571">
        <v>3.34</v>
      </c>
      <c r="CH917571">
        <v>3.34</v>
      </c>
      <c r="CI917571">
        <v>6.02</v>
      </c>
      <c r="CJ917571">
        <v>6.02</v>
      </c>
      <c r="CK917571">
        <v>6.02</v>
      </c>
      <c r="CL917571">
        <v>9</v>
      </c>
      <c r="CM917571">
        <v>9</v>
      </c>
      <c r="CN917571">
        <v>9</v>
      </c>
      <c r="CO917571">
        <v>2.86</v>
      </c>
      <c r="CP917571">
        <v>2.86</v>
      </c>
      <c r="CQ917571">
        <v>2.86</v>
      </c>
      <c r="CR917571">
        <v>2.86</v>
      </c>
      <c r="CS917571">
        <v>2.86</v>
      </c>
      <c r="CT917571">
        <v>2.5</v>
      </c>
      <c r="CU917571">
        <v>2.5</v>
      </c>
      <c r="CV917571">
        <v>2.5</v>
      </c>
      <c r="CW917571">
        <v>5.76</v>
      </c>
      <c r="CX917571">
        <v>5.76</v>
      </c>
      <c r="CY917571">
        <v>3.98</v>
      </c>
      <c r="CZ917571">
        <v>3.98</v>
      </c>
      <c r="DA917571">
        <v>3.98</v>
      </c>
      <c r="DB917571">
        <v>10.210000000000001</v>
      </c>
      <c r="DC917571">
        <v>10.210000000000001</v>
      </c>
      <c r="DD917571">
        <v>10.210000000000001</v>
      </c>
      <c r="DE917571">
        <v>10.210000000000001</v>
      </c>
      <c r="DF917571">
        <v>10.210000000000001</v>
      </c>
      <c r="DG917571">
        <v>10.210000000000001</v>
      </c>
      <c r="DH917571">
        <v>10.210000000000001</v>
      </c>
      <c r="DI917571">
        <v>47.860000000000007</v>
      </c>
      <c r="DJ917571">
        <v>47.860000000000007</v>
      </c>
      <c r="DK917571">
        <v>10.66</v>
      </c>
      <c r="DL917571">
        <v>14.18</v>
      </c>
      <c r="DM917571">
        <v>10.66</v>
      </c>
      <c r="DN917571">
        <v>10.66</v>
      </c>
      <c r="DO917571">
        <v>3.52</v>
      </c>
      <c r="DP917571">
        <v>0</v>
      </c>
      <c r="DQ917571">
        <v>26.18</v>
      </c>
      <c r="DR917571">
        <v>9.77</v>
      </c>
      <c r="DS917571">
        <v>6.15</v>
      </c>
      <c r="DT917571">
        <v>26.18</v>
      </c>
      <c r="DU917571">
        <v>3.62</v>
      </c>
      <c r="DV917571">
        <v>7.5</v>
      </c>
      <c r="DW917571">
        <v>23.91</v>
      </c>
      <c r="DX917571">
        <v>4.74</v>
      </c>
      <c r="DY917571">
        <v>4.74</v>
      </c>
      <c r="DZ917571">
        <v>1.62</v>
      </c>
      <c r="EA917571">
        <v>1.62</v>
      </c>
      <c r="EB917571">
        <v>1.62</v>
      </c>
      <c r="EC917571">
        <v>0.81</v>
      </c>
      <c r="ED917571">
        <v>0.81</v>
      </c>
      <c r="EE917571">
        <v>8.15</v>
      </c>
      <c r="EF917571">
        <v>8.15</v>
      </c>
      <c r="EG917571">
        <v>8.15</v>
      </c>
      <c r="EH917571">
        <v>8.15</v>
      </c>
      <c r="EI917571">
        <v>8.15</v>
      </c>
      <c r="EJ917571">
        <v>8.15</v>
      </c>
      <c r="EK917571">
        <v>8.15</v>
      </c>
      <c r="EL917571">
        <v>0.66</v>
      </c>
      <c r="EM917571">
        <v>0.66</v>
      </c>
      <c r="EN917571">
        <v>0.66</v>
      </c>
      <c r="EO917571">
        <v>0.66</v>
      </c>
      <c r="EP917571">
        <v>0.66</v>
      </c>
    </row>
    <row r="917572" spans="2:146">
      <c r="B917572" t="s">
        <v>265</v>
      </c>
      <c r="BQ917572" t="s">
        <v>345</v>
      </c>
      <c r="BR917572" t="s">
        <v>131</v>
      </c>
      <c r="BS917572" t="s">
        <v>131</v>
      </c>
      <c r="BT917572" t="s">
        <v>357</v>
      </c>
      <c r="BU917572" t="s">
        <v>131</v>
      </c>
      <c r="BV917572" t="s">
        <v>360</v>
      </c>
      <c r="BW917572" t="s">
        <v>360</v>
      </c>
      <c r="BX917572" t="s">
        <v>360</v>
      </c>
      <c r="BY917572" t="s">
        <v>364</v>
      </c>
      <c r="BZ917572" t="s">
        <v>364</v>
      </c>
      <c r="CA917572" t="s">
        <v>364</v>
      </c>
      <c r="CB917572" t="s">
        <v>368</v>
      </c>
      <c r="CC917572" t="s">
        <v>368</v>
      </c>
      <c r="CD917572" t="s">
        <v>368</v>
      </c>
      <c r="CE917572" t="s">
        <v>352</v>
      </c>
      <c r="CF917572" t="s">
        <v>352</v>
      </c>
      <c r="CG917572" t="s">
        <v>372</v>
      </c>
      <c r="CH917572" t="s">
        <v>372</v>
      </c>
      <c r="CI917572" t="s">
        <v>375</v>
      </c>
      <c r="CJ917572" t="s">
        <v>375</v>
      </c>
      <c r="CK917572" t="s">
        <v>375</v>
      </c>
      <c r="CL917572" t="s">
        <v>379</v>
      </c>
      <c r="CM917572" t="s">
        <v>379</v>
      </c>
      <c r="CN917572" t="s">
        <v>379</v>
      </c>
      <c r="CO917572" t="s">
        <v>383</v>
      </c>
      <c r="CP917572" t="s">
        <v>383</v>
      </c>
      <c r="CQ917572" t="s">
        <v>383</v>
      </c>
      <c r="CR917572" t="s">
        <v>383</v>
      </c>
      <c r="CS917572" t="s">
        <v>383</v>
      </c>
      <c r="CT917572" t="s">
        <v>389</v>
      </c>
      <c r="CU917572" t="s">
        <v>389</v>
      </c>
      <c r="CV917572" t="s">
        <v>389</v>
      </c>
      <c r="CW917572" t="s">
        <v>393</v>
      </c>
      <c r="CX917572" t="s">
        <v>393</v>
      </c>
      <c r="CY917572" t="s">
        <v>396</v>
      </c>
      <c r="CZ917572" t="s">
        <v>396</v>
      </c>
      <c r="DA917572" t="s">
        <v>396</v>
      </c>
      <c r="DB917572" t="s">
        <v>400</v>
      </c>
      <c r="DC917572" t="s">
        <v>400</v>
      </c>
      <c r="DD917572" t="s">
        <v>400</v>
      </c>
      <c r="DE917572" t="s">
        <v>400</v>
      </c>
      <c r="DF917572" t="s">
        <v>400</v>
      </c>
      <c r="DG917572" t="s">
        <v>400</v>
      </c>
      <c r="DH917572" t="s">
        <v>400</v>
      </c>
      <c r="DI917572" t="s">
        <v>121</v>
      </c>
      <c r="DJ917572" t="s">
        <v>121</v>
      </c>
      <c r="DK917572" t="s">
        <v>121</v>
      </c>
      <c r="DL917572" t="s">
        <v>121</v>
      </c>
      <c r="DM917572" t="s">
        <v>121</v>
      </c>
      <c r="DN917572" t="s">
        <v>121</v>
      </c>
      <c r="DO917572" t="s">
        <v>121</v>
      </c>
      <c r="DP917572" t="s">
        <v>121</v>
      </c>
      <c r="DQ917572" t="s">
        <v>121</v>
      </c>
      <c r="DR917572" t="s">
        <v>121</v>
      </c>
      <c r="DS917572" t="s">
        <v>121</v>
      </c>
      <c r="DT917572" t="s">
        <v>121</v>
      </c>
      <c r="DU917572" t="s">
        <v>121</v>
      </c>
      <c r="DV917572" t="s">
        <v>121</v>
      </c>
      <c r="DW917572" t="s">
        <v>121</v>
      </c>
      <c r="DX917572" t="s">
        <v>423</v>
      </c>
      <c r="DY917572" t="s">
        <v>423</v>
      </c>
      <c r="DZ917572" t="s">
        <v>426</v>
      </c>
      <c r="EA917572" t="s">
        <v>426</v>
      </c>
      <c r="EB917572" t="s">
        <v>426</v>
      </c>
      <c r="EC917572" t="s">
        <v>426</v>
      </c>
      <c r="ED917572" t="s">
        <v>426</v>
      </c>
      <c r="EE917572" t="s">
        <v>432</v>
      </c>
      <c r="EF917572" t="s">
        <v>432</v>
      </c>
      <c r="EG917572" t="s">
        <v>432</v>
      </c>
      <c r="EH917572" t="s">
        <v>432</v>
      </c>
      <c r="EI917572" t="s">
        <v>432</v>
      </c>
      <c r="EJ917572" t="s">
        <v>432</v>
      </c>
      <c r="EK917572" t="s">
        <v>432</v>
      </c>
      <c r="EL917572" t="s">
        <v>440</v>
      </c>
      <c r="EM917572" t="s">
        <v>440</v>
      </c>
      <c r="EN917572" t="s">
        <v>440</v>
      </c>
      <c r="EO917572" t="s">
        <v>440</v>
      </c>
      <c r="EP917572" t="s">
        <v>440</v>
      </c>
    </row>
    <row r="917573" spans="2:146">
      <c r="BQ917573" t="s">
        <v>351</v>
      </c>
      <c r="BR917573" t="s">
        <v>355</v>
      </c>
      <c r="BS917573" t="s">
        <v>356</v>
      </c>
      <c r="BT917573" t="s">
        <v>358</v>
      </c>
      <c r="BU917573" t="s">
        <v>359</v>
      </c>
      <c r="BV917573" t="s">
        <v>361</v>
      </c>
      <c r="BW917573" t="s">
        <v>362</v>
      </c>
      <c r="BX917573" t="s">
        <v>363</v>
      </c>
      <c r="BY917573" t="s">
        <v>365</v>
      </c>
      <c r="BZ917573" t="s">
        <v>366</v>
      </c>
      <c r="CA917573" t="s">
        <v>367</v>
      </c>
      <c r="CB917573" t="s">
        <v>369</v>
      </c>
      <c r="CC917573" t="s">
        <v>370</v>
      </c>
      <c r="CD917573" t="s">
        <v>371</v>
      </c>
      <c r="CE917573" t="s">
        <v>353</v>
      </c>
      <c r="CF917573" t="s">
        <v>354</v>
      </c>
      <c r="CG917573" t="s">
        <v>373</v>
      </c>
      <c r="CH917573" t="s">
        <v>374</v>
      </c>
      <c r="CI917573" t="s">
        <v>376</v>
      </c>
      <c r="CJ917573" t="s">
        <v>377</v>
      </c>
      <c r="CK917573" t="s">
        <v>378</v>
      </c>
      <c r="CL917573" t="s">
        <v>380</v>
      </c>
      <c r="CM917573" t="s">
        <v>381</v>
      </c>
      <c r="CN917573" t="s">
        <v>382</v>
      </c>
      <c r="CO917573" t="s">
        <v>384</v>
      </c>
      <c r="CP917573" t="s">
        <v>385</v>
      </c>
      <c r="CQ917573" t="s">
        <v>386</v>
      </c>
      <c r="CR917573" t="s">
        <v>387</v>
      </c>
      <c r="CS917573" t="s">
        <v>388</v>
      </c>
      <c r="CT917573" t="s">
        <v>390</v>
      </c>
      <c r="CU917573" t="s">
        <v>391</v>
      </c>
      <c r="CV917573" t="s">
        <v>392</v>
      </c>
      <c r="CW917573" t="s">
        <v>394</v>
      </c>
      <c r="CX917573" t="s">
        <v>395</v>
      </c>
      <c r="CY917573" t="s">
        <v>397</v>
      </c>
      <c r="CZ917573" t="s">
        <v>398</v>
      </c>
      <c r="DA917573" t="s">
        <v>399</v>
      </c>
      <c r="DB917573" t="s">
        <v>401</v>
      </c>
      <c r="DC917573" t="s">
        <v>402</v>
      </c>
      <c r="DD917573" t="s">
        <v>403</v>
      </c>
      <c r="DE917573" t="s">
        <v>404</v>
      </c>
      <c r="DF917573" t="s">
        <v>405</v>
      </c>
      <c r="DG917573" t="s">
        <v>406</v>
      </c>
      <c r="DH917573" t="s">
        <v>407</v>
      </c>
      <c r="DI917573" t="s">
        <v>408</v>
      </c>
      <c r="DJ917573" t="s">
        <v>409</v>
      </c>
      <c r="DK917573" t="s">
        <v>410</v>
      </c>
      <c r="DL917573" t="s">
        <v>411</v>
      </c>
      <c r="DM917573" t="s">
        <v>412</v>
      </c>
      <c r="DN917573" t="s">
        <v>413</v>
      </c>
      <c r="DO917573" t="s">
        <v>414</v>
      </c>
      <c r="DP917573" t="s">
        <v>415</v>
      </c>
      <c r="DQ917573" t="s">
        <v>416</v>
      </c>
      <c r="DR917573" t="s">
        <v>417</v>
      </c>
      <c r="DS917573" t="s">
        <v>418</v>
      </c>
      <c r="DT917573" t="s">
        <v>419</v>
      </c>
      <c r="DU917573" t="s">
        <v>420</v>
      </c>
      <c r="DV917573" t="s">
        <v>421</v>
      </c>
      <c r="DW917573" t="s">
        <v>422</v>
      </c>
      <c r="DX917573" t="s">
        <v>424</v>
      </c>
      <c r="DY917573" t="s">
        <v>425</v>
      </c>
      <c r="DZ917573" t="s">
        <v>427</v>
      </c>
      <c r="EA917573" t="s">
        <v>428</v>
      </c>
      <c r="EB917573" t="s">
        <v>429</v>
      </c>
      <c r="EC917573" t="s">
        <v>430</v>
      </c>
      <c r="ED917573" t="s">
        <v>431</v>
      </c>
      <c r="EE917573" t="s">
        <v>433</v>
      </c>
      <c r="EF917573" t="s">
        <v>434</v>
      </c>
      <c r="EG917573" t="s">
        <v>435</v>
      </c>
      <c r="EH917573" t="s">
        <v>436</v>
      </c>
      <c r="EI917573" t="s">
        <v>437</v>
      </c>
      <c r="EJ917573" t="s">
        <v>438</v>
      </c>
      <c r="EK917573" t="s">
        <v>439</v>
      </c>
      <c r="EL917573" t="s">
        <v>441</v>
      </c>
      <c r="EM917573" t="s">
        <v>442</v>
      </c>
      <c r="EN917573" t="s">
        <v>443</v>
      </c>
      <c r="EO917573" t="s">
        <v>444</v>
      </c>
      <c r="EP917573" t="s">
        <v>445</v>
      </c>
    </row>
    <row r="917574" spans="2:146">
      <c r="BQ917574">
        <v>67</v>
      </c>
      <c r="BR917574">
        <v>68</v>
      </c>
      <c r="BS917574">
        <v>69</v>
      </c>
      <c r="BT917574">
        <v>70</v>
      </c>
      <c r="BU917574">
        <v>71</v>
      </c>
      <c r="BV917574">
        <v>72</v>
      </c>
      <c r="BW917574">
        <v>73</v>
      </c>
      <c r="BX917574">
        <v>74</v>
      </c>
      <c r="BY917574">
        <v>75</v>
      </c>
      <c r="BZ917574">
        <v>76</v>
      </c>
      <c r="CA917574">
        <v>77</v>
      </c>
      <c r="CB917574">
        <v>78</v>
      </c>
      <c r="CC917574">
        <v>79</v>
      </c>
      <c r="CD917574">
        <v>80</v>
      </c>
      <c r="CE917574">
        <v>81</v>
      </c>
      <c r="CF917574">
        <v>82</v>
      </c>
      <c r="CG917574">
        <v>83</v>
      </c>
      <c r="CH917574">
        <v>84</v>
      </c>
      <c r="CI917574">
        <v>85</v>
      </c>
      <c r="CJ917574">
        <v>86</v>
      </c>
      <c r="CK917574">
        <v>87</v>
      </c>
      <c r="CL917574">
        <v>88</v>
      </c>
      <c r="CM917574">
        <v>89</v>
      </c>
      <c r="CN917574">
        <v>90</v>
      </c>
      <c r="CO917574">
        <v>91</v>
      </c>
      <c r="CP917574">
        <v>92</v>
      </c>
      <c r="CQ917574">
        <v>93</v>
      </c>
      <c r="CR917574">
        <v>94</v>
      </c>
      <c r="CS917574">
        <v>95</v>
      </c>
      <c r="CT917574">
        <v>96</v>
      </c>
      <c r="CU917574">
        <v>97</v>
      </c>
      <c r="CV917574">
        <v>98</v>
      </c>
      <c r="CW917574">
        <v>99</v>
      </c>
      <c r="CX917574">
        <v>100</v>
      </c>
      <c r="CY917574">
        <v>101</v>
      </c>
      <c r="CZ917574">
        <v>102</v>
      </c>
      <c r="DA917574">
        <v>103</v>
      </c>
      <c r="DB917574">
        <v>104</v>
      </c>
      <c r="DC917574">
        <v>105</v>
      </c>
      <c r="DD917574">
        <v>106</v>
      </c>
      <c r="DE917574">
        <v>107</v>
      </c>
      <c r="DF917574">
        <v>108</v>
      </c>
      <c r="DG917574">
        <v>109</v>
      </c>
      <c r="DH917574">
        <v>110</v>
      </c>
      <c r="DI917574">
        <v>111</v>
      </c>
      <c r="DJ917574">
        <v>112</v>
      </c>
      <c r="DK917574">
        <v>113</v>
      </c>
      <c r="DL917574">
        <v>114</v>
      </c>
      <c r="DM917574">
        <v>115</v>
      </c>
      <c r="DN917574">
        <v>116</v>
      </c>
      <c r="DO917574">
        <v>117</v>
      </c>
      <c r="DP917574">
        <v>118</v>
      </c>
      <c r="DQ917574">
        <v>119</v>
      </c>
      <c r="DR917574">
        <v>120</v>
      </c>
      <c r="DS917574">
        <v>121</v>
      </c>
      <c r="DT917574">
        <v>122</v>
      </c>
      <c r="DU917574">
        <v>123</v>
      </c>
      <c r="DV917574">
        <v>124</v>
      </c>
      <c r="DW917574">
        <v>125</v>
      </c>
      <c r="DX917574">
        <v>126</v>
      </c>
      <c r="DY917574">
        <v>127</v>
      </c>
      <c r="DZ917574">
        <v>128</v>
      </c>
      <c r="EA917574">
        <v>129</v>
      </c>
      <c r="EB917574">
        <v>130</v>
      </c>
      <c r="EC917574">
        <v>131</v>
      </c>
      <c r="ED917574">
        <v>132</v>
      </c>
      <c r="EE917574">
        <v>133</v>
      </c>
      <c r="EF917574">
        <v>134</v>
      </c>
      <c r="EG917574">
        <v>135</v>
      </c>
      <c r="EH917574">
        <v>136</v>
      </c>
      <c r="EI917574">
        <v>137</v>
      </c>
      <c r="EJ917574">
        <v>138</v>
      </c>
      <c r="EK917574">
        <v>139</v>
      </c>
      <c r="EL917574">
        <v>140</v>
      </c>
      <c r="EM917574">
        <v>141</v>
      </c>
      <c r="EN917574">
        <v>142</v>
      </c>
      <c r="EO917574">
        <v>143</v>
      </c>
      <c r="EP917574">
        <v>144</v>
      </c>
    </row>
    <row r="917575" spans="2:146">
      <c r="CE917575" t="s">
        <v>451</v>
      </c>
    </row>
    <row r="933890" spans="2:2">
      <c r="B933890">
        <v>200</v>
      </c>
    </row>
    <row r="933891" spans="2:2">
      <c r="B933891">
        <v>200</v>
      </c>
    </row>
    <row r="933892" spans="2:2">
      <c r="B933892">
        <v>800</v>
      </c>
    </row>
    <row r="933893" spans="2:2">
      <c r="B933893">
        <v>200</v>
      </c>
    </row>
    <row r="933894" spans="2:2">
      <c r="B933894">
        <v>1044</v>
      </c>
    </row>
    <row r="933895" spans="2:2">
      <c r="B933895">
        <v>998.40000000000009</v>
      </c>
    </row>
    <row r="933896" spans="2:2">
      <c r="B933896">
        <v>272</v>
      </c>
    </row>
    <row r="933897" spans="2:2">
      <c r="B933897">
        <v>200</v>
      </c>
    </row>
    <row r="933898" spans="2:2">
      <c r="B933898">
        <v>214</v>
      </c>
    </row>
    <row r="933899" spans="2:2">
      <c r="B933899">
        <v>200</v>
      </c>
    </row>
    <row r="933900" spans="2:2">
      <c r="B933900">
        <v>152</v>
      </c>
    </row>
    <row r="933901" spans="2:2">
      <c r="B933901">
        <v>200</v>
      </c>
    </row>
    <row r="933902" spans="2:2">
      <c r="B933902">
        <v>300</v>
      </c>
    </row>
    <row r="933903" spans="2:2">
      <c r="B933903">
        <v>104</v>
      </c>
    </row>
    <row r="933904" spans="2:2">
      <c r="B933904">
        <v>162</v>
      </c>
    </row>
    <row r="933905" spans="2:2">
      <c r="B933905">
        <v>200</v>
      </c>
    </row>
    <row r="933906" spans="2:2">
      <c r="B933906">
        <v>200</v>
      </c>
    </row>
    <row r="933907" spans="2:2">
      <c r="B933907">
        <v>200</v>
      </c>
    </row>
    <row r="933908" spans="2:2">
      <c r="B933908">
        <v>200</v>
      </c>
    </row>
    <row r="933909" spans="2:2">
      <c r="B933909">
        <v>200</v>
      </c>
    </row>
    <row r="933910" spans="2:2">
      <c r="B933910">
        <v>200</v>
      </c>
    </row>
    <row r="933911" spans="2:2">
      <c r="B933911">
        <v>200</v>
      </c>
    </row>
    <row r="933912" spans="2:2">
      <c r="B933912">
        <v>200</v>
      </c>
    </row>
    <row r="933913" spans="2:2">
      <c r="B933913">
        <v>800</v>
      </c>
    </row>
    <row r="933914" spans="2:2">
      <c r="B933914">
        <v>300</v>
      </c>
    </row>
    <row r="933915" spans="2:2">
      <c r="B933915">
        <v>778</v>
      </c>
    </row>
    <row r="933916" spans="2:2">
      <c r="B933916">
        <v>614</v>
      </c>
    </row>
    <row r="933917" spans="2:2">
      <c r="B933917">
        <v>444</v>
      </c>
    </row>
    <row r="933918" spans="2:2">
      <c r="B933918">
        <v>800</v>
      </c>
    </row>
    <row r="933919" spans="2:2">
      <c r="B933919">
        <v>200</v>
      </c>
    </row>
    <row r="933920" spans="2:2">
      <c r="B933920">
        <v>780</v>
      </c>
    </row>
    <row r="933921" spans="2:146">
      <c r="B933921">
        <v>174</v>
      </c>
    </row>
    <row r="933922" spans="2:146">
      <c r="B933922">
        <v>194</v>
      </c>
    </row>
    <row r="933923" spans="2:146">
      <c r="B933923">
        <v>782</v>
      </c>
    </row>
    <row r="933924" spans="2:146">
      <c r="B933924">
        <v>236</v>
      </c>
    </row>
    <row r="933925" spans="2:146">
      <c r="B933925">
        <v>144</v>
      </c>
    </row>
    <row r="933926" spans="2:146">
      <c r="B933926">
        <v>200</v>
      </c>
    </row>
    <row r="933927" spans="2:146">
      <c r="B933927">
        <v>240</v>
      </c>
    </row>
    <row r="933928" spans="2:146">
      <c r="B933928">
        <v>200</v>
      </c>
    </row>
    <row r="933929" spans="2:146">
      <c r="B933929">
        <v>612</v>
      </c>
    </row>
    <row r="933930" spans="2:146">
      <c r="B933930">
        <v>156</v>
      </c>
    </row>
    <row r="933931" spans="2:146">
      <c r="B933931">
        <v>116</v>
      </c>
    </row>
    <row r="933932" spans="2:146">
      <c r="B933932">
        <v>160</v>
      </c>
    </row>
    <row r="933933" spans="2:146">
      <c r="B933933">
        <v>80</v>
      </c>
      <c r="EL933933">
        <v>0.66</v>
      </c>
      <c r="EM933933">
        <v>0.66</v>
      </c>
      <c r="EN933933">
        <v>0.66</v>
      </c>
      <c r="EO933933">
        <v>0.66</v>
      </c>
      <c r="EP933933">
        <v>0.66</v>
      </c>
    </row>
    <row r="933934" spans="2:146">
      <c r="B933934">
        <v>1144</v>
      </c>
      <c r="BV933934">
        <v>5.0999999999999996</v>
      </c>
      <c r="BW933934">
        <v>5.0999999999999996</v>
      </c>
      <c r="DB933934">
        <v>10.210000000000001</v>
      </c>
      <c r="DC933934">
        <v>10.210000000000001</v>
      </c>
      <c r="DD933934">
        <v>10.210000000000001</v>
      </c>
      <c r="DE933934">
        <v>10.210000000000001</v>
      </c>
      <c r="DF933934">
        <v>10.210000000000001</v>
      </c>
      <c r="DG933934">
        <v>10.210000000000001</v>
      </c>
      <c r="DH933934">
        <v>10.210000000000001</v>
      </c>
    </row>
    <row r="933935" spans="2:146">
      <c r="B933935">
        <v>1240</v>
      </c>
      <c r="EE933935">
        <v>8.15</v>
      </c>
      <c r="EF933935">
        <v>8.15</v>
      </c>
      <c r="EG933935">
        <v>8.15</v>
      </c>
      <c r="EH933935">
        <v>8.15</v>
      </c>
      <c r="EI933935">
        <v>8.15</v>
      </c>
      <c r="EJ933935">
        <v>8.15</v>
      </c>
      <c r="EK933935">
        <v>8.15</v>
      </c>
    </row>
    <row r="933936" spans="2:146">
      <c r="B933936">
        <v>2083.2000000000003</v>
      </c>
      <c r="DI933936">
        <v>20.03</v>
      </c>
      <c r="DJ933936">
        <v>20.03</v>
      </c>
      <c r="DQ933936">
        <v>20.03</v>
      </c>
      <c r="DT933936">
        <v>20.03</v>
      </c>
      <c r="DW933936">
        <v>20.03</v>
      </c>
    </row>
    <row r="933937" spans="2:134">
      <c r="B933937">
        <v>357.20000000000005</v>
      </c>
      <c r="DI933937">
        <v>3.88</v>
      </c>
      <c r="DJ933937">
        <v>3.88</v>
      </c>
      <c r="DV933937">
        <v>3.88</v>
      </c>
      <c r="DW933937">
        <v>3.88</v>
      </c>
    </row>
    <row r="933938" spans="2:134">
      <c r="B933938">
        <v>391.20000000000005</v>
      </c>
      <c r="DI933938">
        <v>3.62</v>
      </c>
      <c r="DJ933938">
        <v>3.62</v>
      </c>
      <c r="DR933938">
        <v>3.62</v>
      </c>
      <c r="DU933938">
        <v>3.62</v>
      </c>
      <c r="DV933938">
        <v>3.62</v>
      </c>
    </row>
    <row r="933939" spans="2:134">
      <c r="B933939">
        <v>762.80000000000007</v>
      </c>
      <c r="DI933939">
        <v>6.15</v>
      </c>
      <c r="DJ933939">
        <v>6.15</v>
      </c>
      <c r="DQ933939">
        <v>6.15</v>
      </c>
      <c r="DR933939">
        <v>6.15</v>
      </c>
      <c r="DS933939">
        <v>6.15</v>
      </c>
      <c r="DT933939">
        <v>6.15</v>
      </c>
    </row>
    <row r="933940" spans="2:134">
      <c r="B933940">
        <v>1280</v>
      </c>
      <c r="DI933940">
        <v>10.66</v>
      </c>
      <c r="DJ933940">
        <v>10.66</v>
      </c>
      <c r="DK933940">
        <v>10.66</v>
      </c>
      <c r="DL933940">
        <v>10.66</v>
      </c>
      <c r="DM933940">
        <v>10.66</v>
      </c>
      <c r="DN933940">
        <v>10.66</v>
      </c>
    </row>
    <row r="933941" spans="2:134">
      <c r="B933941">
        <v>234</v>
      </c>
      <c r="CT933941">
        <v>2.5</v>
      </c>
      <c r="CU933941">
        <v>2.5</v>
      </c>
      <c r="CV933941">
        <v>2.5</v>
      </c>
    </row>
    <row r="933942" spans="2:134">
      <c r="B933942">
        <v>354</v>
      </c>
      <c r="CY933942">
        <v>3.98</v>
      </c>
      <c r="CZ933942">
        <v>3.98</v>
      </c>
      <c r="DA933942">
        <v>3.98</v>
      </c>
    </row>
    <row r="933943" spans="2:134">
      <c r="B933943">
        <v>392</v>
      </c>
      <c r="DI933943">
        <v>3.52</v>
      </c>
      <c r="DJ933943">
        <v>3.52</v>
      </c>
      <c r="DL933943">
        <v>3.52</v>
      </c>
      <c r="DO933943">
        <v>3.52</v>
      </c>
    </row>
    <row r="933944" spans="2:134">
      <c r="B933944">
        <v>304</v>
      </c>
      <c r="CE933944">
        <v>3.8</v>
      </c>
      <c r="CF933944">
        <v>3.8</v>
      </c>
    </row>
    <row r="933945" spans="2:134">
      <c r="B933945">
        <v>144</v>
      </c>
      <c r="DZ933945">
        <v>1.62</v>
      </c>
      <c r="EA933945">
        <v>1.62</v>
      </c>
      <c r="EB933945">
        <v>1.62</v>
      </c>
      <c r="EC933945">
        <v>0.81</v>
      </c>
      <c r="ED933945">
        <v>0.81</v>
      </c>
    </row>
    <row r="933946" spans="2:134">
      <c r="B933946">
        <v>602.40000000000009</v>
      </c>
      <c r="BY933946">
        <v>6.02</v>
      </c>
      <c r="BZ933946">
        <v>6.02</v>
      </c>
      <c r="CB933946">
        <v>3.01</v>
      </c>
      <c r="CC933946">
        <v>3.01</v>
      </c>
      <c r="CD933946">
        <v>3.01</v>
      </c>
      <c r="CI933946">
        <v>6.02</v>
      </c>
      <c r="CJ933946">
        <v>6.02</v>
      </c>
      <c r="CK933946">
        <v>6.02</v>
      </c>
    </row>
    <row r="933947" spans="2:134">
      <c r="B933947">
        <v>307.60000000000002</v>
      </c>
      <c r="BY933947">
        <v>3.34</v>
      </c>
      <c r="BZ933947">
        <v>3.34</v>
      </c>
      <c r="CG933947">
        <v>3.34</v>
      </c>
      <c r="CH933947">
        <v>3.34</v>
      </c>
    </row>
    <row r="933948" spans="2:134">
      <c r="B933948">
        <v>358</v>
      </c>
      <c r="BY933948">
        <v>2.37</v>
      </c>
      <c r="BZ933948">
        <v>2.37</v>
      </c>
      <c r="CA933948">
        <v>2.37</v>
      </c>
      <c r="DX933948">
        <v>4.74</v>
      </c>
      <c r="DY933948">
        <v>4.74</v>
      </c>
    </row>
    <row r="933949" spans="2:134">
      <c r="B933949">
        <v>286</v>
      </c>
      <c r="BT933949">
        <v>1.43</v>
      </c>
      <c r="BV933949">
        <v>1.43</v>
      </c>
      <c r="BW933949">
        <v>1.43</v>
      </c>
      <c r="BX933949">
        <v>1.43</v>
      </c>
      <c r="CO933949">
        <v>2.86</v>
      </c>
      <c r="CP933949">
        <v>2.86</v>
      </c>
      <c r="CQ933949">
        <v>2.86</v>
      </c>
      <c r="CR933949">
        <v>2.86</v>
      </c>
      <c r="CS933949">
        <v>2.86</v>
      </c>
    </row>
    <row r="933950" spans="2:134">
      <c r="B933950">
        <v>410</v>
      </c>
      <c r="BY933950">
        <v>2.88</v>
      </c>
      <c r="BZ933950">
        <v>2.88</v>
      </c>
      <c r="CA933950">
        <v>2.88</v>
      </c>
      <c r="CW933950">
        <v>5.76</v>
      </c>
      <c r="CX933950">
        <v>5.76</v>
      </c>
    </row>
    <row r="933951" spans="2:134">
      <c r="B933951">
        <v>346</v>
      </c>
      <c r="BR933951">
        <v>3.6</v>
      </c>
      <c r="BS933951">
        <v>3.6</v>
      </c>
      <c r="BT933951">
        <v>1.8</v>
      </c>
      <c r="CL933951">
        <v>3.6</v>
      </c>
      <c r="CM933951">
        <v>3.6</v>
      </c>
      <c r="CN933951">
        <v>3.6</v>
      </c>
    </row>
    <row r="933952" spans="2:134">
      <c r="B933952">
        <v>302</v>
      </c>
      <c r="BR933952">
        <v>3.28</v>
      </c>
      <c r="BS933952">
        <v>3.28</v>
      </c>
      <c r="BT933952">
        <v>1.64</v>
      </c>
      <c r="BU933952">
        <v>1.64</v>
      </c>
      <c r="CL933952">
        <v>3.28</v>
      </c>
      <c r="CM933952">
        <v>3.28</v>
      </c>
      <c r="CN933952">
        <v>3.28</v>
      </c>
    </row>
    <row r="933953" spans="2:146">
      <c r="B933953">
        <v>204</v>
      </c>
      <c r="BR933953">
        <v>2.12</v>
      </c>
      <c r="BS933953">
        <v>2.12</v>
      </c>
      <c r="BT933953">
        <v>1.06</v>
      </c>
      <c r="CL933953">
        <v>2.12</v>
      </c>
      <c r="CM933953">
        <v>2.12</v>
      </c>
      <c r="CN933953">
        <v>2.12</v>
      </c>
    </row>
    <row r="933955" spans="2:146">
      <c r="B933955">
        <v>26358.800000000003</v>
      </c>
      <c r="BQ933955">
        <v>0</v>
      </c>
      <c r="BR933955">
        <v>9</v>
      </c>
      <c r="BS933955">
        <v>9</v>
      </c>
      <c r="BT933955">
        <v>5.93</v>
      </c>
      <c r="BU933955">
        <v>1.64</v>
      </c>
      <c r="BV933955">
        <v>6.5299999999999994</v>
      </c>
      <c r="BW933955">
        <v>6.5299999999999994</v>
      </c>
      <c r="BX933955">
        <v>1.43</v>
      </c>
      <c r="BY933955">
        <v>14.61</v>
      </c>
      <c r="BZ933955">
        <v>14.61</v>
      </c>
      <c r="CA933955">
        <v>5.25</v>
      </c>
      <c r="CB933955">
        <v>3.01</v>
      </c>
      <c r="CC933955">
        <v>3.01</v>
      </c>
      <c r="CD933955">
        <v>3.01</v>
      </c>
      <c r="CE933955">
        <v>3.8</v>
      </c>
      <c r="CF933955">
        <v>3.8</v>
      </c>
      <c r="CG933955">
        <v>3.34</v>
      </c>
      <c r="CH933955">
        <v>3.34</v>
      </c>
      <c r="CI933955">
        <v>6.02</v>
      </c>
      <c r="CJ933955">
        <v>6.02</v>
      </c>
      <c r="CK933955">
        <v>6.02</v>
      </c>
      <c r="CL933955">
        <v>9</v>
      </c>
      <c r="CM933955">
        <v>9</v>
      </c>
      <c r="CN933955">
        <v>9</v>
      </c>
      <c r="CO933955">
        <v>2.86</v>
      </c>
      <c r="CP933955">
        <v>2.86</v>
      </c>
      <c r="CQ933955">
        <v>2.86</v>
      </c>
      <c r="CR933955">
        <v>2.86</v>
      </c>
      <c r="CS933955">
        <v>2.86</v>
      </c>
      <c r="CT933955">
        <v>2.5</v>
      </c>
      <c r="CU933955">
        <v>2.5</v>
      </c>
      <c r="CV933955">
        <v>2.5</v>
      </c>
      <c r="CW933955">
        <v>5.76</v>
      </c>
      <c r="CX933955">
        <v>5.76</v>
      </c>
      <c r="CY933955">
        <v>3.98</v>
      </c>
      <c r="CZ933955">
        <v>3.98</v>
      </c>
      <c r="DA933955">
        <v>3.98</v>
      </c>
      <c r="DB933955">
        <v>10.210000000000001</v>
      </c>
      <c r="DC933955">
        <v>10.210000000000001</v>
      </c>
      <c r="DD933955">
        <v>10.210000000000001</v>
      </c>
      <c r="DE933955">
        <v>10.210000000000001</v>
      </c>
      <c r="DF933955">
        <v>10.210000000000001</v>
      </c>
      <c r="DG933955">
        <v>10.210000000000001</v>
      </c>
      <c r="DH933955">
        <v>10.210000000000001</v>
      </c>
      <c r="DI933955">
        <v>47.860000000000007</v>
      </c>
      <c r="DJ933955">
        <v>47.860000000000007</v>
      </c>
      <c r="DK933955">
        <v>10.66</v>
      </c>
      <c r="DL933955">
        <v>14.18</v>
      </c>
      <c r="DM933955">
        <v>10.66</v>
      </c>
      <c r="DN933955">
        <v>10.66</v>
      </c>
      <c r="DO933955">
        <v>3.52</v>
      </c>
      <c r="DP933955">
        <v>0</v>
      </c>
      <c r="DQ933955">
        <v>26.18</v>
      </c>
      <c r="DR933955">
        <v>9.77</v>
      </c>
      <c r="DS933955">
        <v>6.15</v>
      </c>
      <c r="DT933955">
        <v>26.18</v>
      </c>
      <c r="DU933955">
        <v>3.62</v>
      </c>
      <c r="DV933955">
        <v>7.5</v>
      </c>
      <c r="DW933955">
        <v>23.91</v>
      </c>
      <c r="DX933955">
        <v>4.74</v>
      </c>
      <c r="DY933955">
        <v>4.74</v>
      </c>
      <c r="DZ933955">
        <v>1.62</v>
      </c>
      <c r="EA933955">
        <v>1.62</v>
      </c>
      <c r="EB933955">
        <v>1.62</v>
      </c>
      <c r="EC933955">
        <v>0.81</v>
      </c>
      <c r="ED933955">
        <v>0.81</v>
      </c>
      <c r="EE933955">
        <v>8.15</v>
      </c>
      <c r="EF933955">
        <v>8.15</v>
      </c>
      <c r="EG933955">
        <v>8.15</v>
      </c>
      <c r="EH933955">
        <v>8.15</v>
      </c>
      <c r="EI933955">
        <v>8.15</v>
      </c>
      <c r="EJ933955">
        <v>8.15</v>
      </c>
      <c r="EK933955">
        <v>8.15</v>
      </c>
      <c r="EL933955">
        <v>0.66</v>
      </c>
      <c r="EM933955">
        <v>0.66</v>
      </c>
      <c r="EN933955">
        <v>0.66</v>
      </c>
      <c r="EO933955">
        <v>0.66</v>
      </c>
      <c r="EP933955">
        <v>0.66</v>
      </c>
    </row>
    <row r="933956" spans="2:146">
      <c r="B933956" t="s">
        <v>265</v>
      </c>
      <c r="BQ933956" t="s">
        <v>345</v>
      </c>
      <c r="BR933956" t="s">
        <v>131</v>
      </c>
      <c r="BS933956" t="s">
        <v>131</v>
      </c>
      <c r="BT933956" t="s">
        <v>357</v>
      </c>
      <c r="BU933956" t="s">
        <v>131</v>
      </c>
      <c r="BV933956" t="s">
        <v>360</v>
      </c>
      <c r="BW933956" t="s">
        <v>360</v>
      </c>
      <c r="BX933956" t="s">
        <v>360</v>
      </c>
      <c r="BY933956" t="s">
        <v>364</v>
      </c>
      <c r="BZ933956" t="s">
        <v>364</v>
      </c>
      <c r="CA933956" t="s">
        <v>364</v>
      </c>
      <c r="CB933956" t="s">
        <v>368</v>
      </c>
      <c r="CC933956" t="s">
        <v>368</v>
      </c>
      <c r="CD933956" t="s">
        <v>368</v>
      </c>
      <c r="CE933956" t="s">
        <v>352</v>
      </c>
      <c r="CF933956" t="s">
        <v>352</v>
      </c>
      <c r="CG933956" t="s">
        <v>372</v>
      </c>
      <c r="CH933956" t="s">
        <v>372</v>
      </c>
      <c r="CI933956" t="s">
        <v>375</v>
      </c>
      <c r="CJ933956" t="s">
        <v>375</v>
      </c>
      <c r="CK933956" t="s">
        <v>375</v>
      </c>
      <c r="CL933956" t="s">
        <v>379</v>
      </c>
      <c r="CM933956" t="s">
        <v>379</v>
      </c>
      <c r="CN933956" t="s">
        <v>379</v>
      </c>
      <c r="CO933956" t="s">
        <v>383</v>
      </c>
      <c r="CP933956" t="s">
        <v>383</v>
      </c>
      <c r="CQ933956" t="s">
        <v>383</v>
      </c>
      <c r="CR933956" t="s">
        <v>383</v>
      </c>
      <c r="CS933956" t="s">
        <v>383</v>
      </c>
      <c r="CT933956" t="s">
        <v>389</v>
      </c>
      <c r="CU933956" t="s">
        <v>389</v>
      </c>
      <c r="CV933956" t="s">
        <v>389</v>
      </c>
      <c r="CW933956" t="s">
        <v>393</v>
      </c>
      <c r="CX933956" t="s">
        <v>393</v>
      </c>
      <c r="CY933956" t="s">
        <v>396</v>
      </c>
      <c r="CZ933956" t="s">
        <v>396</v>
      </c>
      <c r="DA933956" t="s">
        <v>396</v>
      </c>
      <c r="DB933956" t="s">
        <v>400</v>
      </c>
      <c r="DC933956" t="s">
        <v>400</v>
      </c>
      <c r="DD933956" t="s">
        <v>400</v>
      </c>
      <c r="DE933956" t="s">
        <v>400</v>
      </c>
      <c r="DF933956" t="s">
        <v>400</v>
      </c>
      <c r="DG933956" t="s">
        <v>400</v>
      </c>
      <c r="DH933956" t="s">
        <v>400</v>
      </c>
      <c r="DI933956" t="s">
        <v>121</v>
      </c>
      <c r="DJ933956" t="s">
        <v>121</v>
      </c>
      <c r="DK933956" t="s">
        <v>121</v>
      </c>
      <c r="DL933956" t="s">
        <v>121</v>
      </c>
      <c r="DM933956" t="s">
        <v>121</v>
      </c>
      <c r="DN933956" t="s">
        <v>121</v>
      </c>
      <c r="DO933956" t="s">
        <v>121</v>
      </c>
      <c r="DP933956" t="s">
        <v>121</v>
      </c>
      <c r="DQ933956" t="s">
        <v>121</v>
      </c>
      <c r="DR933956" t="s">
        <v>121</v>
      </c>
      <c r="DS933956" t="s">
        <v>121</v>
      </c>
      <c r="DT933956" t="s">
        <v>121</v>
      </c>
      <c r="DU933956" t="s">
        <v>121</v>
      </c>
      <c r="DV933956" t="s">
        <v>121</v>
      </c>
      <c r="DW933956" t="s">
        <v>121</v>
      </c>
      <c r="DX933956" t="s">
        <v>423</v>
      </c>
      <c r="DY933956" t="s">
        <v>423</v>
      </c>
      <c r="DZ933956" t="s">
        <v>426</v>
      </c>
      <c r="EA933956" t="s">
        <v>426</v>
      </c>
      <c r="EB933956" t="s">
        <v>426</v>
      </c>
      <c r="EC933956" t="s">
        <v>426</v>
      </c>
      <c r="ED933956" t="s">
        <v>426</v>
      </c>
      <c r="EE933956" t="s">
        <v>432</v>
      </c>
      <c r="EF933956" t="s">
        <v>432</v>
      </c>
      <c r="EG933956" t="s">
        <v>432</v>
      </c>
      <c r="EH933956" t="s">
        <v>432</v>
      </c>
      <c r="EI933956" t="s">
        <v>432</v>
      </c>
      <c r="EJ933956" t="s">
        <v>432</v>
      </c>
      <c r="EK933956" t="s">
        <v>432</v>
      </c>
      <c r="EL933956" t="s">
        <v>440</v>
      </c>
      <c r="EM933956" t="s">
        <v>440</v>
      </c>
      <c r="EN933956" t="s">
        <v>440</v>
      </c>
      <c r="EO933956" t="s">
        <v>440</v>
      </c>
      <c r="EP933956" t="s">
        <v>440</v>
      </c>
    </row>
    <row r="933957" spans="2:146">
      <c r="BQ933957" t="s">
        <v>351</v>
      </c>
      <c r="BR933957" t="s">
        <v>355</v>
      </c>
      <c r="BS933957" t="s">
        <v>356</v>
      </c>
      <c r="BT933957" t="s">
        <v>358</v>
      </c>
      <c r="BU933957" t="s">
        <v>359</v>
      </c>
      <c r="BV933957" t="s">
        <v>361</v>
      </c>
      <c r="BW933957" t="s">
        <v>362</v>
      </c>
      <c r="BX933957" t="s">
        <v>363</v>
      </c>
      <c r="BY933957" t="s">
        <v>365</v>
      </c>
      <c r="BZ933957" t="s">
        <v>366</v>
      </c>
      <c r="CA933957" t="s">
        <v>367</v>
      </c>
      <c r="CB933957" t="s">
        <v>369</v>
      </c>
      <c r="CC933957" t="s">
        <v>370</v>
      </c>
      <c r="CD933957" t="s">
        <v>371</v>
      </c>
      <c r="CE933957" t="s">
        <v>353</v>
      </c>
      <c r="CF933957" t="s">
        <v>354</v>
      </c>
      <c r="CG933957" t="s">
        <v>373</v>
      </c>
      <c r="CH933957" t="s">
        <v>374</v>
      </c>
      <c r="CI933957" t="s">
        <v>376</v>
      </c>
      <c r="CJ933957" t="s">
        <v>377</v>
      </c>
      <c r="CK933957" t="s">
        <v>378</v>
      </c>
      <c r="CL933957" t="s">
        <v>380</v>
      </c>
      <c r="CM933957" t="s">
        <v>381</v>
      </c>
      <c r="CN933957" t="s">
        <v>382</v>
      </c>
      <c r="CO933957" t="s">
        <v>384</v>
      </c>
      <c r="CP933957" t="s">
        <v>385</v>
      </c>
      <c r="CQ933957" t="s">
        <v>386</v>
      </c>
      <c r="CR933957" t="s">
        <v>387</v>
      </c>
      <c r="CS933957" t="s">
        <v>388</v>
      </c>
      <c r="CT933957" t="s">
        <v>390</v>
      </c>
      <c r="CU933957" t="s">
        <v>391</v>
      </c>
      <c r="CV933957" t="s">
        <v>392</v>
      </c>
      <c r="CW933957" t="s">
        <v>394</v>
      </c>
      <c r="CX933957" t="s">
        <v>395</v>
      </c>
      <c r="CY933957" t="s">
        <v>397</v>
      </c>
      <c r="CZ933957" t="s">
        <v>398</v>
      </c>
      <c r="DA933957" t="s">
        <v>399</v>
      </c>
      <c r="DB933957" t="s">
        <v>401</v>
      </c>
      <c r="DC933957" t="s">
        <v>402</v>
      </c>
      <c r="DD933957" t="s">
        <v>403</v>
      </c>
      <c r="DE933957" t="s">
        <v>404</v>
      </c>
      <c r="DF933957" t="s">
        <v>405</v>
      </c>
      <c r="DG933957" t="s">
        <v>406</v>
      </c>
      <c r="DH933957" t="s">
        <v>407</v>
      </c>
      <c r="DI933957" t="s">
        <v>408</v>
      </c>
      <c r="DJ933957" t="s">
        <v>409</v>
      </c>
      <c r="DK933957" t="s">
        <v>410</v>
      </c>
      <c r="DL933957" t="s">
        <v>411</v>
      </c>
      <c r="DM933957" t="s">
        <v>412</v>
      </c>
      <c r="DN933957" t="s">
        <v>413</v>
      </c>
      <c r="DO933957" t="s">
        <v>414</v>
      </c>
      <c r="DP933957" t="s">
        <v>415</v>
      </c>
      <c r="DQ933957" t="s">
        <v>416</v>
      </c>
      <c r="DR933957" t="s">
        <v>417</v>
      </c>
      <c r="DS933957" t="s">
        <v>418</v>
      </c>
      <c r="DT933957" t="s">
        <v>419</v>
      </c>
      <c r="DU933957" t="s">
        <v>420</v>
      </c>
      <c r="DV933957" t="s">
        <v>421</v>
      </c>
      <c r="DW933957" t="s">
        <v>422</v>
      </c>
      <c r="DX933957" t="s">
        <v>424</v>
      </c>
      <c r="DY933957" t="s">
        <v>425</v>
      </c>
      <c r="DZ933957" t="s">
        <v>427</v>
      </c>
      <c r="EA933957" t="s">
        <v>428</v>
      </c>
      <c r="EB933957" t="s">
        <v>429</v>
      </c>
      <c r="EC933957" t="s">
        <v>430</v>
      </c>
      <c r="ED933957" t="s">
        <v>431</v>
      </c>
      <c r="EE933957" t="s">
        <v>433</v>
      </c>
      <c r="EF933957" t="s">
        <v>434</v>
      </c>
      <c r="EG933957" t="s">
        <v>435</v>
      </c>
      <c r="EH933957" t="s">
        <v>436</v>
      </c>
      <c r="EI933957" t="s">
        <v>437</v>
      </c>
      <c r="EJ933957" t="s">
        <v>438</v>
      </c>
      <c r="EK933957" t="s">
        <v>439</v>
      </c>
      <c r="EL933957" t="s">
        <v>441</v>
      </c>
      <c r="EM933957" t="s">
        <v>442</v>
      </c>
      <c r="EN933957" t="s">
        <v>443</v>
      </c>
      <c r="EO933957" t="s">
        <v>444</v>
      </c>
      <c r="EP933957" t="s">
        <v>445</v>
      </c>
    </row>
    <row r="933958" spans="2:146">
      <c r="BQ933958">
        <v>67</v>
      </c>
      <c r="BR933958">
        <v>68</v>
      </c>
      <c r="BS933958">
        <v>69</v>
      </c>
      <c r="BT933958">
        <v>70</v>
      </c>
      <c r="BU933958">
        <v>71</v>
      </c>
      <c r="BV933958">
        <v>72</v>
      </c>
      <c r="BW933958">
        <v>73</v>
      </c>
      <c r="BX933958">
        <v>74</v>
      </c>
      <c r="BY933958">
        <v>75</v>
      </c>
      <c r="BZ933958">
        <v>76</v>
      </c>
      <c r="CA933958">
        <v>77</v>
      </c>
      <c r="CB933958">
        <v>78</v>
      </c>
      <c r="CC933958">
        <v>79</v>
      </c>
      <c r="CD933958">
        <v>80</v>
      </c>
      <c r="CE933958">
        <v>81</v>
      </c>
      <c r="CF933958">
        <v>82</v>
      </c>
      <c r="CG933958">
        <v>83</v>
      </c>
      <c r="CH933958">
        <v>84</v>
      </c>
      <c r="CI933958">
        <v>85</v>
      </c>
      <c r="CJ933958">
        <v>86</v>
      </c>
      <c r="CK933958">
        <v>87</v>
      </c>
      <c r="CL933958">
        <v>88</v>
      </c>
      <c r="CM933958">
        <v>89</v>
      </c>
      <c r="CN933958">
        <v>90</v>
      </c>
      <c r="CO933958">
        <v>91</v>
      </c>
      <c r="CP933958">
        <v>92</v>
      </c>
      <c r="CQ933958">
        <v>93</v>
      </c>
      <c r="CR933958">
        <v>94</v>
      </c>
      <c r="CS933958">
        <v>95</v>
      </c>
      <c r="CT933958">
        <v>96</v>
      </c>
      <c r="CU933958">
        <v>97</v>
      </c>
      <c r="CV933958">
        <v>98</v>
      </c>
      <c r="CW933958">
        <v>99</v>
      </c>
      <c r="CX933958">
        <v>100</v>
      </c>
      <c r="CY933958">
        <v>101</v>
      </c>
      <c r="CZ933958">
        <v>102</v>
      </c>
      <c r="DA933958">
        <v>103</v>
      </c>
      <c r="DB933958">
        <v>104</v>
      </c>
      <c r="DC933958">
        <v>105</v>
      </c>
      <c r="DD933958">
        <v>106</v>
      </c>
      <c r="DE933958">
        <v>107</v>
      </c>
      <c r="DF933958">
        <v>108</v>
      </c>
      <c r="DG933958">
        <v>109</v>
      </c>
      <c r="DH933958">
        <v>110</v>
      </c>
      <c r="DI933958">
        <v>111</v>
      </c>
      <c r="DJ933958">
        <v>112</v>
      </c>
      <c r="DK933958">
        <v>113</v>
      </c>
      <c r="DL933958">
        <v>114</v>
      </c>
      <c r="DM933958">
        <v>115</v>
      </c>
      <c r="DN933958">
        <v>116</v>
      </c>
      <c r="DO933958">
        <v>117</v>
      </c>
      <c r="DP933958">
        <v>118</v>
      </c>
      <c r="DQ933958">
        <v>119</v>
      </c>
      <c r="DR933958">
        <v>120</v>
      </c>
      <c r="DS933958">
        <v>121</v>
      </c>
      <c r="DT933958">
        <v>122</v>
      </c>
      <c r="DU933958">
        <v>123</v>
      </c>
      <c r="DV933958">
        <v>124</v>
      </c>
      <c r="DW933958">
        <v>125</v>
      </c>
      <c r="DX933958">
        <v>126</v>
      </c>
      <c r="DY933958">
        <v>127</v>
      </c>
      <c r="DZ933958">
        <v>128</v>
      </c>
      <c r="EA933958">
        <v>129</v>
      </c>
      <c r="EB933958">
        <v>130</v>
      </c>
      <c r="EC933958">
        <v>131</v>
      </c>
      <c r="ED933958">
        <v>132</v>
      </c>
      <c r="EE933958">
        <v>133</v>
      </c>
      <c r="EF933958">
        <v>134</v>
      </c>
      <c r="EG933958">
        <v>135</v>
      </c>
      <c r="EH933958">
        <v>136</v>
      </c>
      <c r="EI933958">
        <v>137</v>
      </c>
      <c r="EJ933958">
        <v>138</v>
      </c>
      <c r="EK933958">
        <v>139</v>
      </c>
      <c r="EL933958">
        <v>140</v>
      </c>
      <c r="EM933958">
        <v>141</v>
      </c>
      <c r="EN933958">
        <v>142</v>
      </c>
      <c r="EO933958">
        <v>143</v>
      </c>
      <c r="EP933958">
        <v>144</v>
      </c>
    </row>
    <row r="933959" spans="2:146">
      <c r="CE933959" t="s">
        <v>451</v>
      </c>
    </row>
    <row r="950274" spans="2:2">
      <c r="B950274">
        <v>200</v>
      </c>
    </row>
    <row r="950275" spans="2:2">
      <c r="B950275">
        <v>200</v>
      </c>
    </row>
    <row r="950276" spans="2:2">
      <c r="B950276">
        <v>800</v>
      </c>
    </row>
    <row r="950277" spans="2:2">
      <c r="B950277">
        <v>200</v>
      </c>
    </row>
    <row r="950278" spans="2:2">
      <c r="B950278">
        <v>1044</v>
      </c>
    </row>
    <row r="950279" spans="2:2">
      <c r="B950279">
        <v>998.40000000000009</v>
      </c>
    </row>
    <row r="950280" spans="2:2">
      <c r="B950280">
        <v>272</v>
      </c>
    </row>
    <row r="950281" spans="2:2">
      <c r="B950281">
        <v>200</v>
      </c>
    </row>
    <row r="950282" spans="2:2">
      <c r="B950282">
        <v>214</v>
      </c>
    </row>
    <row r="950283" spans="2:2">
      <c r="B950283">
        <v>200</v>
      </c>
    </row>
    <row r="950284" spans="2:2">
      <c r="B950284">
        <v>152</v>
      </c>
    </row>
    <row r="950285" spans="2:2">
      <c r="B950285">
        <v>200</v>
      </c>
    </row>
    <row r="950286" spans="2:2">
      <c r="B950286">
        <v>300</v>
      </c>
    </row>
    <row r="950287" spans="2:2">
      <c r="B950287">
        <v>104</v>
      </c>
    </row>
    <row r="950288" spans="2:2">
      <c r="B950288">
        <v>162</v>
      </c>
    </row>
    <row r="950289" spans="2:2">
      <c r="B950289">
        <v>200</v>
      </c>
    </row>
    <row r="950290" spans="2:2">
      <c r="B950290">
        <v>200</v>
      </c>
    </row>
    <row r="950291" spans="2:2">
      <c r="B950291">
        <v>200</v>
      </c>
    </row>
    <row r="950292" spans="2:2">
      <c r="B950292">
        <v>200</v>
      </c>
    </row>
    <row r="950293" spans="2:2">
      <c r="B950293">
        <v>200</v>
      </c>
    </row>
    <row r="950294" spans="2:2">
      <c r="B950294">
        <v>200</v>
      </c>
    </row>
    <row r="950295" spans="2:2">
      <c r="B950295">
        <v>200</v>
      </c>
    </row>
    <row r="950296" spans="2:2">
      <c r="B950296">
        <v>200</v>
      </c>
    </row>
    <row r="950297" spans="2:2">
      <c r="B950297">
        <v>800</v>
      </c>
    </row>
    <row r="950298" spans="2:2">
      <c r="B950298">
        <v>300</v>
      </c>
    </row>
    <row r="950299" spans="2:2">
      <c r="B950299">
        <v>778</v>
      </c>
    </row>
    <row r="950300" spans="2:2">
      <c r="B950300">
        <v>614</v>
      </c>
    </row>
    <row r="950301" spans="2:2">
      <c r="B950301">
        <v>444</v>
      </c>
    </row>
    <row r="950302" spans="2:2">
      <c r="B950302">
        <v>800</v>
      </c>
    </row>
    <row r="950303" spans="2:2">
      <c r="B950303">
        <v>200</v>
      </c>
    </row>
    <row r="950304" spans="2:2">
      <c r="B950304">
        <v>780</v>
      </c>
    </row>
    <row r="950305" spans="2:146">
      <c r="B950305">
        <v>174</v>
      </c>
    </row>
    <row r="950306" spans="2:146">
      <c r="B950306">
        <v>194</v>
      </c>
    </row>
    <row r="950307" spans="2:146">
      <c r="B950307">
        <v>782</v>
      </c>
    </row>
    <row r="950308" spans="2:146">
      <c r="B950308">
        <v>236</v>
      </c>
    </row>
    <row r="950309" spans="2:146">
      <c r="B950309">
        <v>144</v>
      </c>
    </row>
    <row r="950310" spans="2:146">
      <c r="B950310">
        <v>200</v>
      </c>
    </row>
    <row r="950311" spans="2:146">
      <c r="B950311">
        <v>240</v>
      </c>
    </row>
    <row r="950312" spans="2:146">
      <c r="B950312">
        <v>200</v>
      </c>
    </row>
    <row r="950313" spans="2:146">
      <c r="B950313">
        <v>612</v>
      </c>
    </row>
    <row r="950314" spans="2:146">
      <c r="B950314">
        <v>156</v>
      </c>
    </row>
    <row r="950315" spans="2:146">
      <c r="B950315">
        <v>116</v>
      </c>
    </row>
    <row r="950316" spans="2:146">
      <c r="B950316">
        <v>160</v>
      </c>
    </row>
    <row r="950317" spans="2:146">
      <c r="B950317">
        <v>80</v>
      </c>
      <c r="EL950317">
        <v>0.66</v>
      </c>
      <c r="EM950317">
        <v>0.66</v>
      </c>
      <c r="EN950317">
        <v>0.66</v>
      </c>
      <c r="EO950317">
        <v>0.66</v>
      </c>
      <c r="EP950317">
        <v>0.66</v>
      </c>
    </row>
    <row r="950318" spans="2:146">
      <c r="B950318">
        <v>1144</v>
      </c>
      <c r="BV950318">
        <v>5.0999999999999996</v>
      </c>
      <c r="BW950318">
        <v>5.0999999999999996</v>
      </c>
      <c r="DB950318">
        <v>10.210000000000001</v>
      </c>
      <c r="DC950318">
        <v>10.210000000000001</v>
      </c>
      <c r="DD950318">
        <v>10.210000000000001</v>
      </c>
      <c r="DE950318">
        <v>10.210000000000001</v>
      </c>
      <c r="DF950318">
        <v>10.210000000000001</v>
      </c>
      <c r="DG950318">
        <v>10.210000000000001</v>
      </c>
      <c r="DH950318">
        <v>10.210000000000001</v>
      </c>
    </row>
    <row r="950319" spans="2:146">
      <c r="B950319">
        <v>1240</v>
      </c>
      <c r="EE950319">
        <v>8.15</v>
      </c>
      <c r="EF950319">
        <v>8.15</v>
      </c>
      <c r="EG950319">
        <v>8.15</v>
      </c>
      <c r="EH950319">
        <v>8.15</v>
      </c>
      <c r="EI950319">
        <v>8.15</v>
      </c>
      <c r="EJ950319">
        <v>8.15</v>
      </c>
      <c r="EK950319">
        <v>8.15</v>
      </c>
    </row>
    <row r="950320" spans="2:146">
      <c r="B950320">
        <v>2083.2000000000003</v>
      </c>
      <c r="DI950320">
        <v>20.03</v>
      </c>
      <c r="DJ950320">
        <v>20.03</v>
      </c>
      <c r="DQ950320">
        <v>20.03</v>
      </c>
      <c r="DT950320">
        <v>20.03</v>
      </c>
      <c r="DW950320">
        <v>20.03</v>
      </c>
    </row>
    <row r="950321" spans="2:134">
      <c r="B950321">
        <v>357.20000000000005</v>
      </c>
      <c r="DI950321">
        <v>3.88</v>
      </c>
      <c r="DJ950321">
        <v>3.88</v>
      </c>
      <c r="DV950321">
        <v>3.88</v>
      </c>
      <c r="DW950321">
        <v>3.88</v>
      </c>
    </row>
    <row r="950322" spans="2:134">
      <c r="B950322">
        <v>391.20000000000005</v>
      </c>
      <c r="DI950322">
        <v>3.62</v>
      </c>
      <c r="DJ950322">
        <v>3.62</v>
      </c>
      <c r="DR950322">
        <v>3.62</v>
      </c>
      <c r="DU950322">
        <v>3.62</v>
      </c>
      <c r="DV950322">
        <v>3.62</v>
      </c>
    </row>
    <row r="950323" spans="2:134">
      <c r="B950323">
        <v>762.80000000000007</v>
      </c>
      <c r="DI950323">
        <v>6.15</v>
      </c>
      <c r="DJ950323">
        <v>6.15</v>
      </c>
      <c r="DQ950323">
        <v>6.15</v>
      </c>
      <c r="DR950323">
        <v>6.15</v>
      </c>
      <c r="DS950323">
        <v>6.15</v>
      </c>
      <c r="DT950323">
        <v>6.15</v>
      </c>
    </row>
    <row r="950324" spans="2:134">
      <c r="B950324">
        <v>1280</v>
      </c>
      <c r="DI950324">
        <v>10.66</v>
      </c>
      <c r="DJ950324">
        <v>10.66</v>
      </c>
      <c r="DK950324">
        <v>10.66</v>
      </c>
      <c r="DL950324">
        <v>10.66</v>
      </c>
      <c r="DM950324">
        <v>10.66</v>
      </c>
      <c r="DN950324">
        <v>10.66</v>
      </c>
    </row>
    <row r="950325" spans="2:134">
      <c r="B950325">
        <v>234</v>
      </c>
      <c r="CT950325">
        <v>2.5</v>
      </c>
      <c r="CU950325">
        <v>2.5</v>
      </c>
      <c r="CV950325">
        <v>2.5</v>
      </c>
    </row>
    <row r="950326" spans="2:134">
      <c r="B950326">
        <v>354</v>
      </c>
      <c r="CY950326">
        <v>3.98</v>
      </c>
      <c r="CZ950326">
        <v>3.98</v>
      </c>
      <c r="DA950326">
        <v>3.98</v>
      </c>
    </row>
    <row r="950327" spans="2:134">
      <c r="B950327">
        <v>392</v>
      </c>
      <c r="DI950327">
        <v>3.52</v>
      </c>
      <c r="DJ950327">
        <v>3.52</v>
      </c>
      <c r="DL950327">
        <v>3.52</v>
      </c>
      <c r="DO950327">
        <v>3.52</v>
      </c>
    </row>
    <row r="950328" spans="2:134">
      <c r="B950328">
        <v>304</v>
      </c>
      <c r="CE950328">
        <v>3.8</v>
      </c>
      <c r="CF950328">
        <v>3.8</v>
      </c>
    </row>
    <row r="950329" spans="2:134">
      <c r="B950329">
        <v>144</v>
      </c>
      <c r="DZ950329">
        <v>1.62</v>
      </c>
      <c r="EA950329">
        <v>1.62</v>
      </c>
      <c r="EB950329">
        <v>1.62</v>
      </c>
      <c r="EC950329">
        <v>0.81</v>
      </c>
      <c r="ED950329">
        <v>0.81</v>
      </c>
    </row>
    <row r="950330" spans="2:134">
      <c r="B950330">
        <v>602.40000000000009</v>
      </c>
      <c r="BY950330">
        <v>6.02</v>
      </c>
      <c r="BZ950330">
        <v>6.02</v>
      </c>
      <c r="CB950330">
        <v>3.01</v>
      </c>
      <c r="CC950330">
        <v>3.01</v>
      </c>
      <c r="CD950330">
        <v>3.01</v>
      </c>
      <c r="CI950330">
        <v>6.02</v>
      </c>
      <c r="CJ950330">
        <v>6.02</v>
      </c>
      <c r="CK950330">
        <v>6.02</v>
      </c>
    </row>
    <row r="950331" spans="2:134">
      <c r="B950331">
        <v>307.60000000000002</v>
      </c>
      <c r="BY950331">
        <v>3.34</v>
      </c>
      <c r="BZ950331">
        <v>3.34</v>
      </c>
      <c r="CG950331">
        <v>3.34</v>
      </c>
      <c r="CH950331">
        <v>3.34</v>
      </c>
    </row>
    <row r="950332" spans="2:134">
      <c r="B950332">
        <v>358</v>
      </c>
      <c r="BY950332">
        <v>2.37</v>
      </c>
      <c r="BZ950332">
        <v>2.37</v>
      </c>
      <c r="CA950332">
        <v>2.37</v>
      </c>
      <c r="DX950332">
        <v>4.74</v>
      </c>
      <c r="DY950332">
        <v>4.74</v>
      </c>
    </row>
    <row r="950333" spans="2:134">
      <c r="B950333">
        <v>286</v>
      </c>
      <c r="BT950333">
        <v>1.43</v>
      </c>
      <c r="BV950333">
        <v>1.43</v>
      </c>
      <c r="BW950333">
        <v>1.43</v>
      </c>
      <c r="BX950333">
        <v>1.43</v>
      </c>
      <c r="CO950333">
        <v>2.86</v>
      </c>
      <c r="CP950333">
        <v>2.86</v>
      </c>
      <c r="CQ950333">
        <v>2.86</v>
      </c>
      <c r="CR950333">
        <v>2.86</v>
      </c>
      <c r="CS950333">
        <v>2.86</v>
      </c>
    </row>
    <row r="950334" spans="2:134">
      <c r="B950334">
        <v>410</v>
      </c>
      <c r="BY950334">
        <v>2.88</v>
      </c>
      <c r="BZ950334">
        <v>2.88</v>
      </c>
      <c r="CA950334">
        <v>2.88</v>
      </c>
      <c r="CW950334">
        <v>5.76</v>
      </c>
      <c r="CX950334">
        <v>5.76</v>
      </c>
    </row>
    <row r="950335" spans="2:134">
      <c r="B950335">
        <v>346</v>
      </c>
      <c r="BR950335">
        <v>3.6</v>
      </c>
      <c r="BS950335">
        <v>3.6</v>
      </c>
      <c r="BT950335">
        <v>1.8</v>
      </c>
      <c r="CL950335">
        <v>3.6</v>
      </c>
      <c r="CM950335">
        <v>3.6</v>
      </c>
      <c r="CN950335">
        <v>3.6</v>
      </c>
    </row>
    <row r="950336" spans="2:134">
      <c r="B950336">
        <v>302</v>
      </c>
      <c r="BR950336">
        <v>3.28</v>
      </c>
      <c r="BS950336">
        <v>3.28</v>
      </c>
      <c r="BT950336">
        <v>1.64</v>
      </c>
      <c r="BU950336">
        <v>1.64</v>
      </c>
      <c r="CL950336">
        <v>3.28</v>
      </c>
      <c r="CM950336">
        <v>3.28</v>
      </c>
      <c r="CN950336">
        <v>3.28</v>
      </c>
    </row>
    <row r="950337" spans="2:146">
      <c r="B950337">
        <v>204</v>
      </c>
      <c r="BR950337">
        <v>2.12</v>
      </c>
      <c r="BS950337">
        <v>2.12</v>
      </c>
      <c r="BT950337">
        <v>1.06</v>
      </c>
      <c r="CL950337">
        <v>2.12</v>
      </c>
      <c r="CM950337">
        <v>2.12</v>
      </c>
      <c r="CN950337">
        <v>2.12</v>
      </c>
    </row>
    <row r="950339" spans="2:146">
      <c r="B950339">
        <v>26358.800000000003</v>
      </c>
      <c r="BQ950339">
        <v>0</v>
      </c>
      <c r="BR950339">
        <v>9</v>
      </c>
      <c r="BS950339">
        <v>9</v>
      </c>
      <c r="BT950339">
        <v>5.93</v>
      </c>
      <c r="BU950339">
        <v>1.64</v>
      </c>
      <c r="BV950339">
        <v>6.5299999999999994</v>
      </c>
      <c r="BW950339">
        <v>6.5299999999999994</v>
      </c>
      <c r="BX950339">
        <v>1.43</v>
      </c>
      <c r="BY950339">
        <v>14.61</v>
      </c>
      <c r="BZ950339">
        <v>14.61</v>
      </c>
      <c r="CA950339">
        <v>5.25</v>
      </c>
      <c r="CB950339">
        <v>3.01</v>
      </c>
      <c r="CC950339">
        <v>3.01</v>
      </c>
      <c r="CD950339">
        <v>3.01</v>
      </c>
      <c r="CE950339">
        <v>3.8</v>
      </c>
      <c r="CF950339">
        <v>3.8</v>
      </c>
      <c r="CG950339">
        <v>3.34</v>
      </c>
      <c r="CH950339">
        <v>3.34</v>
      </c>
      <c r="CI950339">
        <v>6.02</v>
      </c>
      <c r="CJ950339">
        <v>6.02</v>
      </c>
      <c r="CK950339">
        <v>6.02</v>
      </c>
      <c r="CL950339">
        <v>9</v>
      </c>
      <c r="CM950339">
        <v>9</v>
      </c>
      <c r="CN950339">
        <v>9</v>
      </c>
      <c r="CO950339">
        <v>2.86</v>
      </c>
      <c r="CP950339">
        <v>2.86</v>
      </c>
      <c r="CQ950339">
        <v>2.86</v>
      </c>
      <c r="CR950339">
        <v>2.86</v>
      </c>
      <c r="CS950339">
        <v>2.86</v>
      </c>
      <c r="CT950339">
        <v>2.5</v>
      </c>
      <c r="CU950339">
        <v>2.5</v>
      </c>
      <c r="CV950339">
        <v>2.5</v>
      </c>
      <c r="CW950339">
        <v>5.76</v>
      </c>
      <c r="CX950339">
        <v>5.76</v>
      </c>
      <c r="CY950339">
        <v>3.98</v>
      </c>
      <c r="CZ950339">
        <v>3.98</v>
      </c>
      <c r="DA950339">
        <v>3.98</v>
      </c>
      <c r="DB950339">
        <v>10.210000000000001</v>
      </c>
      <c r="DC950339">
        <v>10.210000000000001</v>
      </c>
      <c r="DD950339">
        <v>10.210000000000001</v>
      </c>
      <c r="DE950339">
        <v>10.210000000000001</v>
      </c>
      <c r="DF950339">
        <v>10.210000000000001</v>
      </c>
      <c r="DG950339">
        <v>10.210000000000001</v>
      </c>
      <c r="DH950339">
        <v>10.210000000000001</v>
      </c>
      <c r="DI950339">
        <v>47.860000000000007</v>
      </c>
      <c r="DJ950339">
        <v>47.860000000000007</v>
      </c>
      <c r="DK950339">
        <v>10.66</v>
      </c>
      <c r="DL950339">
        <v>14.18</v>
      </c>
      <c r="DM950339">
        <v>10.66</v>
      </c>
      <c r="DN950339">
        <v>10.66</v>
      </c>
      <c r="DO950339">
        <v>3.52</v>
      </c>
      <c r="DP950339">
        <v>0</v>
      </c>
      <c r="DQ950339">
        <v>26.18</v>
      </c>
      <c r="DR950339">
        <v>9.77</v>
      </c>
      <c r="DS950339">
        <v>6.15</v>
      </c>
      <c r="DT950339">
        <v>26.18</v>
      </c>
      <c r="DU950339">
        <v>3.62</v>
      </c>
      <c r="DV950339">
        <v>7.5</v>
      </c>
      <c r="DW950339">
        <v>23.91</v>
      </c>
      <c r="DX950339">
        <v>4.74</v>
      </c>
      <c r="DY950339">
        <v>4.74</v>
      </c>
      <c r="DZ950339">
        <v>1.62</v>
      </c>
      <c r="EA950339">
        <v>1.62</v>
      </c>
      <c r="EB950339">
        <v>1.62</v>
      </c>
      <c r="EC950339">
        <v>0.81</v>
      </c>
      <c r="ED950339">
        <v>0.81</v>
      </c>
      <c r="EE950339">
        <v>8.15</v>
      </c>
      <c r="EF950339">
        <v>8.15</v>
      </c>
      <c r="EG950339">
        <v>8.15</v>
      </c>
      <c r="EH950339">
        <v>8.15</v>
      </c>
      <c r="EI950339">
        <v>8.15</v>
      </c>
      <c r="EJ950339">
        <v>8.15</v>
      </c>
      <c r="EK950339">
        <v>8.15</v>
      </c>
      <c r="EL950339">
        <v>0.66</v>
      </c>
      <c r="EM950339">
        <v>0.66</v>
      </c>
      <c r="EN950339">
        <v>0.66</v>
      </c>
      <c r="EO950339">
        <v>0.66</v>
      </c>
      <c r="EP950339">
        <v>0.66</v>
      </c>
    </row>
    <row r="950340" spans="2:146">
      <c r="B950340" t="s">
        <v>265</v>
      </c>
      <c r="BQ950340" t="s">
        <v>345</v>
      </c>
      <c r="BR950340" t="s">
        <v>131</v>
      </c>
      <c r="BS950340" t="s">
        <v>131</v>
      </c>
      <c r="BT950340" t="s">
        <v>357</v>
      </c>
      <c r="BU950340" t="s">
        <v>131</v>
      </c>
      <c r="BV950340" t="s">
        <v>360</v>
      </c>
      <c r="BW950340" t="s">
        <v>360</v>
      </c>
      <c r="BX950340" t="s">
        <v>360</v>
      </c>
      <c r="BY950340" t="s">
        <v>364</v>
      </c>
      <c r="BZ950340" t="s">
        <v>364</v>
      </c>
      <c r="CA950340" t="s">
        <v>364</v>
      </c>
      <c r="CB950340" t="s">
        <v>368</v>
      </c>
      <c r="CC950340" t="s">
        <v>368</v>
      </c>
      <c r="CD950340" t="s">
        <v>368</v>
      </c>
      <c r="CE950340" t="s">
        <v>352</v>
      </c>
      <c r="CF950340" t="s">
        <v>352</v>
      </c>
      <c r="CG950340" t="s">
        <v>372</v>
      </c>
      <c r="CH950340" t="s">
        <v>372</v>
      </c>
      <c r="CI950340" t="s">
        <v>375</v>
      </c>
      <c r="CJ950340" t="s">
        <v>375</v>
      </c>
      <c r="CK950340" t="s">
        <v>375</v>
      </c>
      <c r="CL950340" t="s">
        <v>379</v>
      </c>
      <c r="CM950340" t="s">
        <v>379</v>
      </c>
      <c r="CN950340" t="s">
        <v>379</v>
      </c>
      <c r="CO950340" t="s">
        <v>383</v>
      </c>
      <c r="CP950340" t="s">
        <v>383</v>
      </c>
      <c r="CQ950340" t="s">
        <v>383</v>
      </c>
      <c r="CR950340" t="s">
        <v>383</v>
      </c>
      <c r="CS950340" t="s">
        <v>383</v>
      </c>
      <c r="CT950340" t="s">
        <v>389</v>
      </c>
      <c r="CU950340" t="s">
        <v>389</v>
      </c>
      <c r="CV950340" t="s">
        <v>389</v>
      </c>
      <c r="CW950340" t="s">
        <v>393</v>
      </c>
      <c r="CX950340" t="s">
        <v>393</v>
      </c>
      <c r="CY950340" t="s">
        <v>396</v>
      </c>
      <c r="CZ950340" t="s">
        <v>396</v>
      </c>
      <c r="DA950340" t="s">
        <v>396</v>
      </c>
      <c r="DB950340" t="s">
        <v>400</v>
      </c>
      <c r="DC950340" t="s">
        <v>400</v>
      </c>
      <c r="DD950340" t="s">
        <v>400</v>
      </c>
      <c r="DE950340" t="s">
        <v>400</v>
      </c>
      <c r="DF950340" t="s">
        <v>400</v>
      </c>
      <c r="DG950340" t="s">
        <v>400</v>
      </c>
      <c r="DH950340" t="s">
        <v>400</v>
      </c>
      <c r="DI950340" t="s">
        <v>121</v>
      </c>
      <c r="DJ950340" t="s">
        <v>121</v>
      </c>
      <c r="DK950340" t="s">
        <v>121</v>
      </c>
      <c r="DL950340" t="s">
        <v>121</v>
      </c>
      <c r="DM950340" t="s">
        <v>121</v>
      </c>
      <c r="DN950340" t="s">
        <v>121</v>
      </c>
      <c r="DO950340" t="s">
        <v>121</v>
      </c>
      <c r="DP950340" t="s">
        <v>121</v>
      </c>
      <c r="DQ950340" t="s">
        <v>121</v>
      </c>
      <c r="DR950340" t="s">
        <v>121</v>
      </c>
      <c r="DS950340" t="s">
        <v>121</v>
      </c>
      <c r="DT950340" t="s">
        <v>121</v>
      </c>
      <c r="DU950340" t="s">
        <v>121</v>
      </c>
      <c r="DV950340" t="s">
        <v>121</v>
      </c>
      <c r="DW950340" t="s">
        <v>121</v>
      </c>
      <c r="DX950340" t="s">
        <v>423</v>
      </c>
      <c r="DY950340" t="s">
        <v>423</v>
      </c>
      <c r="DZ950340" t="s">
        <v>426</v>
      </c>
      <c r="EA950340" t="s">
        <v>426</v>
      </c>
      <c r="EB950340" t="s">
        <v>426</v>
      </c>
      <c r="EC950340" t="s">
        <v>426</v>
      </c>
      <c r="ED950340" t="s">
        <v>426</v>
      </c>
      <c r="EE950340" t="s">
        <v>432</v>
      </c>
      <c r="EF950340" t="s">
        <v>432</v>
      </c>
      <c r="EG950340" t="s">
        <v>432</v>
      </c>
      <c r="EH950340" t="s">
        <v>432</v>
      </c>
      <c r="EI950340" t="s">
        <v>432</v>
      </c>
      <c r="EJ950340" t="s">
        <v>432</v>
      </c>
      <c r="EK950340" t="s">
        <v>432</v>
      </c>
      <c r="EL950340" t="s">
        <v>440</v>
      </c>
      <c r="EM950340" t="s">
        <v>440</v>
      </c>
      <c r="EN950340" t="s">
        <v>440</v>
      </c>
      <c r="EO950340" t="s">
        <v>440</v>
      </c>
      <c r="EP950340" t="s">
        <v>440</v>
      </c>
    </row>
    <row r="950341" spans="2:146">
      <c r="BQ950341" t="s">
        <v>351</v>
      </c>
      <c r="BR950341" t="s">
        <v>355</v>
      </c>
      <c r="BS950341" t="s">
        <v>356</v>
      </c>
      <c r="BT950341" t="s">
        <v>358</v>
      </c>
      <c r="BU950341" t="s">
        <v>359</v>
      </c>
      <c r="BV950341" t="s">
        <v>361</v>
      </c>
      <c r="BW950341" t="s">
        <v>362</v>
      </c>
      <c r="BX950341" t="s">
        <v>363</v>
      </c>
      <c r="BY950341" t="s">
        <v>365</v>
      </c>
      <c r="BZ950341" t="s">
        <v>366</v>
      </c>
      <c r="CA950341" t="s">
        <v>367</v>
      </c>
      <c r="CB950341" t="s">
        <v>369</v>
      </c>
      <c r="CC950341" t="s">
        <v>370</v>
      </c>
      <c r="CD950341" t="s">
        <v>371</v>
      </c>
      <c r="CE950341" t="s">
        <v>353</v>
      </c>
      <c r="CF950341" t="s">
        <v>354</v>
      </c>
      <c r="CG950341" t="s">
        <v>373</v>
      </c>
      <c r="CH950341" t="s">
        <v>374</v>
      </c>
      <c r="CI950341" t="s">
        <v>376</v>
      </c>
      <c r="CJ950341" t="s">
        <v>377</v>
      </c>
      <c r="CK950341" t="s">
        <v>378</v>
      </c>
      <c r="CL950341" t="s">
        <v>380</v>
      </c>
      <c r="CM950341" t="s">
        <v>381</v>
      </c>
      <c r="CN950341" t="s">
        <v>382</v>
      </c>
      <c r="CO950341" t="s">
        <v>384</v>
      </c>
      <c r="CP950341" t="s">
        <v>385</v>
      </c>
      <c r="CQ950341" t="s">
        <v>386</v>
      </c>
      <c r="CR950341" t="s">
        <v>387</v>
      </c>
      <c r="CS950341" t="s">
        <v>388</v>
      </c>
      <c r="CT950341" t="s">
        <v>390</v>
      </c>
      <c r="CU950341" t="s">
        <v>391</v>
      </c>
      <c r="CV950341" t="s">
        <v>392</v>
      </c>
      <c r="CW950341" t="s">
        <v>394</v>
      </c>
      <c r="CX950341" t="s">
        <v>395</v>
      </c>
      <c r="CY950341" t="s">
        <v>397</v>
      </c>
      <c r="CZ950341" t="s">
        <v>398</v>
      </c>
      <c r="DA950341" t="s">
        <v>399</v>
      </c>
      <c r="DB950341" t="s">
        <v>401</v>
      </c>
      <c r="DC950341" t="s">
        <v>402</v>
      </c>
      <c r="DD950341" t="s">
        <v>403</v>
      </c>
      <c r="DE950341" t="s">
        <v>404</v>
      </c>
      <c r="DF950341" t="s">
        <v>405</v>
      </c>
      <c r="DG950341" t="s">
        <v>406</v>
      </c>
      <c r="DH950341" t="s">
        <v>407</v>
      </c>
      <c r="DI950341" t="s">
        <v>408</v>
      </c>
      <c r="DJ950341" t="s">
        <v>409</v>
      </c>
      <c r="DK950341" t="s">
        <v>410</v>
      </c>
      <c r="DL950341" t="s">
        <v>411</v>
      </c>
      <c r="DM950341" t="s">
        <v>412</v>
      </c>
      <c r="DN950341" t="s">
        <v>413</v>
      </c>
      <c r="DO950341" t="s">
        <v>414</v>
      </c>
      <c r="DP950341" t="s">
        <v>415</v>
      </c>
      <c r="DQ950341" t="s">
        <v>416</v>
      </c>
      <c r="DR950341" t="s">
        <v>417</v>
      </c>
      <c r="DS950341" t="s">
        <v>418</v>
      </c>
      <c r="DT950341" t="s">
        <v>419</v>
      </c>
      <c r="DU950341" t="s">
        <v>420</v>
      </c>
      <c r="DV950341" t="s">
        <v>421</v>
      </c>
      <c r="DW950341" t="s">
        <v>422</v>
      </c>
      <c r="DX950341" t="s">
        <v>424</v>
      </c>
      <c r="DY950341" t="s">
        <v>425</v>
      </c>
      <c r="DZ950341" t="s">
        <v>427</v>
      </c>
      <c r="EA950341" t="s">
        <v>428</v>
      </c>
      <c r="EB950341" t="s">
        <v>429</v>
      </c>
      <c r="EC950341" t="s">
        <v>430</v>
      </c>
      <c r="ED950341" t="s">
        <v>431</v>
      </c>
      <c r="EE950341" t="s">
        <v>433</v>
      </c>
      <c r="EF950341" t="s">
        <v>434</v>
      </c>
      <c r="EG950341" t="s">
        <v>435</v>
      </c>
      <c r="EH950341" t="s">
        <v>436</v>
      </c>
      <c r="EI950341" t="s">
        <v>437</v>
      </c>
      <c r="EJ950341" t="s">
        <v>438</v>
      </c>
      <c r="EK950341" t="s">
        <v>439</v>
      </c>
      <c r="EL950341" t="s">
        <v>441</v>
      </c>
      <c r="EM950341" t="s">
        <v>442</v>
      </c>
      <c r="EN950341" t="s">
        <v>443</v>
      </c>
      <c r="EO950341" t="s">
        <v>444</v>
      </c>
      <c r="EP950341" t="s">
        <v>445</v>
      </c>
    </row>
    <row r="950342" spans="2:146">
      <c r="BQ950342">
        <v>67</v>
      </c>
      <c r="BR950342">
        <v>68</v>
      </c>
      <c r="BS950342">
        <v>69</v>
      </c>
      <c r="BT950342">
        <v>70</v>
      </c>
      <c r="BU950342">
        <v>71</v>
      </c>
      <c r="BV950342">
        <v>72</v>
      </c>
      <c r="BW950342">
        <v>73</v>
      </c>
      <c r="BX950342">
        <v>74</v>
      </c>
      <c r="BY950342">
        <v>75</v>
      </c>
      <c r="BZ950342">
        <v>76</v>
      </c>
      <c r="CA950342">
        <v>77</v>
      </c>
      <c r="CB950342">
        <v>78</v>
      </c>
      <c r="CC950342">
        <v>79</v>
      </c>
      <c r="CD950342">
        <v>80</v>
      </c>
      <c r="CE950342">
        <v>81</v>
      </c>
      <c r="CF950342">
        <v>82</v>
      </c>
      <c r="CG950342">
        <v>83</v>
      </c>
      <c r="CH950342">
        <v>84</v>
      </c>
      <c r="CI950342">
        <v>85</v>
      </c>
      <c r="CJ950342">
        <v>86</v>
      </c>
      <c r="CK950342">
        <v>87</v>
      </c>
      <c r="CL950342">
        <v>88</v>
      </c>
      <c r="CM950342">
        <v>89</v>
      </c>
      <c r="CN950342">
        <v>90</v>
      </c>
      <c r="CO950342">
        <v>91</v>
      </c>
      <c r="CP950342">
        <v>92</v>
      </c>
      <c r="CQ950342">
        <v>93</v>
      </c>
      <c r="CR950342">
        <v>94</v>
      </c>
      <c r="CS950342">
        <v>95</v>
      </c>
      <c r="CT950342">
        <v>96</v>
      </c>
      <c r="CU950342">
        <v>97</v>
      </c>
      <c r="CV950342">
        <v>98</v>
      </c>
      <c r="CW950342">
        <v>99</v>
      </c>
      <c r="CX950342">
        <v>100</v>
      </c>
      <c r="CY950342">
        <v>101</v>
      </c>
      <c r="CZ950342">
        <v>102</v>
      </c>
      <c r="DA950342">
        <v>103</v>
      </c>
      <c r="DB950342">
        <v>104</v>
      </c>
      <c r="DC950342">
        <v>105</v>
      </c>
      <c r="DD950342">
        <v>106</v>
      </c>
      <c r="DE950342">
        <v>107</v>
      </c>
      <c r="DF950342">
        <v>108</v>
      </c>
      <c r="DG950342">
        <v>109</v>
      </c>
      <c r="DH950342">
        <v>110</v>
      </c>
      <c r="DI950342">
        <v>111</v>
      </c>
      <c r="DJ950342">
        <v>112</v>
      </c>
      <c r="DK950342">
        <v>113</v>
      </c>
      <c r="DL950342">
        <v>114</v>
      </c>
      <c r="DM950342">
        <v>115</v>
      </c>
      <c r="DN950342">
        <v>116</v>
      </c>
      <c r="DO950342">
        <v>117</v>
      </c>
      <c r="DP950342">
        <v>118</v>
      </c>
      <c r="DQ950342">
        <v>119</v>
      </c>
      <c r="DR950342">
        <v>120</v>
      </c>
      <c r="DS950342">
        <v>121</v>
      </c>
      <c r="DT950342">
        <v>122</v>
      </c>
      <c r="DU950342">
        <v>123</v>
      </c>
      <c r="DV950342">
        <v>124</v>
      </c>
      <c r="DW950342">
        <v>125</v>
      </c>
      <c r="DX950342">
        <v>126</v>
      </c>
      <c r="DY950342">
        <v>127</v>
      </c>
      <c r="DZ950342">
        <v>128</v>
      </c>
      <c r="EA950342">
        <v>129</v>
      </c>
      <c r="EB950342">
        <v>130</v>
      </c>
      <c r="EC950342">
        <v>131</v>
      </c>
      <c r="ED950342">
        <v>132</v>
      </c>
      <c r="EE950342">
        <v>133</v>
      </c>
      <c r="EF950342">
        <v>134</v>
      </c>
      <c r="EG950342">
        <v>135</v>
      </c>
      <c r="EH950342">
        <v>136</v>
      </c>
      <c r="EI950342">
        <v>137</v>
      </c>
      <c r="EJ950342">
        <v>138</v>
      </c>
      <c r="EK950342">
        <v>139</v>
      </c>
      <c r="EL950342">
        <v>140</v>
      </c>
      <c r="EM950342">
        <v>141</v>
      </c>
      <c r="EN950342">
        <v>142</v>
      </c>
      <c r="EO950342">
        <v>143</v>
      </c>
      <c r="EP950342">
        <v>144</v>
      </c>
    </row>
    <row r="950343" spans="2:146">
      <c r="CE950343" t="s">
        <v>451</v>
      </c>
    </row>
    <row r="966658" spans="2:2">
      <c r="B966658">
        <v>200</v>
      </c>
    </row>
    <row r="966659" spans="2:2">
      <c r="B966659">
        <v>200</v>
      </c>
    </row>
    <row r="966660" spans="2:2">
      <c r="B966660">
        <v>800</v>
      </c>
    </row>
    <row r="966661" spans="2:2">
      <c r="B966661">
        <v>200</v>
      </c>
    </row>
    <row r="966662" spans="2:2">
      <c r="B966662">
        <v>1044</v>
      </c>
    </row>
    <row r="966663" spans="2:2">
      <c r="B966663">
        <v>998.40000000000009</v>
      </c>
    </row>
    <row r="966664" spans="2:2">
      <c r="B966664">
        <v>272</v>
      </c>
    </row>
    <row r="966665" spans="2:2">
      <c r="B966665">
        <v>200</v>
      </c>
    </row>
    <row r="966666" spans="2:2">
      <c r="B966666">
        <v>214</v>
      </c>
    </row>
    <row r="966667" spans="2:2">
      <c r="B966667">
        <v>200</v>
      </c>
    </row>
    <row r="966668" spans="2:2">
      <c r="B966668">
        <v>152</v>
      </c>
    </row>
    <row r="966669" spans="2:2">
      <c r="B966669">
        <v>200</v>
      </c>
    </row>
    <row r="966670" spans="2:2">
      <c r="B966670">
        <v>300</v>
      </c>
    </row>
    <row r="966671" spans="2:2">
      <c r="B966671">
        <v>104</v>
      </c>
    </row>
    <row r="966672" spans="2:2">
      <c r="B966672">
        <v>162</v>
      </c>
    </row>
    <row r="966673" spans="2:2">
      <c r="B966673">
        <v>200</v>
      </c>
    </row>
    <row r="966674" spans="2:2">
      <c r="B966674">
        <v>200</v>
      </c>
    </row>
    <row r="966675" spans="2:2">
      <c r="B966675">
        <v>200</v>
      </c>
    </row>
    <row r="966676" spans="2:2">
      <c r="B966676">
        <v>200</v>
      </c>
    </row>
    <row r="966677" spans="2:2">
      <c r="B966677">
        <v>200</v>
      </c>
    </row>
    <row r="966678" spans="2:2">
      <c r="B966678">
        <v>200</v>
      </c>
    </row>
    <row r="966679" spans="2:2">
      <c r="B966679">
        <v>200</v>
      </c>
    </row>
    <row r="966680" spans="2:2">
      <c r="B966680">
        <v>200</v>
      </c>
    </row>
    <row r="966681" spans="2:2">
      <c r="B966681">
        <v>800</v>
      </c>
    </row>
    <row r="966682" spans="2:2">
      <c r="B966682">
        <v>300</v>
      </c>
    </row>
    <row r="966683" spans="2:2">
      <c r="B966683">
        <v>778</v>
      </c>
    </row>
    <row r="966684" spans="2:2">
      <c r="B966684">
        <v>614</v>
      </c>
    </row>
    <row r="966685" spans="2:2">
      <c r="B966685">
        <v>444</v>
      </c>
    </row>
    <row r="966686" spans="2:2">
      <c r="B966686">
        <v>800</v>
      </c>
    </row>
    <row r="966687" spans="2:2">
      <c r="B966687">
        <v>200</v>
      </c>
    </row>
    <row r="966688" spans="2:2">
      <c r="B966688">
        <v>780</v>
      </c>
    </row>
    <row r="966689" spans="2:146">
      <c r="B966689">
        <v>174</v>
      </c>
    </row>
    <row r="966690" spans="2:146">
      <c r="B966690">
        <v>194</v>
      </c>
    </row>
    <row r="966691" spans="2:146">
      <c r="B966691">
        <v>782</v>
      </c>
    </row>
    <row r="966692" spans="2:146">
      <c r="B966692">
        <v>236</v>
      </c>
    </row>
    <row r="966693" spans="2:146">
      <c r="B966693">
        <v>144</v>
      </c>
    </row>
    <row r="966694" spans="2:146">
      <c r="B966694">
        <v>200</v>
      </c>
    </row>
    <row r="966695" spans="2:146">
      <c r="B966695">
        <v>240</v>
      </c>
    </row>
    <row r="966696" spans="2:146">
      <c r="B966696">
        <v>200</v>
      </c>
    </row>
    <row r="966697" spans="2:146">
      <c r="B966697">
        <v>612</v>
      </c>
    </row>
    <row r="966698" spans="2:146">
      <c r="B966698">
        <v>156</v>
      </c>
    </row>
    <row r="966699" spans="2:146">
      <c r="B966699">
        <v>116</v>
      </c>
    </row>
    <row r="966700" spans="2:146">
      <c r="B966700">
        <v>160</v>
      </c>
    </row>
    <row r="966701" spans="2:146">
      <c r="B966701">
        <v>80</v>
      </c>
      <c r="EL966701">
        <v>0.66</v>
      </c>
      <c r="EM966701">
        <v>0.66</v>
      </c>
      <c r="EN966701">
        <v>0.66</v>
      </c>
      <c r="EO966701">
        <v>0.66</v>
      </c>
      <c r="EP966701">
        <v>0.66</v>
      </c>
    </row>
    <row r="966702" spans="2:146">
      <c r="B966702">
        <v>1144</v>
      </c>
      <c r="BV966702">
        <v>5.0999999999999996</v>
      </c>
      <c r="BW966702">
        <v>5.0999999999999996</v>
      </c>
      <c r="DB966702">
        <v>10.210000000000001</v>
      </c>
      <c r="DC966702">
        <v>10.210000000000001</v>
      </c>
      <c r="DD966702">
        <v>10.210000000000001</v>
      </c>
      <c r="DE966702">
        <v>10.210000000000001</v>
      </c>
      <c r="DF966702">
        <v>10.210000000000001</v>
      </c>
      <c r="DG966702">
        <v>10.210000000000001</v>
      </c>
      <c r="DH966702">
        <v>10.210000000000001</v>
      </c>
    </row>
    <row r="966703" spans="2:146">
      <c r="B966703">
        <v>1240</v>
      </c>
      <c r="EE966703">
        <v>8.15</v>
      </c>
      <c r="EF966703">
        <v>8.15</v>
      </c>
      <c r="EG966703">
        <v>8.15</v>
      </c>
      <c r="EH966703">
        <v>8.15</v>
      </c>
      <c r="EI966703">
        <v>8.15</v>
      </c>
      <c r="EJ966703">
        <v>8.15</v>
      </c>
      <c r="EK966703">
        <v>8.15</v>
      </c>
    </row>
    <row r="966704" spans="2:146">
      <c r="B966704">
        <v>2083.2000000000003</v>
      </c>
      <c r="DI966704">
        <v>20.03</v>
      </c>
      <c r="DJ966704">
        <v>20.03</v>
      </c>
      <c r="DQ966704">
        <v>20.03</v>
      </c>
      <c r="DT966704">
        <v>20.03</v>
      </c>
      <c r="DW966704">
        <v>20.03</v>
      </c>
    </row>
    <row r="966705" spans="2:134">
      <c r="B966705">
        <v>357.20000000000005</v>
      </c>
      <c r="DI966705">
        <v>3.88</v>
      </c>
      <c r="DJ966705">
        <v>3.88</v>
      </c>
      <c r="DV966705">
        <v>3.88</v>
      </c>
      <c r="DW966705">
        <v>3.88</v>
      </c>
    </row>
    <row r="966706" spans="2:134">
      <c r="B966706">
        <v>391.20000000000005</v>
      </c>
      <c r="DI966706">
        <v>3.62</v>
      </c>
      <c r="DJ966706">
        <v>3.62</v>
      </c>
      <c r="DR966706">
        <v>3.62</v>
      </c>
      <c r="DU966706">
        <v>3.62</v>
      </c>
      <c r="DV966706">
        <v>3.62</v>
      </c>
    </row>
    <row r="966707" spans="2:134">
      <c r="B966707">
        <v>762.80000000000007</v>
      </c>
      <c r="DI966707">
        <v>6.15</v>
      </c>
      <c r="DJ966707">
        <v>6.15</v>
      </c>
      <c r="DQ966707">
        <v>6.15</v>
      </c>
      <c r="DR966707">
        <v>6.15</v>
      </c>
      <c r="DS966707">
        <v>6.15</v>
      </c>
      <c r="DT966707">
        <v>6.15</v>
      </c>
    </row>
    <row r="966708" spans="2:134">
      <c r="B966708">
        <v>1280</v>
      </c>
      <c r="DI966708">
        <v>10.66</v>
      </c>
      <c r="DJ966708">
        <v>10.66</v>
      </c>
      <c r="DK966708">
        <v>10.66</v>
      </c>
      <c r="DL966708">
        <v>10.66</v>
      </c>
      <c r="DM966708">
        <v>10.66</v>
      </c>
      <c r="DN966708">
        <v>10.66</v>
      </c>
    </row>
    <row r="966709" spans="2:134">
      <c r="B966709">
        <v>234</v>
      </c>
      <c r="CT966709">
        <v>2.5</v>
      </c>
      <c r="CU966709">
        <v>2.5</v>
      </c>
      <c r="CV966709">
        <v>2.5</v>
      </c>
    </row>
    <row r="966710" spans="2:134">
      <c r="B966710">
        <v>354</v>
      </c>
      <c r="CY966710">
        <v>3.98</v>
      </c>
      <c r="CZ966710">
        <v>3.98</v>
      </c>
      <c r="DA966710">
        <v>3.98</v>
      </c>
    </row>
    <row r="966711" spans="2:134">
      <c r="B966711">
        <v>392</v>
      </c>
      <c r="DI966711">
        <v>3.52</v>
      </c>
      <c r="DJ966711">
        <v>3.52</v>
      </c>
      <c r="DL966711">
        <v>3.52</v>
      </c>
      <c r="DO966711">
        <v>3.52</v>
      </c>
    </row>
    <row r="966712" spans="2:134">
      <c r="B966712">
        <v>304</v>
      </c>
      <c r="CE966712">
        <v>3.8</v>
      </c>
      <c r="CF966712">
        <v>3.8</v>
      </c>
    </row>
    <row r="966713" spans="2:134">
      <c r="B966713">
        <v>144</v>
      </c>
      <c r="DZ966713">
        <v>1.62</v>
      </c>
      <c r="EA966713">
        <v>1.62</v>
      </c>
      <c r="EB966713">
        <v>1.62</v>
      </c>
      <c r="EC966713">
        <v>0.81</v>
      </c>
      <c r="ED966713">
        <v>0.81</v>
      </c>
    </row>
    <row r="966714" spans="2:134">
      <c r="B966714">
        <v>602.40000000000009</v>
      </c>
      <c r="BY966714">
        <v>6.02</v>
      </c>
      <c r="BZ966714">
        <v>6.02</v>
      </c>
      <c r="CB966714">
        <v>3.01</v>
      </c>
      <c r="CC966714">
        <v>3.01</v>
      </c>
      <c r="CD966714">
        <v>3.01</v>
      </c>
      <c r="CI966714">
        <v>6.02</v>
      </c>
      <c r="CJ966714">
        <v>6.02</v>
      </c>
      <c r="CK966714">
        <v>6.02</v>
      </c>
    </row>
    <row r="966715" spans="2:134">
      <c r="B966715">
        <v>307.60000000000002</v>
      </c>
      <c r="BY966715">
        <v>3.34</v>
      </c>
      <c r="BZ966715">
        <v>3.34</v>
      </c>
      <c r="CG966715">
        <v>3.34</v>
      </c>
      <c r="CH966715">
        <v>3.34</v>
      </c>
    </row>
    <row r="966716" spans="2:134">
      <c r="B966716">
        <v>358</v>
      </c>
      <c r="BY966716">
        <v>2.37</v>
      </c>
      <c r="BZ966716">
        <v>2.37</v>
      </c>
      <c r="CA966716">
        <v>2.37</v>
      </c>
      <c r="DX966716">
        <v>4.74</v>
      </c>
      <c r="DY966716">
        <v>4.74</v>
      </c>
    </row>
    <row r="966717" spans="2:134">
      <c r="B966717">
        <v>286</v>
      </c>
      <c r="BT966717">
        <v>1.43</v>
      </c>
      <c r="BV966717">
        <v>1.43</v>
      </c>
      <c r="BW966717">
        <v>1.43</v>
      </c>
      <c r="BX966717">
        <v>1.43</v>
      </c>
      <c r="CO966717">
        <v>2.86</v>
      </c>
      <c r="CP966717">
        <v>2.86</v>
      </c>
      <c r="CQ966717">
        <v>2.86</v>
      </c>
      <c r="CR966717">
        <v>2.86</v>
      </c>
      <c r="CS966717">
        <v>2.86</v>
      </c>
    </row>
    <row r="966718" spans="2:134">
      <c r="B966718">
        <v>410</v>
      </c>
      <c r="BY966718">
        <v>2.88</v>
      </c>
      <c r="BZ966718">
        <v>2.88</v>
      </c>
      <c r="CA966718">
        <v>2.88</v>
      </c>
      <c r="CW966718">
        <v>5.76</v>
      </c>
      <c r="CX966718">
        <v>5.76</v>
      </c>
    </row>
    <row r="966719" spans="2:134">
      <c r="B966719">
        <v>346</v>
      </c>
      <c r="BR966719">
        <v>3.6</v>
      </c>
      <c r="BS966719">
        <v>3.6</v>
      </c>
      <c r="BT966719">
        <v>1.8</v>
      </c>
      <c r="CL966719">
        <v>3.6</v>
      </c>
      <c r="CM966719">
        <v>3.6</v>
      </c>
      <c r="CN966719">
        <v>3.6</v>
      </c>
    </row>
    <row r="966720" spans="2:134">
      <c r="B966720">
        <v>302</v>
      </c>
      <c r="BR966720">
        <v>3.28</v>
      </c>
      <c r="BS966720">
        <v>3.28</v>
      </c>
      <c r="BT966720">
        <v>1.64</v>
      </c>
      <c r="BU966720">
        <v>1.64</v>
      </c>
      <c r="CL966720">
        <v>3.28</v>
      </c>
      <c r="CM966720">
        <v>3.28</v>
      </c>
      <c r="CN966720">
        <v>3.28</v>
      </c>
    </row>
    <row r="966721" spans="2:146">
      <c r="B966721">
        <v>204</v>
      </c>
      <c r="BR966721">
        <v>2.12</v>
      </c>
      <c r="BS966721">
        <v>2.12</v>
      </c>
      <c r="BT966721">
        <v>1.06</v>
      </c>
      <c r="CL966721">
        <v>2.12</v>
      </c>
      <c r="CM966721">
        <v>2.12</v>
      </c>
      <c r="CN966721">
        <v>2.12</v>
      </c>
    </row>
    <row r="966723" spans="2:146">
      <c r="B966723">
        <v>26358.800000000003</v>
      </c>
      <c r="BQ966723">
        <v>0</v>
      </c>
      <c r="BR966723">
        <v>9</v>
      </c>
      <c r="BS966723">
        <v>9</v>
      </c>
      <c r="BT966723">
        <v>5.93</v>
      </c>
      <c r="BU966723">
        <v>1.64</v>
      </c>
      <c r="BV966723">
        <v>6.5299999999999994</v>
      </c>
      <c r="BW966723">
        <v>6.5299999999999994</v>
      </c>
      <c r="BX966723">
        <v>1.43</v>
      </c>
      <c r="BY966723">
        <v>14.61</v>
      </c>
      <c r="BZ966723">
        <v>14.61</v>
      </c>
      <c r="CA966723">
        <v>5.25</v>
      </c>
      <c r="CB966723">
        <v>3.01</v>
      </c>
      <c r="CC966723">
        <v>3.01</v>
      </c>
      <c r="CD966723">
        <v>3.01</v>
      </c>
      <c r="CE966723">
        <v>3.8</v>
      </c>
      <c r="CF966723">
        <v>3.8</v>
      </c>
      <c r="CG966723">
        <v>3.34</v>
      </c>
      <c r="CH966723">
        <v>3.34</v>
      </c>
      <c r="CI966723">
        <v>6.02</v>
      </c>
      <c r="CJ966723">
        <v>6.02</v>
      </c>
      <c r="CK966723">
        <v>6.02</v>
      </c>
      <c r="CL966723">
        <v>9</v>
      </c>
      <c r="CM966723">
        <v>9</v>
      </c>
      <c r="CN966723">
        <v>9</v>
      </c>
      <c r="CO966723">
        <v>2.86</v>
      </c>
      <c r="CP966723">
        <v>2.86</v>
      </c>
      <c r="CQ966723">
        <v>2.86</v>
      </c>
      <c r="CR966723">
        <v>2.86</v>
      </c>
      <c r="CS966723">
        <v>2.86</v>
      </c>
      <c r="CT966723">
        <v>2.5</v>
      </c>
      <c r="CU966723">
        <v>2.5</v>
      </c>
      <c r="CV966723">
        <v>2.5</v>
      </c>
      <c r="CW966723">
        <v>5.76</v>
      </c>
      <c r="CX966723">
        <v>5.76</v>
      </c>
      <c r="CY966723">
        <v>3.98</v>
      </c>
      <c r="CZ966723">
        <v>3.98</v>
      </c>
      <c r="DA966723">
        <v>3.98</v>
      </c>
      <c r="DB966723">
        <v>10.210000000000001</v>
      </c>
      <c r="DC966723">
        <v>10.210000000000001</v>
      </c>
      <c r="DD966723">
        <v>10.210000000000001</v>
      </c>
      <c r="DE966723">
        <v>10.210000000000001</v>
      </c>
      <c r="DF966723">
        <v>10.210000000000001</v>
      </c>
      <c r="DG966723">
        <v>10.210000000000001</v>
      </c>
      <c r="DH966723">
        <v>10.210000000000001</v>
      </c>
      <c r="DI966723">
        <v>47.860000000000007</v>
      </c>
      <c r="DJ966723">
        <v>47.860000000000007</v>
      </c>
      <c r="DK966723">
        <v>10.66</v>
      </c>
      <c r="DL966723">
        <v>14.18</v>
      </c>
      <c r="DM966723">
        <v>10.66</v>
      </c>
      <c r="DN966723">
        <v>10.66</v>
      </c>
      <c r="DO966723">
        <v>3.52</v>
      </c>
      <c r="DP966723">
        <v>0</v>
      </c>
      <c r="DQ966723">
        <v>26.18</v>
      </c>
      <c r="DR966723">
        <v>9.77</v>
      </c>
      <c r="DS966723">
        <v>6.15</v>
      </c>
      <c r="DT966723">
        <v>26.18</v>
      </c>
      <c r="DU966723">
        <v>3.62</v>
      </c>
      <c r="DV966723">
        <v>7.5</v>
      </c>
      <c r="DW966723">
        <v>23.91</v>
      </c>
      <c r="DX966723">
        <v>4.74</v>
      </c>
      <c r="DY966723">
        <v>4.74</v>
      </c>
      <c r="DZ966723">
        <v>1.62</v>
      </c>
      <c r="EA966723">
        <v>1.62</v>
      </c>
      <c r="EB966723">
        <v>1.62</v>
      </c>
      <c r="EC966723">
        <v>0.81</v>
      </c>
      <c r="ED966723">
        <v>0.81</v>
      </c>
      <c r="EE966723">
        <v>8.15</v>
      </c>
      <c r="EF966723">
        <v>8.15</v>
      </c>
      <c r="EG966723">
        <v>8.15</v>
      </c>
      <c r="EH966723">
        <v>8.15</v>
      </c>
      <c r="EI966723">
        <v>8.15</v>
      </c>
      <c r="EJ966723">
        <v>8.15</v>
      </c>
      <c r="EK966723">
        <v>8.15</v>
      </c>
      <c r="EL966723">
        <v>0.66</v>
      </c>
      <c r="EM966723">
        <v>0.66</v>
      </c>
      <c r="EN966723">
        <v>0.66</v>
      </c>
      <c r="EO966723">
        <v>0.66</v>
      </c>
      <c r="EP966723">
        <v>0.66</v>
      </c>
    </row>
    <row r="966724" spans="2:146">
      <c r="B966724" t="s">
        <v>265</v>
      </c>
      <c r="BQ966724" t="s">
        <v>345</v>
      </c>
      <c r="BR966724" t="s">
        <v>131</v>
      </c>
      <c r="BS966724" t="s">
        <v>131</v>
      </c>
      <c r="BT966724" t="s">
        <v>357</v>
      </c>
      <c r="BU966724" t="s">
        <v>131</v>
      </c>
      <c r="BV966724" t="s">
        <v>360</v>
      </c>
      <c r="BW966724" t="s">
        <v>360</v>
      </c>
      <c r="BX966724" t="s">
        <v>360</v>
      </c>
      <c r="BY966724" t="s">
        <v>364</v>
      </c>
      <c r="BZ966724" t="s">
        <v>364</v>
      </c>
      <c r="CA966724" t="s">
        <v>364</v>
      </c>
      <c r="CB966724" t="s">
        <v>368</v>
      </c>
      <c r="CC966724" t="s">
        <v>368</v>
      </c>
      <c r="CD966724" t="s">
        <v>368</v>
      </c>
      <c r="CE966724" t="s">
        <v>352</v>
      </c>
      <c r="CF966724" t="s">
        <v>352</v>
      </c>
      <c r="CG966724" t="s">
        <v>372</v>
      </c>
      <c r="CH966724" t="s">
        <v>372</v>
      </c>
      <c r="CI966724" t="s">
        <v>375</v>
      </c>
      <c r="CJ966724" t="s">
        <v>375</v>
      </c>
      <c r="CK966724" t="s">
        <v>375</v>
      </c>
      <c r="CL966724" t="s">
        <v>379</v>
      </c>
      <c r="CM966724" t="s">
        <v>379</v>
      </c>
      <c r="CN966724" t="s">
        <v>379</v>
      </c>
      <c r="CO966724" t="s">
        <v>383</v>
      </c>
      <c r="CP966724" t="s">
        <v>383</v>
      </c>
      <c r="CQ966724" t="s">
        <v>383</v>
      </c>
      <c r="CR966724" t="s">
        <v>383</v>
      </c>
      <c r="CS966724" t="s">
        <v>383</v>
      </c>
      <c r="CT966724" t="s">
        <v>389</v>
      </c>
      <c r="CU966724" t="s">
        <v>389</v>
      </c>
      <c r="CV966724" t="s">
        <v>389</v>
      </c>
      <c r="CW966724" t="s">
        <v>393</v>
      </c>
      <c r="CX966724" t="s">
        <v>393</v>
      </c>
      <c r="CY966724" t="s">
        <v>396</v>
      </c>
      <c r="CZ966724" t="s">
        <v>396</v>
      </c>
      <c r="DA966724" t="s">
        <v>396</v>
      </c>
      <c r="DB966724" t="s">
        <v>400</v>
      </c>
      <c r="DC966724" t="s">
        <v>400</v>
      </c>
      <c r="DD966724" t="s">
        <v>400</v>
      </c>
      <c r="DE966724" t="s">
        <v>400</v>
      </c>
      <c r="DF966724" t="s">
        <v>400</v>
      </c>
      <c r="DG966724" t="s">
        <v>400</v>
      </c>
      <c r="DH966724" t="s">
        <v>400</v>
      </c>
      <c r="DI966724" t="s">
        <v>121</v>
      </c>
      <c r="DJ966724" t="s">
        <v>121</v>
      </c>
      <c r="DK966724" t="s">
        <v>121</v>
      </c>
      <c r="DL966724" t="s">
        <v>121</v>
      </c>
      <c r="DM966724" t="s">
        <v>121</v>
      </c>
      <c r="DN966724" t="s">
        <v>121</v>
      </c>
      <c r="DO966724" t="s">
        <v>121</v>
      </c>
      <c r="DP966724" t="s">
        <v>121</v>
      </c>
      <c r="DQ966724" t="s">
        <v>121</v>
      </c>
      <c r="DR966724" t="s">
        <v>121</v>
      </c>
      <c r="DS966724" t="s">
        <v>121</v>
      </c>
      <c r="DT966724" t="s">
        <v>121</v>
      </c>
      <c r="DU966724" t="s">
        <v>121</v>
      </c>
      <c r="DV966724" t="s">
        <v>121</v>
      </c>
      <c r="DW966724" t="s">
        <v>121</v>
      </c>
      <c r="DX966724" t="s">
        <v>423</v>
      </c>
      <c r="DY966724" t="s">
        <v>423</v>
      </c>
      <c r="DZ966724" t="s">
        <v>426</v>
      </c>
      <c r="EA966724" t="s">
        <v>426</v>
      </c>
      <c r="EB966724" t="s">
        <v>426</v>
      </c>
      <c r="EC966724" t="s">
        <v>426</v>
      </c>
      <c r="ED966724" t="s">
        <v>426</v>
      </c>
      <c r="EE966724" t="s">
        <v>432</v>
      </c>
      <c r="EF966724" t="s">
        <v>432</v>
      </c>
      <c r="EG966724" t="s">
        <v>432</v>
      </c>
      <c r="EH966724" t="s">
        <v>432</v>
      </c>
      <c r="EI966724" t="s">
        <v>432</v>
      </c>
      <c r="EJ966724" t="s">
        <v>432</v>
      </c>
      <c r="EK966724" t="s">
        <v>432</v>
      </c>
      <c r="EL966724" t="s">
        <v>440</v>
      </c>
      <c r="EM966724" t="s">
        <v>440</v>
      </c>
      <c r="EN966724" t="s">
        <v>440</v>
      </c>
      <c r="EO966724" t="s">
        <v>440</v>
      </c>
      <c r="EP966724" t="s">
        <v>440</v>
      </c>
    </row>
    <row r="966725" spans="2:146">
      <c r="BQ966725" t="s">
        <v>351</v>
      </c>
      <c r="BR966725" t="s">
        <v>355</v>
      </c>
      <c r="BS966725" t="s">
        <v>356</v>
      </c>
      <c r="BT966725" t="s">
        <v>358</v>
      </c>
      <c r="BU966725" t="s">
        <v>359</v>
      </c>
      <c r="BV966725" t="s">
        <v>361</v>
      </c>
      <c r="BW966725" t="s">
        <v>362</v>
      </c>
      <c r="BX966725" t="s">
        <v>363</v>
      </c>
      <c r="BY966725" t="s">
        <v>365</v>
      </c>
      <c r="BZ966725" t="s">
        <v>366</v>
      </c>
      <c r="CA966725" t="s">
        <v>367</v>
      </c>
      <c r="CB966725" t="s">
        <v>369</v>
      </c>
      <c r="CC966725" t="s">
        <v>370</v>
      </c>
      <c r="CD966725" t="s">
        <v>371</v>
      </c>
      <c r="CE966725" t="s">
        <v>353</v>
      </c>
      <c r="CF966725" t="s">
        <v>354</v>
      </c>
      <c r="CG966725" t="s">
        <v>373</v>
      </c>
      <c r="CH966725" t="s">
        <v>374</v>
      </c>
      <c r="CI966725" t="s">
        <v>376</v>
      </c>
      <c r="CJ966725" t="s">
        <v>377</v>
      </c>
      <c r="CK966725" t="s">
        <v>378</v>
      </c>
      <c r="CL966725" t="s">
        <v>380</v>
      </c>
      <c r="CM966725" t="s">
        <v>381</v>
      </c>
      <c r="CN966725" t="s">
        <v>382</v>
      </c>
      <c r="CO966725" t="s">
        <v>384</v>
      </c>
      <c r="CP966725" t="s">
        <v>385</v>
      </c>
      <c r="CQ966725" t="s">
        <v>386</v>
      </c>
      <c r="CR966725" t="s">
        <v>387</v>
      </c>
      <c r="CS966725" t="s">
        <v>388</v>
      </c>
      <c r="CT966725" t="s">
        <v>390</v>
      </c>
      <c r="CU966725" t="s">
        <v>391</v>
      </c>
      <c r="CV966725" t="s">
        <v>392</v>
      </c>
      <c r="CW966725" t="s">
        <v>394</v>
      </c>
      <c r="CX966725" t="s">
        <v>395</v>
      </c>
      <c r="CY966725" t="s">
        <v>397</v>
      </c>
      <c r="CZ966725" t="s">
        <v>398</v>
      </c>
      <c r="DA966725" t="s">
        <v>399</v>
      </c>
      <c r="DB966725" t="s">
        <v>401</v>
      </c>
      <c r="DC966725" t="s">
        <v>402</v>
      </c>
      <c r="DD966725" t="s">
        <v>403</v>
      </c>
      <c r="DE966725" t="s">
        <v>404</v>
      </c>
      <c r="DF966725" t="s">
        <v>405</v>
      </c>
      <c r="DG966725" t="s">
        <v>406</v>
      </c>
      <c r="DH966725" t="s">
        <v>407</v>
      </c>
      <c r="DI966725" t="s">
        <v>408</v>
      </c>
      <c r="DJ966725" t="s">
        <v>409</v>
      </c>
      <c r="DK966725" t="s">
        <v>410</v>
      </c>
      <c r="DL966725" t="s">
        <v>411</v>
      </c>
      <c r="DM966725" t="s">
        <v>412</v>
      </c>
      <c r="DN966725" t="s">
        <v>413</v>
      </c>
      <c r="DO966725" t="s">
        <v>414</v>
      </c>
      <c r="DP966725" t="s">
        <v>415</v>
      </c>
      <c r="DQ966725" t="s">
        <v>416</v>
      </c>
      <c r="DR966725" t="s">
        <v>417</v>
      </c>
      <c r="DS966725" t="s">
        <v>418</v>
      </c>
      <c r="DT966725" t="s">
        <v>419</v>
      </c>
      <c r="DU966725" t="s">
        <v>420</v>
      </c>
      <c r="DV966725" t="s">
        <v>421</v>
      </c>
      <c r="DW966725" t="s">
        <v>422</v>
      </c>
      <c r="DX966725" t="s">
        <v>424</v>
      </c>
      <c r="DY966725" t="s">
        <v>425</v>
      </c>
      <c r="DZ966725" t="s">
        <v>427</v>
      </c>
      <c r="EA966725" t="s">
        <v>428</v>
      </c>
      <c r="EB966725" t="s">
        <v>429</v>
      </c>
      <c r="EC966725" t="s">
        <v>430</v>
      </c>
      <c r="ED966725" t="s">
        <v>431</v>
      </c>
      <c r="EE966725" t="s">
        <v>433</v>
      </c>
      <c r="EF966725" t="s">
        <v>434</v>
      </c>
      <c r="EG966725" t="s">
        <v>435</v>
      </c>
      <c r="EH966725" t="s">
        <v>436</v>
      </c>
      <c r="EI966725" t="s">
        <v>437</v>
      </c>
      <c r="EJ966725" t="s">
        <v>438</v>
      </c>
      <c r="EK966725" t="s">
        <v>439</v>
      </c>
      <c r="EL966725" t="s">
        <v>441</v>
      </c>
      <c r="EM966725" t="s">
        <v>442</v>
      </c>
      <c r="EN966725" t="s">
        <v>443</v>
      </c>
      <c r="EO966725" t="s">
        <v>444</v>
      </c>
      <c r="EP966725" t="s">
        <v>445</v>
      </c>
    </row>
    <row r="966726" spans="2:146">
      <c r="BQ966726">
        <v>67</v>
      </c>
      <c r="BR966726">
        <v>68</v>
      </c>
      <c r="BS966726">
        <v>69</v>
      </c>
      <c r="BT966726">
        <v>70</v>
      </c>
      <c r="BU966726">
        <v>71</v>
      </c>
      <c r="BV966726">
        <v>72</v>
      </c>
      <c r="BW966726">
        <v>73</v>
      </c>
      <c r="BX966726">
        <v>74</v>
      </c>
      <c r="BY966726">
        <v>75</v>
      </c>
      <c r="BZ966726">
        <v>76</v>
      </c>
      <c r="CA966726">
        <v>77</v>
      </c>
      <c r="CB966726">
        <v>78</v>
      </c>
      <c r="CC966726">
        <v>79</v>
      </c>
      <c r="CD966726">
        <v>80</v>
      </c>
      <c r="CE966726">
        <v>81</v>
      </c>
      <c r="CF966726">
        <v>82</v>
      </c>
      <c r="CG966726">
        <v>83</v>
      </c>
      <c r="CH966726">
        <v>84</v>
      </c>
      <c r="CI966726">
        <v>85</v>
      </c>
      <c r="CJ966726">
        <v>86</v>
      </c>
      <c r="CK966726">
        <v>87</v>
      </c>
      <c r="CL966726">
        <v>88</v>
      </c>
      <c r="CM966726">
        <v>89</v>
      </c>
      <c r="CN966726">
        <v>90</v>
      </c>
      <c r="CO966726">
        <v>91</v>
      </c>
      <c r="CP966726">
        <v>92</v>
      </c>
      <c r="CQ966726">
        <v>93</v>
      </c>
      <c r="CR966726">
        <v>94</v>
      </c>
      <c r="CS966726">
        <v>95</v>
      </c>
      <c r="CT966726">
        <v>96</v>
      </c>
      <c r="CU966726">
        <v>97</v>
      </c>
      <c r="CV966726">
        <v>98</v>
      </c>
      <c r="CW966726">
        <v>99</v>
      </c>
      <c r="CX966726">
        <v>100</v>
      </c>
      <c r="CY966726">
        <v>101</v>
      </c>
      <c r="CZ966726">
        <v>102</v>
      </c>
      <c r="DA966726">
        <v>103</v>
      </c>
      <c r="DB966726">
        <v>104</v>
      </c>
      <c r="DC966726">
        <v>105</v>
      </c>
      <c r="DD966726">
        <v>106</v>
      </c>
      <c r="DE966726">
        <v>107</v>
      </c>
      <c r="DF966726">
        <v>108</v>
      </c>
      <c r="DG966726">
        <v>109</v>
      </c>
      <c r="DH966726">
        <v>110</v>
      </c>
      <c r="DI966726">
        <v>111</v>
      </c>
      <c r="DJ966726">
        <v>112</v>
      </c>
      <c r="DK966726">
        <v>113</v>
      </c>
      <c r="DL966726">
        <v>114</v>
      </c>
      <c r="DM966726">
        <v>115</v>
      </c>
      <c r="DN966726">
        <v>116</v>
      </c>
      <c r="DO966726">
        <v>117</v>
      </c>
      <c r="DP966726">
        <v>118</v>
      </c>
      <c r="DQ966726">
        <v>119</v>
      </c>
      <c r="DR966726">
        <v>120</v>
      </c>
      <c r="DS966726">
        <v>121</v>
      </c>
      <c r="DT966726">
        <v>122</v>
      </c>
      <c r="DU966726">
        <v>123</v>
      </c>
      <c r="DV966726">
        <v>124</v>
      </c>
      <c r="DW966726">
        <v>125</v>
      </c>
      <c r="DX966726">
        <v>126</v>
      </c>
      <c r="DY966726">
        <v>127</v>
      </c>
      <c r="DZ966726">
        <v>128</v>
      </c>
      <c r="EA966726">
        <v>129</v>
      </c>
      <c r="EB966726">
        <v>130</v>
      </c>
      <c r="EC966726">
        <v>131</v>
      </c>
      <c r="ED966726">
        <v>132</v>
      </c>
      <c r="EE966726">
        <v>133</v>
      </c>
      <c r="EF966726">
        <v>134</v>
      </c>
      <c r="EG966726">
        <v>135</v>
      </c>
      <c r="EH966726">
        <v>136</v>
      </c>
      <c r="EI966726">
        <v>137</v>
      </c>
      <c r="EJ966726">
        <v>138</v>
      </c>
      <c r="EK966726">
        <v>139</v>
      </c>
      <c r="EL966726">
        <v>140</v>
      </c>
      <c r="EM966726">
        <v>141</v>
      </c>
      <c r="EN966726">
        <v>142</v>
      </c>
      <c r="EO966726">
        <v>143</v>
      </c>
      <c r="EP966726">
        <v>144</v>
      </c>
    </row>
    <row r="966727" spans="2:146">
      <c r="CE966727" t="s">
        <v>451</v>
      </c>
    </row>
    <row r="983042" spans="2:2">
      <c r="B983042">
        <v>200</v>
      </c>
    </row>
    <row r="983043" spans="2:2">
      <c r="B983043">
        <v>200</v>
      </c>
    </row>
    <row r="983044" spans="2:2">
      <c r="B983044">
        <v>800</v>
      </c>
    </row>
    <row r="983045" spans="2:2">
      <c r="B983045">
        <v>200</v>
      </c>
    </row>
    <row r="983046" spans="2:2">
      <c r="B983046">
        <v>1044</v>
      </c>
    </row>
    <row r="983047" spans="2:2">
      <c r="B983047">
        <v>998.40000000000009</v>
      </c>
    </row>
    <row r="983048" spans="2:2">
      <c r="B983048">
        <v>272</v>
      </c>
    </row>
    <row r="983049" spans="2:2">
      <c r="B983049">
        <v>200</v>
      </c>
    </row>
    <row r="983050" spans="2:2">
      <c r="B983050">
        <v>214</v>
      </c>
    </row>
    <row r="983051" spans="2:2">
      <c r="B983051">
        <v>200</v>
      </c>
    </row>
    <row r="983052" spans="2:2">
      <c r="B983052">
        <v>152</v>
      </c>
    </row>
    <row r="983053" spans="2:2">
      <c r="B983053">
        <v>200</v>
      </c>
    </row>
    <row r="983054" spans="2:2">
      <c r="B983054">
        <v>300</v>
      </c>
    </row>
    <row r="983055" spans="2:2">
      <c r="B983055">
        <v>104</v>
      </c>
    </row>
    <row r="983056" spans="2:2">
      <c r="B983056">
        <v>162</v>
      </c>
    </row>
    <row r="983057" spans="2:2">
      <c r="B983057">
        <v>200</v>
      </c>
    </row>
    <row r="983058" spans="2:2">
      <c r="B983058">
        <v>200</v>
      </c>
    </row>
    <row r="983059" spans="2:2">
      <c r="B983059">
        <v>200</v>
      </c>
    </row>
    <row r="983060" spans="2:2">
      <c r="B983060">
        <v>200</v>
      </c>
    </row>
    <row r="983061" spans="2:2">
      <c r="B983061">
        <v>200</v>
      </c>
    </row>
    <row r="983062" spans="2:2">
      <c r="B983062">
        <v>200</v>
      </c>
    </row>
    <row r="983063" spans="2:2">
      <c r="B983063">
        <v>200</v>
      </c>
    </row>
    <row r="983064" spans="2:2">
      <c r="B983064">
        <v>200</v>
      </c>
    </row>
    <row r="983065" spans="2:2">
      <c r="B983065">
        <v>800</v>
      </c>
    </row>
    <row r="983066" spans="2:2">
      <c r="B983066">
        <v>300</v>
      </c>
    </row>
    <row r="983067" spans="2:2">
      <c r="B983067">
        <v>778</v>
      </c>
    </row>
    <row r="983068" spans="2:2">
      <c r="B983068">
        <v>614</v>
      </c>
    </row>
    <row r="983069" spans="2:2">
      <c r="B983069">
        <v>444</v>
      </c>
    </row>
    <row r="983070" spans="2:2">
      <c r="B983070">
        <v>800</v>
      </c>
    </row>
    <row r="983071" spans="2:2">
      <c r="B983071">
        <v>200</v>
      </c>
    </row>
    <row r="983072" spans="2:2">
      <c r="B983072">
        <v>780</v>
      </c>
    </row>
    <row r="983073" spans="2:146">
      <c r="B983073">
        <v>174</v>
      </c>
    </row>
    <row r="983074" spans="2:146">
      <c r="B983074">
        <v>194</v>
      </c>
    </row>
    <row r="983075" spans="2:146">
      <c r="B983075">
        <v>782</v>
      </c>
    </row>
    <row r="983076" spans="2:146">
      <c r="B983076">
        <v>236</v>
      </c>
    </row>
    <row r="983077" spans="2:146">
      <c r="B983077">
        <v>144</v>
      </c>
    </row>
    <row r="983078" spans="2:146">
      <c r="B983078">
        <v>200</v>
      </c>
    </row>
    <row r="983079" spans="2:146">
      <c r="B983079">
        <v>240</v>
      </c>
    </row>
    <row r="983080" spans="2:146">
      <c r="B983080">
        <v>200</v>
      </c>
    </row>
    <row r="983081" spans="2:146">
      <c r="B983081">
        <v>612</v>
      </c>
    </row>
    <row r="983082" spans="2:146">
      <c r="B983082">
        <v>156</v>
      </c>
    </row>
    <row r="983083" spans="2:146">
      <c r="B983083">
        <v>116</v>
      </c>
    </row>
    <row r="983084" spans="2:146">
      <c r="B983084">
        <v>160</v>
      </c>
    </row>
    <row r="983085" spans="2:146">
      <c r="B983085">
        <v>80</v>
      </c>
      <c r="EL983085">
        <v>0.66</v>
      </c>
      <c r="EM983085">
        <v>0.66</v>
      </c>
      <c r="EN983085">
        <v>0.66</v>
      </c>
      <c r="EO983085">
        <v>0.66</v>
      </c>
      <c r="EP983085">
        <v>0.66</v>
      </c>
    </row>
    <row r="983086" spans="2:146">
      <c r="B983086">
        <v>1144</v>
      </c>
      <c r="BV983086">
        <v>5.0999999999999996</v>
      </c>
      <c r="BW983086">
        <v>5.0999999999999996</v>
      </c>
      <c r="DB983086">
        <v>10.210000000000001</v>
      </c>
      <c r="DC983086">
        <v>10.210000000000001</v>
      </c>
      <c r="DD983086">
        <v>10.210000000000001</v>
      </c>
      <c r="DE983086">
        <v>10.210000000000001</v>
      </c>
      <c r="DF983086">
        <v>10.210000000000001</v>
      </c>
      <c r="DG983086">
        <v>10.210000000000001</v>
      </c>
      <c r="DH983086">
        <v>10.210000000000001</v>
      </c>
    </row>
    <row r="983087" spans="2:146">
      <c r="B983087">
        <v>1240</v>
      </c>
      <c r="EE983087">
        <v>8.15</v>
      </c>
      <c r="EF983087">
        <v>8.15</v>
      </c>
      <c r="EG983087">
        <v>8.15</v>
      </c>
      <c r="EH983087">
        <v>8.15</v>
      </c>
      <c r="EI983087">
        <v>8.15</v>
      </c>
      <c r="EJ983087">
        <v>8.15</v>
      </c>
      <c r="EK983087">
        <v>8.15</v>
      </c>
    </row>
    <row r="983088" spans="2:146">
      <c r="B983088">
        <v>2083.2000000000003</v>
      </c>
      <c r="DI983088">
        <v>20.03</v>
      </c>
      <c r="DJ983088">
        <v>20.03</v>
      </c>
      <c r="DQ983088">
        <v>20.03</v>
      </c>
      <c r="DT983088">
        <v>20.03</v>
      </c>
      <c r="DW983088">
        <v>20.03</v>
      </c>
    </row>
    <row r="983089" spans="2:134">
      <c r="B983089">
        <v>357.20000000000005</v>
      </c>
      <c r="DI983089">
        <v>3.88</v>
      </c>
      <c r="DJ983089">
        <v>3.88</v>
      </c>
      <c r="DV983089">
        <v>3.88</v>
      </c>
      <c r="DW983089">
        <v>3.88</v>
      </c>
    </row>
    <row r="983090" spans="2:134">
      <c r="B983090">
        <v>391.20000000000005</v>
      </c>
      <c r="DI983090">
        <v>3.62</v>
      </c>
      <c r="DJ983090">
        <v>3.62</v>
      </c>
      <c r="DR983090">
        <v>3.62</v>
      </c>
      <c r="DU983090">
        <v>3.62</v>
      </c>
      <c r="DV983090">
        <v>3.62</v>
      </c>
    </row>
    <row r="983091" spans="2:134">
      <c r="B983091">
        <v>762.80000000000007</v>
      </c>
      <c r="DI983091">
        <v>6.15</v>
      </c>
      <c r="DJ983091">
        <v>6.15</v>
      </c>
      <c r="DQ983091">
        <v>6.15</v>
      </c>
      <c r="DR983091">
        <v>6.15</v>
      </c>
      <c r="DS983091">
        <v>6.15</v>
      </c>
      <c r="DT983091">
        <v>6.15</v>
      </c>
    </row>
    <row r="983092" spans="2:134">
      <c r="B983092">
        <v>1280</v>
      </c>
      <c r="DI983092">
        <v>10.66</v>
      </c>
      <c r="DJ983092">
        <v>10.66</v>
      </c>
      <c r="DK983092">
        <v>10.66</v>
      </c>
      <c r="DL983092">
        <v>10.66</v>
      </c>
      <c r="DM983092">
        <v>10.66</v>
      </c>
      <c r="DN983092">
        <v>10.66</v>
      </c>
    </row>
    <row r="983093" spans="2:134">
      <c r="B983093">
        <v>234</v>
      </c>
      <c r="CT983093">
        <v>2.5</v>
      </c>
      <c r="CU983093">
        <v>2.5</v>
      </c>
      <c r="CV983093">
        <v>2.5</v>
      </c>
    </row>
    <row r="983094" spans="2:134">
      <c r="B983094">
        <v>354</v>
      </c>
      <c r="CY983094">
        <v>3.98</v>
      </c>
      <c r="CZ983094">
        <v>3.98</v>
      </c>
      <c r="DA983094">
        <v>3.98</v>
      </c>
    </row>
    <row r="983095" spans="2:134">
      <c r="B983095">
        <v>392</v>
      </c>
      <c r="DI983095">
        <v>3.52</v>
      </c>
      <c r="DJ983095">
        <v>3.52</v>
      </c>
      <c r="DL983095">
        <v>3.52</v>
      </c>
      <c r="DO983095">
        <v>3.52</v>
      </c>
    </row>
    <row r="983096" spans="2:134">
      <c r="B983096">
        <v>304</v>
      </c>
      <c r="CE983096">
        <v>3.8</v>
      </c>
      <c r="CF983096">
        <v>3.8</v>
      </c>
    </row>
    <row r="983097" spans="2:134">
      <c r="B983097">
        <v>144</v>
      </c>
      <c r="DZ983097">
        <v>1.62</v>
      </c>
      <c r="EA983097">
        <v>1.62</v>
      </c>
      <c r="EB983097">
        <v>1.62</v>
      </c>
      <c r="EC983097">
        <v>0.81</v>
      </c>
      <c r="ED983097">
        <v>0.81</v>
      </c>
    </row>
    <row r="983098" spans="2:134">
      <c r="B983098">
        <v>602.40000000000009</v>
      </c>
      <c r="BY983098">
        <v>6.02</v>
      </c>
      <c r="BZ983098">
        <v>6.02</v>
      </c>
      <c r="CB983098">
        <v>3.01</v>
      </c>
      <c r="CC983098">
        <v>3.01</v>
      </c>
      <c r="CD983098">
        <v>3.01</v>
      </c>
      <c r="CI983098">
        <v>6.02</v>
      </c>
      <c r="CJ983098">
        <v>6.02</v>
      </c>
      <c r="CK983098">
        <v>6.02</v>
      </c>
    </row>
    <row r="983099" spans="2:134">
      <c r="B983099">
        <v>307.60000000000002</v>
      </c>
      <c r="BY983099">
        <v>3.34</v>
      </c>
      <c r="BZ983099">
        <v>3.34</v>
      </c>
      <c r="CG983099">
        <v>3.34</v>
      </c>
      <c r="CH983099">
        <v>3.34</v>
      </c>
    </row>
    <row r="983100" spans="2:134">
      <c r="B983100">
        <v>358</v>
      </c>
      <c r="BY983100">
        <v>2.37</v>
      </c>
      <c r="BZ983100">
        <v>2.37</v>
      </c>
      <c r="CA983100">
        <v>2.37</v>
      </c>
      <c r="DX983100">
        <v>4.74</v>
      </c>
      <c r="DY983100">
        <v>4.74</v>
      </c>
    </row>
    <row r="983101" spans="2:134">
      <c r="B983101">
        <v>286</v>
      </c>
      <c r="BT983101">
        <v>1.43</v>
      </c>
      <c r="BV983101">
        <v>1.43</v>
      </c>
      <c r="BW983101">
        <v>1.43</v>
      </c>
      <c r="BX983101">
        <v>1.43</v>
      </c>
      <c r="CO983101">
        <v>2.86</v>
      </c>
      <c r="CP983101">
        <v>2.86</v>
      </c>
      <c r="CQ983101">
        <v>2.86</v>
      </c>
      <c r="CR983101">
        <v>2.86</v>
      </c>
      <c r="CS983101">
        <v>2.86</v>
      </c>
    </row>
    <row r="983102" spans="2:134">
      <c r="B983102">
        <v>410</v>
      </c>
      <c r="BY983102">
        <v>2.88</v>
      </c>
      <c r="BZ983102">
        <v>2.88</v>
      </c>
      <c r="CA983102">
        <v>2.88</v>
      </c>
      <c r="CW983102">
        <v>5.76</v>
      </c>
      <c r="CX983102">
        <v>5.76</v>
      </c>
    </row>
    <row r="983103" spans="2:134">
      <c r="B983103">
        <v>346</v>
      </c>
      <c r="BR983103">
        <v>3.6</v>
      </c>
      <c r="BS983103">
        <v>3.6</v>
      </c>
      <c r="BT983103">
        <v>1.8</v>
      </c>
      <c r="CL983103">
        <v>3.6</v>
      </c>
      <c r="CM983103">
        <v>3.6</v>
      </c>
      <c r="CN983103">
        <v>3.6</v>
      </c>
    </row>
    <row r="983104" spans="2:134">
      <c r="B983104">
        <v>302</v>
      </c>
      <c r="BR983104">
        <v>3.28</v>
      </c>
      <c r="BS983104">
        <v>3.28</v>
      </c>
      <c r="BT983104">
        <v>1.64</v>
      </c>
      <c r="BU983104">
        <v>1.64</v>
      </c>
      <c r="CL983104">
        <v>3.28</v>
      </c>
      <c r="CM983104">
        <v>3.28</v>
      </c>
      <c r="CN983104">
        <v>3.28</v>
      </c>
    </row>
    <row r="983105" spans="2:146">
      <c r="B983105">
        <v>204</v>
      </c>
      <c r="BR983105">
        <v>2.12</v>
      </c>
      <c r="BS983105">
        <v>2.12</v>
      </c>
      <c r="BT983105">
        <v>1.06</v>
      </c>
      <c r="CL983105">
        <v>2.12</v>
      </c>
      <c r="CM983105">
        <v>2.12</v>
      </c>
      <c r="CN983105">
        <v>2.12</v>
      </c>
    </row>
    <row r="983107" spans="2:146">
      <c r="B983107">
        <v>26358.800000000003</v>
      </c>
      <c r="BQ983107">
        <v>0</v>
      </c>
      <c r="BR983107">
        <v>9</v>
      </c>
      <c r="BS983107">
        <v>9</v>
      </c>
      <c r="BT983107">
        <v>5.93</v>
      </c>
      <c r="BU983107">
        <v>1.64</v>
      </c>
      <c r="BV983107">
        <v>6.5299999999999994</v>
      </c>
      <c r="BW983107">
        <v>6.5299999999999994</v>
      </c>
      <c r="BX983107">
        <v>1.43</v>
      </c>
      <c r="BY983107">
        <v>14.61</v>
      </c>
      <c r="BZ983107">
        <v>14.61</v>
      </c>
      <c r="CA983107">
        <v>5.25</v>
      </c>
      <c r="CB983107">
        <v>3.01</v>
      </c>
      <c r="CC983107">
        <v>3.01</v>
      </c>
      <c r="CD983107">
        <v>3.01</v>
      </c>
      <c r="CE983107">
        <v>3.8</v>
      </c>
      <c r="CF983107">
        <v>3.8</v>
      </c>
      <c r="CG983107">
        <v>3.34</v>
      </c>
      <c r="CH983107">
        <v>3.34</v>
      </c>
      <c r="CI983107">
        <v>6.02</v>
      </c>
      <c r="CJ983107">
        <v>6.02</v>
      </c>
      <c r="CK983107">
        <v>6.02</v>
      </c>
      <c r="CL983107">
        <v>9</v>
      </c>
      <c r="CM983107">
        <v>9</v>
      </c>
      <c r="CN983107">
        <v>9</v>
      </c>
      <c r="CO983107">
        <v>2.86</v>
      </c>
      <c r="CP983107">
        <v>2.86</v>
      </c>
      <c r="CQ983107">
        <v>2.86</v>
      </c>
      <c r="CR983107">
        <v>2.86</v>
      </c>
      <c r="CS983107">
        <v>2.86</v>
      </c>
      <c r="CT983107">
        <v>2.5</v>
      </c>
      <c r="CU983107">
        <v>2.5</v>
      </c>
      <c r="CV983107">
        <v>2.5</v>
      </c>
      <c r="CW983107">
        <v>5.76</v>
      </c>
      <c r="CX983107">
        <v>5.76</v>
      </c>
      <c r="CY983107">
        <v>3.98</v>
      </c>
      <c r="CZ983107">
        <v>3.98</v>
      </c>
      <c r="DA983107">
        <v>3.98</v>
      </c>
      <c r="DB983107">
        <v>10.210000000000001</v>
      </c>
      <c r="DC983107">
        <v>10.210000000000001</v>
      </c>
      <c r="DD983107">
        <v>10.210000000000001</v>
      </c>
      <c r="DE983107">
        <v>10.210000000000001</v>
      </c>
      <c r="DF983107">
        <v>10.210000000000001</v>
      </c>
      <c r="DG983107">
        <v>10.210000000000001</v>
      </c>
      <c r="DH983107">
        <v>10.210000000000001</v>
      </c>
      <c r="DI983107">
        <v>47.860000000000007</v>
      </c>
      <c r="DJ983107">
        <v>47.860000000000007</v>
      </c>
      <c r="DK983107">
        <v>10.66</v>
      </c>
      <c r="DL983107">
        <v>14.18</v>
      </c>
      <c r="DM983107">
        <v>10.66</v>
      </c>
      <c r="DN983107">
        <v>10.66</v>
      </c>
      <c r="DO983107">
        <v>3.52</v>
      </c>
      <c r="DP983107">
        <v>0</v>
      </c>
      <c r="DQ983107">
        <v>26.18</v>
      </c>
      <c r="DR983107">
        <v>9.77</v>
      </c>
      <c r="DS983107">
        <v>6.15</v>
      </c>
      <c r="DT983107">
        <v>26.18</v>
      </c>
      <c r="DU983107">
        <v>3.62</v>
      </c>
      <c r="DV983107">
        <v>7.5</v>
      </c>
      <c r="DW983107">
        <v>23.91</v>
      </c>
      <c r="DX983107">
        <v>4.74</v>
      </c>
      <c r="DY983107">
        <v>4.74</v>
      </c>
      <c r="DZ983107">
        <v>1.62</v>
      </c>
      <c r="EA983107">
        <v>1.62</v>
      </c>
      <c r="EB983107">
        <v>1.62</v>
      </c>
      <c r="EC983107">
        <v>0.81</v>
      </c>
      <c r="ED983107">
        <v>0.81</v>
      </c>
      <c r="EE983107">
        <v>8.15</v>
      </c>
      <c r="EF983107">
        <v>8.15</v>
      </c>
      <c r="EG983107">
        <v>8.15</v>
      </c>
      <c r="EH983107">
        <v>8.15</v>
      </c>
      <c r="EI983107">
        <v>8.15</v>
      </c>
      <c r="EJ983107">
        <v>8.15</v>
      </c>
      <c r="EK983107">
        <v>8.15</v>
      </c>
      <c r="EL983107">
        <v>0.66</v>
      </c>
      <c r="EM983107">
        <v>0.66</v>
      </c>
      <c r="EN983107">
        <v>0.66</v>
      </c>
      <c r="EO983107">
        <v>0.66</v>
      </c>
      <c r="EP983107">
        <v>0.66</v>
      </c>
    </row>
    <row r="983108" spans="2:146">
      <c r="B983108" t="s">
        <v>265</v>
      </c>
      <c r="BQ983108" t="s">
        <v>345</v>
      </c>
      <c r="BR983108" t="s">
        <v>131</v>
      </c>
      <c r="BS983108" t="s">
        <v>131</v>
      </c>
      <c r="BT983108" t="s">
        <v>357</v>
      </c>
      <c r="BU983108" t="s">
        <v>131</v>
      </c>
      <c r="BV983108" t="s">
        <v>360</v>
      </c>
      <c r="BW983108" t="s">
        <v>360</v>
      </c>
      <c r="BX983108" t="s">
        <v>360</v>
      </c>
      <c r="BY983108" t="s">
        <v>364</v>
      </c>
      <c r="BZ983108" t="s">
        <v>364</v>
      </c>
      <c r="CA983108" t="s">
        <v>364</v>
      </c>
      <c r="CB983108" t="s">
        <v>368</v>
      </c>
      <c r="CC983108" t="s">
        <v>368</v>
      </c>
      <c r="CD983108" t="s">
        <v>368</v>
      </c>
      <c r="CE983108" t="s">
        <v>352</v>
      </c>
      <c r="CF983108" t="s">
        <v>352</v>
      </c>
      <c r="CG983108" t="s">
        <v>372</v>
      </c>
      <c r="CH983108" t="s">
        <v>372</v>
      </c>
      <c r="CI983108" t="s">
        <v>375</v>
      </c>
      <c r="CJ983108" t="s">
        <v>375</v>
      </c>
      <c r="CK983108" t="s">
        <v>375</v>
      </c>
      <c r="CL983108" t="s">
        <v>379</v>
      </c>
      <c r="CM983108" t="s">
        <v>379</v>
      </c>
      <c r="CN983108" t="s">
        <v>379</v>
      </c>
      <c r="CO983108" t="s">
        <v>383</v>
      </c>
      <c r="CP983108" t="s">
        <v>383</v>
      </c>
      <c r="CQ983108" t="s">
        <v>383</v>
      </c>
      <c r="CR983108" t="s">
        <v>383</v>
      </c>
      <c r="CS983108" t="s">
        <v>383</v>
      </c>
      <c r="CT983108" t="s">
        <v>389</v>
      </c>
      <c r="CU983108" t="s">
        <v>389</v>
      </c>
      <c r="CV983108" t="s">
        <v>389</v>
      </c>
      <c r="CW983108" t="s">
        <v>393</v>
      </c>
      <c r="CX983108" t="s">
        <v>393</v>
      </c>
      <c r="CY983108" t="s">
        <v>396</v>
      </c>
      <c r="CZ983108" t="s">
        <v>396</v>
      </c>
      <c r="DA983108" t="s">
        <v>396</v>
      </c>
      <c r="DB983108" t="s">
        <v>400</v>
      </c>
      <c r="DC983108" t="s">
        <v>400</v>
      </c>
      <c r="DD983108" t="s">
        <v>400</v>
      </c>
      <c r="DE983108" t="s">
        <v>400</v>
      </c>
      <c r="DF983108" t="s">
        <v>400</v>
      </c>
      <c r="DG983108" t="s">
        <v>400</v>
      </c>
      <c r="DH983108" t="s">
        <v>400</v>
      </c>
      <c r="DI983108" t="s">
        <v>121</v>
      </c>
      <c r="DJ983108" t="s">
        <v>121</v>
      </c>
      <c r="DK983108" t="s">
        <v>121</v>
      </c>
      <c r="DL983108" t="s">
        <v>121</v>
      </c>
      <c r="DM983108" t="s">
        <v>121</v>
      </c>
      <c r="DN983108" t="s">
        <v>121</v>
      </c>
      <c r="DO983108" t="s">
        <v>121</v>
      </c>
      <c r="DP983108" t="s">
        <v>121</v>
      </c>
      <c r="DQ983108" t="s">
        <v>121</v>
      </c>
      <c r="DR983108" t="s">
        <v>121</v>
      </c>
      <c r="DS983108" t="s">
        <v>121</v>
      </c>
      <c r="DT983108" t="s">
        <v>121</v>
      </c>
      <c r="DU983108" t="s">
        <v>121</v>
      </c>
      <c r="DV983108" t="s">
        <v>121</v>
      </c>
      <c r="DW983108" t="s">
        <v>121</v>
      </c>
      <c r="DX983108" t="s">
        <v>423</v>
      </c>
      <c r="DY983108" t="s">
        <v>423</v>
      </c>
      <c r="DZ983108" t="s">
        <v>426</v>
      </c>
      <c r="EA983108" t="s">
        <v>426</v>
      </c>
      <c r="EB983108" t="s">
        <v>426</v>
      </c>
      <c r="EC983108" t="s">
        <v>426</v>
      </c>
      <c r="ED983108" t="s">
        <v>426</v>
      </c>
      <c r="EE983108" t="s">
        <v>432</v>
      </c>
      <c r="EF983108" t="s">
        <v>432</v>
      </c>
      <c r="EG983108" t="s">
        <v>432</v>
      </c>
      <c r="EH983108" t="s">
        <v>432</v>
      </c>
      <c r="EI983108" t="s">
        <v>432</v>
      </c>
      <c r="EJ983108" t="s">
        <v>432</v>
      </c>
      <c r="EK983108" t="s">
        <v>432</v>
      </c>
      <c r="EL983108" t="s">
        <v>440</v>
      </c>
      <c r="EM983108" t="s">
        <v>440</v>
      </c>
      <c r="EN983108" t="s">
        <v>440</v>
      </c>
      <c r="EO983108" t="s">
        <v>440</v>
      </c>
      <c r="EP983108" t="s">
        <v>440</v>
      </c>
    </row>
    <row r="983109" spans="2:146">
      <c r="BQ983109" t="s">
        <v>351</v>
      </c>
      <c r="BR983109" t="s">
        <v>355</v>
      </c>
      <c r="BS983109" t="s">
        <v>356</v>
      </c>
      <c r="BT983109" t="s">
        <v>358</v>
      </c>
      <c r="BU983109" t="s">
        <v>359</v>
      </c>
      <c r="BV983109" t="s">
        <v>361</v>
      </c>
      <c r="BW983109" t="s">
        <v>362</v>
      </c>
      <c r="BX983109" t="s">
        <v>363</v>
      </c>
      <c r="BY983109" t="s">
        <v>365</v>
      </c>
      <c r="BZ983109" t="s">
        <v>366</v>
      </c>
      <c r="CA983109" t="s">
        <v>367</v>
      </c>
      <c r="CB983109" t="s">
        <v>369</v>
      </c>
      <c r="CC983109" t="s">
        <v>370</v>
      </c>
      <c r="CD983109" t="s">
        <v>371</v>
      </c>
      <c r="CE983109" t="s">
        <v>353</v>
      </c>
      <c r="CF983109" t="s">
        <v>354</v>
      </c>
      <c r="CG983109" t="s">
        <v>373</v>
      </c>
      <c r="CH983109" t="s">
        <v>374</v>
      </c>
      <c r="CI983109" t="s">
        <v>376</v>
      </c>
      <c r="CJ983109" t="s">
        <v>377</v>
      </c>
      <c r="CK983109" t="s">
        <v>378</v>
      </c>
      <c r="CL983109" t="s">
        <v>380</v>
      </c>
      <c r="CM983109" t="s">
        <v>381</v>
      </c>
      <c r="CN983109" t="s">
        <v>382</v>
      </c>
      <c r="CO983109" t="s">
        <v>384</v>
      </c>
      <c r="CP983109" t="s">
        <v>385</v>
      </c>
      <c r="CQ983109" t="s">
        <v>386</v>
      </c>
      <c r="CR983109" t="s">
        <v>387</v>
      </c>
      <c r="CS983109" t="s">
        <v>388</v>
      </c>
      <c r="CT983109" t="s">
        <v>390</v>
      </c>
      <c r="CU983109" t="s">
        <v>391</v>
      </c>
      <c r="CV983109" t="s">
        <v>392</v>
      </c>
      <c r="CW983109" t="s">
        <v>394</v>
      </c>
      <c r="CX983109" t="s">
        <v>395</v>
      </c>
      <c r="CY983109" t="s">
        <v>397</v>
      </c>
      <c r="CZ983109" t="s">
        <v>398</v>
      </c>
      <c r="DA983109" t="s">
        <v>399</v>
      </c>
      <c r="DB983109" t="s">
        <v>401</v>
      </c>
      <c r="DC983109" t="s">
        <v>402</v>
      </c>
      <c r="DD983109" t="s">
        <v>403</v>
      </c>
      <c r="DE983109" t="s">
        <v>404</v>
      </c>
      <c r="DF983109" t="s">
        <v>405</v>
      </c>
      <c r="DG983109" t="s">
        <v>406</v>
      </c>
      <c r="DH983109" t="s">
        <v>407</v>
      </c>
      <c r="DI983109" t="s">
        <v>408</v>
      </c>
      <c r="DJ983109" t="s">
        <v>409</v>
      </c>
      <c r="DK983109" t="s">
        <v>410</v>
      </c>
      <c r="DL983109" t="s">
        <v>411</v>
      </c>
      <c r="DM983109" t="s">
        <v>412</v>
      </c>
      <c r="DN983109" t="s">
        <v>413</v>
      </c>
      <c r="DO983109" t="s">
        <v>414</v>
      </c>
      <c r="DP983109" t="s">
        <v>415</v>
      </c>
      <c r="DQ983109" t="s">
        <v>416</v>
      </c>
      <c r="DR983109" t="s">
        <v>417</v>
      </c>
      <c r="DS983109" t="s">
        <v>418</v>
      </c>
      <c r="DT983109" t="s">
        <v>419</v>
      </c>
      <c r="DU983109" t="s">
        <v>420</v>
      </c>
      <c r="DV983109" t="s">
        <v>421</v>
      </c>
      <c r="DW983109" t="s">
        <v>422</v>
      </c>
      <c r="DX983109" t="s">
        <v>424</v>
      </c>
      <c r="DY983109" t="s">
        <v>425</v>
      </c>
      <c r="DZ983109" t="s">
        <v>427</v>
      </c>
      <c r="EA983109" t="s">
        <v>428</v>
      </c>
      <c r="EB983109" t="s">
        <v>429</v>
      </c>
      <c r="EC983109" t="s">
        <v>430</v>
      </c>
      <c r="ED983109" t="s">
        <v>431</v>
      </c>
      <c r="EE983109" t="s">
        <v>433</v>
      </c>
      <c r="EF983109" t="s">
        <v>434</v>
      </c>
      <c r="EG983109" t="s">
        <v>435</v>
      </c>
      <c r="EH983109" t="s">
        <v>436</v>
      </c>
      <c r="EI983109" t="s">
        <v>437</v>
      </c>
      <c r="EJ983109" t="s">
        <v>438</v>
      </c>
      <c r="EK983109" t="s">
        <v>439</v>
      </c>
      <c r="EL983109" t="s">
        <v>441</v>
      </c>
      <c r="EM983109" t="s">
        <v>442</v>
      </c>
      <c r="EN983109" t="s">
        <v>443</v>
      </c>
      <c r="EO983109" t="s">
        <v>444</v>
      </c>
      <c r="EP983109" t="s">
        <v>445</v>
      </c>
    </row>
    <row r="983110" spans="2:146">
      <c r="BQ983110">
        <v>67</v>
      </c>
      <c r="BR983110">
        <v>68</v>
      </c>
      <c r="BS983110">
        <v>69</v>
      </c>
      <c r="BT983110">
        <v>70</v>
      </c>
      <c r="BU983110">
        <v>71</v>
      </c>
      <c r="BV983110">
        <v>72</v>
      </c>
      <c r="BW983110">
        <v>73</v>
      </c>
      <c r="BX983110">
        <v>74</v>
      </c>
      <c r="BY983110">
        <v>75</v>
      </c>
      <c r="BZ983110">
        <v>76</v>
      </c>
      <c r="CA983110">
        <v>77</v>
      </c>
      <c r="CB983110">
        <v>78</v>
      </c>
      <c r="CC983110">
        <v>79</v>
      </c>
      <c r="CD983110">
        <v>80</v>
      </c>
      <c r="CE983110">
        <v>81</v>
      </c>
      <c r="CF983110">
        <v>82</v>
      </c>
      <c r="CG983110">
        <v>83</v>
      </c>
      <c r="CH983110">
        <v>84</v>
      </c>
      <c r="CI983110">
        <v>85</v>
      </c>
      <c r="CJ983110">
        <v>86</v>
      </c>
      <c r="CK983110">
        <v>87</v>
      </c>
      <c r="CL983110">
        <v>88</v>
      </c>
      <c r="CM983110">
        <v>89</v>
      </c>
      <c r="CN983110">
        <v>90</v>
      </c>
      <c r="CO983110">
        <v>91</v>
      </c>
      <c r="CP983110">
        <v>92</v>
      </c>
      <c r="CQ983110">
        <v>93</v>
      </c>
      <c r="CR983110">
        <v>94</v>
      </c>
      <c r="CS983110">
        <v>95</v>
      </c>
      <c r="CT983110">
        <v>96</v>
      </c>
      <c r="CU983110">
        <v>97</v>
      </c>
      <c r="CV983110">
        <v>98</v>
      </c>
      <c r="CW983110">
        <v>99</v>
      </c>
      <c r="CX983110">
        <v>100</v>
      </c>
      <c r="CY983110">
        <v>101</v>
      </c>
      <c r="CZ983110">
        <v>102</v>
      </c>
      <c r="DA983110">
        <v>103</v>
      </c>
      <c r="DB983110">
        <v>104</v>
      </c>
      <c r="DC983110">
        <v>105</v>
      </c>
      <c r="DD983110">
        <v>106</v>
      </c>
      <c r="DE983110">
        <v>107</v>
      </c>
      <c r="DF983110">
        <v>108</v>
      </c>
      <c r="DG983110">
        <v>109</v>
      </c>
      <c r="DH983110">
        <v>110</v>
      </c>
      <c r="DI983110">
        <v>111</v>
      </c>
      <c r="DJ983110">
        <v>112</v>
      </c>
      <c r="DK983110">
        <v>113</v>
      </c>
      <c r="DL983110">
        <v>114</v>
      </c>
      <c r="DM983110">
        <v>115</v>
      </c>
      <c r="DN983110">
        <v>116</v>
      </c>
      <c r="DO983110">
        <v>117</v>
      </c>
      <c r="DP983110">
        <v>118</v>
      </c>
      <c r="DQ983110">
        <v>119</v>
      </c>
      <c r="DR983110">
        <v>120</v>
      </c>
      <c r="DS983110">
        <v>121</v>
      </c>
      <c r="DT983110">
        <v>122</v>
      </c>
      <c r="DU983110">
        <v>123</v>
      </c>
      <c r="DV983110">
        <v>124</v>
      </c>
      <c r="DW983110">
        <v>125</v>
      </c>
      <c r="DX983110">
        <v>126</v>
      </c>
      <c r="DY983110">
        <v>127</v>
      </c>
      <c r="DZ983110">
        <v>128</v>
      </c>
      <c r="EA983110">
        <v>129</v>
      </c>
      <c r="EB983110">
        <v>130</v>
      </c>
      <c r="EC983110">
        <v>131</v>
      </c>
      <c r="ED983110">
        <v>132</v>
      </c>
      <c r="EE983110">
        <v>133</v>
      </c>
      <c r="EF983110">
        <v>134</v>
      </c>
      <c r="EG983110">
        <v>135</v>
      </c>
      <c r="EH983110">
        <v>136</v>
      </c>
      <c r="EI983110">
        <v>137</v>
      </c>
      <c r="EJ983110">
        <v>138</v>
      </c>
      <c r="EK983110">
        <v>139</v>
      </c>
      <c r="EL983110">
        <v>140</v>
      </c>
      <c r="EM983110">
        <v>141</v>
      </c>
      <c r="EN983110">
        <v>142</v>
      </c>
      <c r="EO983110">
        <v>143</v>
      </c>
      <c r="EP983110">
        <v>144</v>
      </c>
    </row>
    <row r="983111" spans="2:146">
      <c r="CE983111" t="s">
        <v>451</v>
      </c>
    </row>
    <row r="999426" spans="2:2">
      <c r="B999426">
        <v>200</v>
      </c>
    </row>
    <row r="999427" spans="2:2">
      <c r="B999427">
        <v>200</v>
      </c>
    </row>
    <row r="999428" spans="2:2">
      <c r="B999428">
        <v>800</v>
      </c>
    </row>
    <row r="999429" spans="2:2">
      <c r="B999429">
        <v>200</v>
      </c>
    </row>
    <row r="999430" spans="2:2">
      <c r="B999430">
        <v>1044</v>
      </c>
    </row>
    <row r="999431" spans="2:2">
      <c r="B999431">
        <v>998.40000000000009</v>
      </c>
    </row>
    <row r="999432" spans="2:2">
      <c r="B999432">
        <v>272</v>
      </c>
    </row>
    <row r="999433" spans="2:2">
      <c r="B999433">
        <v>200</v>
      </c>
    </row>
    <row r="999434" spans="2:2">
      <c r="B999434">
        <v>214</v>
      </c>
    </row>
    <row r="999435" spans="2:2">
      <c r="B999435">
        <v>200</v>
      </c>
    </row>
    <row r="999436" spans="2:2">
      <c r="B999436">
        <v>152</v>
      </c>
    </row>
    <row r="999437" spans="2:2">
      <c r="B999437">
        <v>200</v>
      </c>
    </row>
    <row r="999438" spans="2:2">
      <c r="B999438">
        <v>300</v>
      </c>
    </row>
    <row r="999439" spans="2:2">
      <c r="B999439">
        <v>104</v>
      </c>
    </row>
    <row r="999440" spans="2:2">
      <c r="B999440">
        <v>162</v>
      </c>
    </row>
    <row r="999441" spans="2:2">
      <c r="B999441">
        <v>200</v>
      </c>
    </row>
    <row r="999442" spans="2:2">
      <c r="B999442">
        <v>200</v>
      </c>
    </row>
    <row r="999443" spans="2:2">
      <c r="B999443">
        <v>200</v>
      </c>
    </row>
    <row r="999444" spans="2:2">
      <c r="B999444">
        <v>200</v>
      </c>
    </row>
    <row r="999445" spans="2:2">
      <c r="B999445">
        <v>200</v>
      </c>
    </row>
    <row r="999446" spans="2:2">
      <c r="B999446">
        <v>200</v>
      </c>
    </row>
    <row r="999447" spans="2:2">
      <c r="B999447">
        <v>200</v>
      </c>
    </row>
    <row r="999448" spans="2:2">
      <c r="B999448">
        <v>200</v>
      </c>
    </row>
    <row r="999449" spans="2:2">
      <c r="B999449">
        <v>800</v>
      </c>
    </row>
    <row r="999450" spans="2:2">
      <c r="B999450">
        <v>300</v>
      </c>
    </row>
    <row r="999451" spans="2:2">
      <c r="B999451">
        <v>778</v>
      </c>
    </row>
    <row r="999452" spans="2:2">
      <c r="B999452">
        <v>614</v>
      </c>
    </row>
    <row r="999453" spans="2:2">
      <c r="B999453">
        <v>444</v>
      </c>
    </row>
    <row r="999454" spans="2:2">
      <c r="B999454">
        <v>800</v>
      </c>
    </row>
    <row r="999455" spans="2:2">
      <c r="B999455">
        <v>200</v>
      </c>
    </row>
    <row r="999456" spans="2:2">
      <c r="B999456">
        <v>780</v>
      </c>
    </row>
    <row r="999457" spans="2:146">
      <c r="B999457">
        <v>174</v>
      </c>
    </row>
    <row r="999458" spans="2:146">
      <c r="B999458">
        <v>194</v>
      </c>
    </row>
    <row r="999459" spans="2:146">
      <c r="B999459">
        <v>782</v>
      </c>
    </row>
    <row r="999460" spans="2:146">
      <c r="B999460">
        <v>236</v>
      </c>
    </row>
    <row r="999461" spans="2:146">
      <c r="B999461">
        <v>144</v>
      </c>
    </row>
    <row r="999462" spans="2:146">
      <c r="B999462">
        <v>200</v>
      </c>
    </row>
    <row r="999463" spans="2:146">
      <c r="B999463">
        <v>240</v>
      </c>
    </row>
    <row r="999464" spans="2:146">
      <c r="B999464">
        <v>200</v>
      </c>
    </row>
    <row r="999465" spans="2:146">
      <c r="B999465">
        <v>612</v>
      </c>
    </row>
    <row r="999466" spans="2:146">
      <c r="B999466">
        <v>156</v>
      </c>
    </row>
    <row r="999467" spans="2:146">
      <c r="B999467">
        <v>116</v>
      </c>
    </row>
    <row r="999468" spans="2:146">
      <c r="B999468">
        <v>160</v>
      </c>
    </row>
    <row r="999469" spans="2:146">
      <c r="B999469">
        <v>80</v>
      </c>
      <c r="EL999469">
        <v>0.66</v>
      </c>
      <c r="EM999469">
        <v>0.66</v>
      </c>
      <c r="EN999469">
        <v>0.66</v>
      </c>
      <c r="EO999469">
        <v>0.66</v>
      </c>
      <c r="EP999469">
        <v>0.66</v>
      </c>
    </row>
    <row r="999470" spans="2:146">
      <c r="B999470">
        <v>1144</v>
      </c>
      <c r="BV999470">
        <v>5.0999999999999996</v>
      </c>
      <c r="BW999470">
        <v>5.0999999999999996</v>
      </c>
      <c r="DB999470">
        <v>10.210000000000001</v>
      </c>
      <c r="DC999470">
        <v>10.210000000000001</v>
      </c>
      <c r="DD999470">
        <v>10.210000000000001</v>
      </c>
      <c r="DE999470">
        <v>10.210000000000001</v>
      </c>
      <c r="DF999470">
        <v>10.210000000000001</v>
      </c>
      <c r="DG999470">
        <v>10.210000000000001</v>
      </c>
      <c r="DH999470">
        <v>10.210000000000001</v>
      </c>
    </row>
    <row r="999471" spans="2:146">
      <c r="B999471">
        <v>1240</v>
      </c>
      <c r="EE999471">
        <v>8.15</v>
      </c>
      <c r="EF999471">
        <v>8.15</v>
      </c>
      <c r="EG999471">
        <v>8.15</v>
      </c>
      <c r="EH999471">
        <v>8.15</v>
      </c>
      <c r="EI999471">
        <v>8.15</v>
      </c>
      <c r="EJ999471">
        <v>8.15</v>
      </c>
      <c r="EK999471">
        <v>8.15</v>
      </c>
    </row>
    <row r="999472" spans="2:146">
      <c r="B999472">
        <v>2083.2000000000003</v>
      </c>
      <c r="DI999472">
        <v>20.03</v>
      </c>
      <c r="DJ999472">
        <v>20.03</v>
      </c>
      <c r="DQ999472">
        <v>20.03</v>
      </c>
      <c r="DT999472">
        <v>20.03</v>
      </c>
      <c r="DW999472">
        <v>20.03</v>
      </c>
    </row>
    <row r="999473" spans="2:134">
      <c r="B999473">
        <v>357.20000000000005</v>
      </c>
      <c r="DI999473">
        <v>3.88</v>
      </c>
      <c r="DJ999473">
        <v>3.88</v>
      </c>
      <c r="DV999473">
        <v>3.88</v>
      </c>
      <c r="DW999473">
        <v>3.88</v>
      </c>
    </row>
    <row r="999474" spans="2:134">
      <c r="B999474">
        <v>391.20000000000005</v>
      </c>
      <c r="DI999474">
        <v>3.62</v>
      </c>
      <c r="DJ999474">
        <v>3.62</v>
      </c>
      <c r="DR999474">
        <v>3.62</v>
      </c>
      <c r="DU999474">
        <v>3.62</v>
      </c>
      <c r="DV999474">
        <v>3.62</v>
      </c>
    </row>
    <row r="999475" spans="2:134">
      <c r="B999475">
        <v>762.80000000000007</v>
      </c>
      <c r="DI999475">
        <v>6.15</v>
      </c>
      <c r="DJ999475">
        <v>6.15</v>
      </c>
      <c r="DQ999475">
        <v>6.15</v>
      </c>
      <c r="DR999475">
        <v>6.15</v>
      </c>
      <c r="DS999475">
        <v>6.15</v>
      </c>
      <c r="DT999475">
        <v>6.15</v>
      </c>
    </row>
    <row r="999476" spans="2:134">
      <c r="B999476">
        <v>1280</v>
      </c>
      <c r="DI999476">
        <v>10.66</v>
      </c>
      <c r="DJ999476">
        <v>10.66</v>
      </c>
      <c r="DK999476">
        <v>10.66</v>
      </c>
      <c r="DL999476">
        <v>10.66</v>
      </c>
      <c r="DM999476">
        <v>10.66</v>
      </c>
      <c r="DN999476">
        <v>10.66</v>
      </c>
    </row>
    <row r="999477" spans="2:134">
      <c r="B999477">
        <v>234</v>
      </c>
      <c r="CT999477">
        <v>2.5</v>
      </c>
      <c r="CU999477">
        <v>2.5</v>
      </c>
      <c r="CV999477">
        <v>2.5</v>
      </c>
    </row>
    <row r="999478" spans="2:134">
      <c r="B999478">
        <v>354</v>
      </c>
      <c r="CY999478">
        <v>3.98</v>
      </c>
      <c r="CZ999478">
        <v>3.98</v>
      </c>
      <c r="DA999478">
        <v>3.98</v>
      </c>
    </row>
    <row r="999479" spans="2:134">
      <c r="B999479">
        <v>392</v>
      </c>
      <c r="DI999479">
        <v>3.52</v>
      </c>
      <c r="DJ999479">
        <v>3.52</v>
      </c>
      <c r="DL999479">
        <v>3.52</v>
      </c>
      <c r="DO999479">
        <v>3.52</v>
      </c>
    </row>
    <row r="999480" spans="2:134">
      <c r="B999480">
        <v>304</v>
      </c>
      <c r="CE999480">
        <v>3.8</v>
      </c>
      <c r="CF999480">
        <v>3.8</v>
      </c>
    </row>
    <row r="999481" spans="2:134">
      <c r="B999481">
        <v>144</v>
      </c>
      <c r="DZ999481">
        <v>1.62</v>
      </c>
      <c r="EA999481">
        <v>1.62</v>
      </c>
      <c r="EB999481">
        <v>1.62</v>
      </c>
      <c r="EC999481">
        <v>0.81</v>
      </c>
      <c r="ED999481">
        <v>0.81</v>
      </c>
    </row>
    <row r="999482" spans="2:134">
      <c r="B999482">
        <v>602.40000000000009</v>
      </c>
      <c r="BY999482">
        <v>6.02</v>
      </c>
      <c r="BZ999482">
        <v>6.02</v>
      </c>
      <c r="CB999482">
        <v>3.01</v>
      </c>
      <c r="CC999482">
        <v>3.01</v>
      </c>
      <c r="CD999482">
        <v>3.01</v>
      </c>
      <c r="CI999482">
        <v>6.02</v>
      </c>
      <c r="CJ999482">
        <v>6.02</v>
      </c>
      <c r="CK999482">
        <v>6.02</v>
      </c>
    </row>
    <row r="999483" spans="2:134">
      <c r="B999483">
        <v>307.60000000000002</v>
      </c>
      <c r="BY999483">
        <v>3.34</v>
      </c>
      <c r="BZ999483">
        <v>3.34</v>
      </c>
      <c r="CG999483">
        <v>3.34</v>
      </c>
      <c r="CH999483">
        <v>3.34</v>
      </c>
    </row>
    <row r="999484" spans="2:134">
      <c r="B999484">
        <v>358</v>
      </c>
      <c r="BY999484">
        <v>2.37</v>
      </c>
      <c r="BZ999484">
        <v>2.37</v>
      </c>
      <c r="CA999484">
        <v>2.37</v>
      </c>
      <c r="DX999484">
        <v>4.74</v>
      </c>
      <c r="DY999484">
        <v>4.74</v>
      </c>
    </row>
    <row r="999485" spans="2:134">
      <c r="B999485">
        <v>286</v>
      </c>
      <c r="BT999485">
        <v>1.43</v>
      </c>
      <c r="BV999485">
        <v>1.43</v>
      </c>
      <c r="BW999485">
        <v>1.43</v>
      </c>
      <c r="BX999485">
        <v>1.43</v>
      </c>
      <c r="CO999485">
        <v>2.86</v>
      </c>
      <c r="CP999485">
        <v>2.86</v>
      </c>
      <c r="CQ999485">
        <v>2.86</v>
      </c>
      <c r="CR999485">
        <v>2.86</v>
      </c>
      <c r="CS999485">
        <v>2.86</v>
      </c>
    </row>
    <row r="999486" spans="2:134">
      <c r="B999486">
        <v>410</v>
      </c>
      <c r="BY999486">
        <v>2.88</v>
      </c>
      <c r="BZ999486">
        <v>2.88</v>
      </c>
      <c r="CA999486">
        <v>2.88</v>
      </c>
      <c r="CW999486">
        <v>5.76</v>
      </c>
      <c r="CX999486">
        <v>5.76</v>
      </c>
    </row>
    <row r="999487" spans="2:134">
      <c r="B999487">
        <v>346</v>
      </c>
      <c r="BR999487">
        <v>3.6</v>
      </c>
      <c r="BS999487">
        <v>3.6</v>
      </c>
      <c r="BT999487">
        <v>1.8</v>
      </c>
      <c r="CL999487">
        <v>3.6</v>
      </c>
      <c r="CM999487">
        <v>3.6</v>
      </c>
      <c r="CN999487">
        <v>3.6</v>
      </c>
    </row>
    <row r="999488" spans="2:134">
      <c r="B999488">
        <v>302</v>
      </c>
      <c r="BR999488">
        <v>3.28</v>
      </c>
      <c r="BS999488">
        <v>3.28</v>
      </c>
      <c r="BT999488">
        <v>1.64</v>
      </c>
      <c r="BU999488">
        <v>1.64</v>
      </c>
      <c r="CL999488">
        <v>3.28</v>
      </c>
      <c r="CM999488">
        <v>3.28</v>
      </c>
      <c r="CN999488">
        <v>3.28</v>
      </c>
    </row>
    <row r="999489" spans="2:146">
      <c r="B999489">
        <v>204</v>
      </c>
      <c r="BR999489">
        <v>2.12</v>
      </c>
      <c r="BS999489">
        <v>2.12</v>
      </c>
      <c r="BT999489">
        <v>1.06</v>
      </c>
      <c r="CL999489">
        <v>2.12</v>
      </c>
      <c r="CM999489">
        <v>2.12</v>
      </c>
      <c r="CN999489">
        <v>2.12</v>
      </c>
    </row>
    <row r="999491" spans="2:146">
      <c r="B999491">
        <v>26358.800000000003</v>
      </c>
      <c r="BQ999491">
        <v>0</v>
      </c>
      <c r="BR999491">
        <v>9</v>
      </c>
      <c r="BS999491">
        <v>9</v>
      </c>
      <c r="BT999491">
        <v>5.93</v>
      </c>
      <c r="BU999491">
        <v>1.64</v>
      </c>
      <c r="BV999491">
        <v>6.5299999999999994</v>
      </c>
      <c r="BW999491">
        <v>6.5299999999999994</v>
      </c>
      <c r="BX999491">
        <v>1.43</v>
      </c>
      <c r="BY999491">
        <v>14.61</v>
      </c>
      <c r="BZ999491">
        <v>14.61</v>
      </c>
      <c r="CA999491">
        <v>5.25</v>
      </c>
      <c r="CB999491">
        <v>3.01</v>
      </c>
      <c r="CC999491">
        <v>3.01</v>
      </c>
      <c r="CD999491">
        <v>3.01</v>
      </c>
      <c r="CE999491">
        <v>3.8</v>
      </c>
      <c r="CF999491">
        <v>3.8</v>
      </c>
      <c r="CG999491">
        <v>3.34</v>
      </c>
      <c r="CH999491">
        <v>3.34</v>
      </c>
      <c r="CI999491">
        <v>6.02</v>
      </c>
      <c r="CJ999491">
        <v>6.02</v>
      </c>
      <c r="CK999491">
        <v>6.02</v>
      </c>
      <c r="CL999491">
        <v>9</v>
      </c>
      <c r="CM999491">
        <v>9</v>
      </c>
      <c r="CN999491">
        <v>9</v>
      </c>
      <c r="CO999491">
        <v>2.86</v>
      </c>
      <c r="CP999491">
        <v>2.86</v>
      </c>
      <c r="CQ999491">
        <v>2.86</v>
      </c>
      <c r="CR999491">
        <v>2.86</v>
      </c>
      <c r="CS999491">
        <v>2.86</v>
      </c>
      <c r="CT999491">
        <v>2.5</v>
      </c>
      <c r="CU999491">
        <v>2.5</v>
      </c>
      <c r="CV999491">
        <v>2.5</v>
      </c>
      <c r="CW999491">
        <v>5.76</v>
      </c>
      <c r="CX999491">
        <v>5.76</v>
      </c>
      <c r="CY999491">
        <v>3.98</v>
      </c>
      <c r="CZ999491">
        <v>3.98</v>
      </c>
      <c r="DA999491">
        <v>3.98</v>
      </c>
      <c r="DB999491">
        <v>10.210000000000001</v>
      </c>
      <c r="DC999491">
        <v>10.210000000000001</v>
      </c>
      <c r="DD999491">
        <v>10.210000000000001</v>
      </c>
      <c r="DE999491">
        <v>10.210000000000001</v>
      </c>
      <c r="DF999491">
        <v>10.210000000000001</v>
      </c>
      <c r="DG999491">
        <v>10.210000000000001</v>
      </c>
      <c r="DH999491">
        <v>10.210000000000001</v>
      </c>
      <c r="DI999491">
        <v>47.860000000000007</v>
      </c>
      <c r="DJ999491">
        <v>47.860000000000007</v>
      </c>
      <c r="DK999491">
        <v>10.66</v>
      </c>
      <c r="DL999491">
        <v>14.18</v>
      </c>
      <c r="DM999491">
        <v>10.66</v>
      </c>
      <c r="DN999491">
        <v>10.66</v>
      </c>
      <c r="DO999491">
        <v>3.52</v>
      </c>
      <c r="DP999491">
        <v>0</v>
      </c>
      <c r="DQ999491">
        <v>26.18</v>
      </c>
      <c r="DR999491">
        <v>9.77</v>
      </c>
      <c r="DS999491">
        <v>6.15</v>
      </c>
      <c r="DT999491">
        <v>26.18</v>
      </c>
      <c r="DU999491">
        <v>3.62</v>
      </c>
      <c r="DV999491">
        <v>7.5</v>
      </c>
      <c r="DW999491">
        <v>23.91</v>
      </c>
      <c r="DX999491">
        <v>4.74</v>
      </c>
      <c r="DY999491">
        <v>4.74</v>
      </c>
      <c r="DZ999491">
        <v>1.62</v>
      </c>
      <c r="EA999491">
        <v>1.62</v>
      </c>
      <c r="EB999491">
        <v>1.62</v>
      </c>
      <c r="EC999491">
        <v>0.81</v>
      </c>
      <c r="ED999491">
        <v>0.81</v>
      </c>
      <c r="EE999491">
        <v>8.15</v>
      </c>
      <c r="EF999491">
        <v>8.15</v>
      </c>
      <c r="EG999491">
        <v>8.15</v>
      </c>
      <c r="EH999491">
        <v>8.15</v>
      </c>
      <c r="EI999491">
        <v>8.15</v>
      </c>
      <c r="EJ999491">
        <v>8.15</v>
      </c>
      <c r="EK999491">
        <v>8.15</v>
      </c>
      <c r="EL999491">
        <v>0.66</v>
      </c>
      <c r="EM999491">
        <v>0.66</v>
      </c>
      <c r="EN999491">
        <v>0.66</v>
      </c>
      <c r="EO999491">
        <v>0.66</v>
      </c>
      <c r="EP999491">
        <v>0.66</v>
      </c>
    </row>
    <row r="999492" spans="2:146">
      <c r="B999492" t="s">
        <v>265</v>
      </c>
      <c r="BQ999492" t="s">
        <v>345</v>
      </c>
      <c r="BR999492" t="s">
        <v>131</v>
      </c>
      <c r="BS999492" t="s">
        <v>131</v>
      </c>
      <c r="BT999492" t="s">
        <v>357</v>
      </c>
      <c r="BU999492" t="s">
        <v>131</v>
      </c>
      <c r="BV999492" t="s">
        <v>360</v>
      </c>
      <c r="BW999492" t="s">
        <v>360</v>
      </c>
      <c r="BX999492" t="s">
        <v>360</v>
      </c>
      <c r="BY999492" t="s">
        <v>364</v>
      </c>
      <c r="BZ999492" t="s">
        <v>364</v>
      </c>
      <c r="CA999492" t="s">
        <v>364</v>
      </c>
      <c r="CB999492" t="s">
        <v>368</v>
      </c>
      <c r="CC999492" t="s">
        <v>368</v>
      </c>
      <c r="CD999492" t="s">
        <v>368</v>
      </c>
      <c r="CE999492" t="s">
        <v>352</v>
      </c>
      <c r="CF999492" t="s">
        <v>352</v>
      </c>
      <c r="CG999492" t="s">
        <v>372</v>
      </c>
      <c r="CH999492" t="s">
        <v>372</v>
      </c>
      <c r="CI999492" t="s">
        <v>375</v>
      </c>
      <c r="CJ999492" t="s">
        <v>375</v>
      </c>
      <c r="CK999492" t="s">
        <v>375</v>
      </c>
      <c r="CL999492" t="s">
        <v>379</v>
      </c>
      <c r="CM999492" t="s">
        <v>379</v>
      </c>
      <c r="CN999492" t="s">
        <v>379</v>
      </c>
      <c r="CO999492" t="s">
        <v>383</v>
      </c>
      <c r="CP999492" t="s">
        <v>383</v>
      </c>
      <c r="CQ999492" t="s">
        <v>383</v>
      </c>
      <c r="CR999492" t="s">
        <v>383</v>
      </c>
      <c r="CS999492" t="s">
        <v>383</v>
      </c>
      <c r="CT999492" t="s">
        <v>389</v>
      </c>
      <c r="CU999492" t="s">
        <v>389</v>
      </c>
      <c r="CV999492" t="s">
        <v>389</v>
      </c>
      <c r="CW999492" t="s">
        <v>393</v>
      </c>
      <c r="CX999492" t="s">
        <v>393</v>
      </c>
      <c r="CY999492" t="s">
        <v>396</v>
      </c>
      <c r="CZ999492" t="s">
        <v>396</v>
      </c>
      <c r="DA999492" t="s">
        <v>396</v>
      </c>
      <c r="DB999492" t="s">
        <v>400</v>
      </c>
      <c r="DC999492" t="s">
        <v>400</v>
      </c>
      <c r="DD999492" t="s">
        <v>400</v>
      </c>
      <c r="DE999492" t="s">
        <v>400</v>
      </c>
      <c r="DF999492" t="s">
        <v>400</v>
      </c>
      <c r="DG999492" t="s">
        <v>400</v>
      </c>
      <c r="DH999492" t="s">
        <v>400</v>
      </c>
      <c r="DI999492" t="s">
        <v>121</v>
      </c>
      <c r="DJ999492" t="s">
        <v>121</v>
      </c>
      <c r="DK999492" t="s">
        <v>121</v>
      </c>
      <c r="DL999492" t="s">
        <v>121</v>
      </c>
      <c r="DM999492" t="s">
        <v>121</v>
      </c>
      <c r="DN999492" t="s">
        <v>121</v>
      </c>
      <c r="DO999492" t="s">
        <v>121</v>
      </c>
      <c r="DP999492" t="s">
        <v>121</v>
      </c>
      <c r="DQ999492" t="s">
        <v>121</v>
      </c>
      <c r="DR999492" t="s">
        <v>121</v>
      </c>
      <c r="DS999492" t="s">
        <v>121</v>
      </c>
      <c r="DT999492" t="s">
        <v>121</v>
      </c>
      <c r="DU999492" t="s">
        <v>121</v>
      </c>
      <c r="DV999492" t="s">
        <v>121</v>
      </c>
      <c r="DW999492" t="s">
        <v>121</v>
      </c>
      <c r="DX999492" t="s">
        <v>423</v>
      </c>
      <c r="DY999492" t="s">
        <v>423</v>
      </c>
      <c r="DZ999492" t="s">
        <v>426</v>
      </c>
      <c r="EA999492" t="s">
        <v>426</v>
      </c>
      <c r="EB999492" t="s">
        <v>426</v>
      </c>
      <c r="EC999492" t="s">
        <v>426</v>
      </c>
      <c r="ED999492" t="s">
        <v>426</v>
      </c>
      <c r="EE999492" t="s">
        <v>432</v>
      </c>
      <c r="EF999492" t="s">
        <v>432</v>
      </c>
      <c r="EG999492" t="s">
        <v>432</v>
      </c>
      <c r="EH999492" t="s">
        <v>432</v>
      </c>
      <c r="EI999492" t="s">
        <v>432</v>
      </c>
      <c r="EJ999492" t="s">
        <v>432</v>
      </c>
      <c r="EK999492" t="s">
        <v>432</v>
      </c>
      <c r="EL999492" t="s">
        <v>440</v>
      </c>
      <c r="EM999492" t="s">
        <v>440</v>
      </c>
      <c r="EN999492" t="s">
        <v>440</v>
      </c>
      <c r="EO999492" t="s">
        <v>440</v>
      </c>
      <c r="EP999492" t="s">
        <v>440</v>
      </c>
    </row>
    <row r="999493" spans="2:146">
      <c r="BQ999493" t="s">
        <v>351</v>
      </c>
      <c r="BR999493" t="s">
        <v>355</v>
      </c>
      <c r="BS999493" t="s">
        <v>356</v>
      </c>
      <c r="BT999493" t="s">
        <v>358</v>
      </c>
      <c r="BU999493" t="s">
        <v>359</v>
      </c>
      <c r="BV999493" t="s">
        <v>361</v>
      </c>
      <c r="BW999493" t="s">
        <v>362</v>
      </c>
      <c r="BX999493" t="s">
        <v>363</v>
      </c>
      <c r="BY999493" t="s">
        <v>365</v>
      </c>
      <c r="BZ999493" t="s">
        <v>366</v>
      </c>
      <c r="CA999493" t="s">
        <v>367</v>
      </c>
      <c r="CB999493" t="s">
        <v>369</v>
      </c>
      <c r="CC999493" t="s">
        <v>370</v>
      </c>
      <c r="CD999493" t="s">
        <v>371</v>
      </c>
      <c r="CE999493" t="s">
        <v>353</v>
      </c>
      <c r="CF999493" t="s">
        <v>354</v>
      </c>
      <c r="CG999493" t="s">
        <v>373</v>
      </c>
      <c r="CH999493" t="s">
        <v>374</v>
      </c>
      <c r="CI999493" t="s">
        <v>376</v>
      </c>
      <c r="CJ999493" t="s">
        <v>377</v>
      </c>
      <c r="CK999493" t="s">
        <v>378</v>
      </c>
      <c r="CL999493" t="s">
        <v>380</v>
      </c>
      <c r="CM999493" t="s">
        <v>381</v>
      </c>
      <c r="CN999493" t="s">
        <v>382</v>
      </c>
      <c r="CO999493" t="s">
        <v>384</v>
      </c>
      <c r="CP999493" t="s">
        <v>385</v>
      </c>
      <c r="CQ999493" t="s">
        <v>386</v>
      </c>
      <c r="CR999493" t="s">
        <v>387</v>
      </c>
      <c r="CS999493" t="s">
        <v>388</v>
      </c>
      <c r="CT999493" t="s">
        <v>390</v>
      </c>
      <c r="CU999493" t="s">
        <v>391</v>
      </c>
      <c r="CV999493" t="s">
        <v>392</v>
      </c>
      <c r="CW999493" t="s">
        <v>394</v>
      </c>
      <c r="CX999493" t="s">
        <v>395</v>
      </c>
      <c r="CY999493" t="s">
        <v>397</v>
      </c>
      <c r="CZ999493" t="s">
        <v>398</v>
      </c>
      <c r="DA999493" t="s">
        <v>399</v>
      </c>
      <c r="DB999493" t="s">
        <v>401</v>
      </c>
      <c r="DC999493" t="s">
        <v>402</v>
      </c>
      <c r="DD999493" t="s">
        <v>403</v>
      </c>
      <c r="DE999493" t="s">
        <v>404</v>
      </c>
      <c r="DF999493" t="s">
        <v>405</v>
      </c>
      <c r="DG999493" t="s">
        <v>406</v>
      </c>
      <c r="DH999493" t="s">
        <v>407</v>
      </c>
      <c r="DI999493" t="s">
        <v>408</v>
      </c>
      <c r="DJ999493" t="s">
        <v>409</v>
      </c>
      <c r="DK999493" t="s">
        <v>410</v>
      </c>
      <c r="DL999493" t="s">
        <v>411</v>
      </c>
      <c r="DM999493" t="s">
        <v>412</v>
      </c>
      <c r="DN999493" t="s">
        <v>413</v>
      </c>
      <c r="DO999493" t="s">
        <v>414</v>
      </c>
      <c r="DP999493" t="s">
        <v>415</v>
      </c>
      <c r="DQ999493" t="s">
        <v>416</v>
      </c>
      <c r="DR999493" t="s">
        <v>417</v>
      </c>
      <c r="DS999493" t="s">
        <v>418</v>
      </c>
      <c r="DT999493" t="s">
        <v>419</v>
      </c>
      <c r="DU999493" t="s">
        <v>420</v>
      </c>
      <c r="DV999493" t="s">
        <v>421</v>
      </c>
      <c r="DW999493" t="s">
        <v>422</v>
      </c>
      <c r="DX999493" t="s">
        <v>424</v>
      </c>
      <c r="DY999493" t="s">
        <v>425</v>
      </c>
      <c r="DZ999493" t="s">
        <v>427</v>
      </c>
      <c r="EA999493" t="s">
        <v>428</v>
      </c>
      <c r="EB999493" t="s">
        <v>429</v>
      </c>
      <c r="EC999493" t="s">
        <v>430</v>
      </c>
      <c r="ED999493" t="s">
        <v>431</v>
      </c>
      <c r="EE999493" t="s">
        <v>433</v>
      </c>
      <c r="EF999493" t="s">
        <v>434</v>
      </c>
      <c r="EG999493" t="s">
        <v>435</v>
      </c>
      <c r="EH999493" t="s">
        <v>436</v>
      </c>
      <c r="EI999493" t="s">
        <v>437</v>
      </c>
      <c r="EJ999493" t="s">
        <v>438</v>
      </c>
      <c r="EK999493" t="s">
        <v>439</v>
      </c>
      <c r="EL999493" t="s">
        <v>441</v>
      </c>
      <c r="EM999493" t="s">
        <v>442</v>
      </c>
      <c r="EN999493" t="s">
        <v>443</v>
      </c>
      <c r="EO999493" t="s">
        <v>444</v>
      </c>
      <c r="EP999493" t="s">
        <v>445</v>
      </c>
    </row>
    <row r="999494" spans="2:146">
      <c r="BQ999494">
        <v>67</v>
      </c>
      <c r="BR999494">
        <v>68</v>
      </c>
      <c r="BS999494">
        <v>69</v>
      </c>
      <c r="BT999494">
        <v>70</v>
      </c>
      <c r="BU999494">
        <v>71</v>
      </c>
      <c r="BV999494">
        <v>72</v>
      </c>
      <c r="BW999494">
        <v>73</v>
      </c>
      <c r="BX999494">
        <v>74</v>
      </c>
      <c r="BY999494">
        <v>75</v>
      </c>
      <c r="BZ999494">
        <v>76</v>
      </c>
      <c r="CA999494">
        <v>77</v>
      </c>
      <c r="CB999494">
        <v>78</v>
      </c>
      <c r="CC999494">
        <v>79</v>
      </c>
      <c r="CD999494">
        <v>80</v>
      </c>
      <c r="CE999494">
        <v>81</v>
      </c>
      <c r="CF999494">
        <v>82</v>
      </c>
      <c r="CG999494">
        <v>83</v>
      </c>
      <c r="CH999494">
        <v>84</v>
      </c>
      <c r="CI999494">
        <v>85</v>
      </c>
      <c r="CJ999494">
        <v>86</v>
      </c>
      <c r="CK999494">
        <v>87</v>
      </c>
      <c r="CL999494">
        <v>88</v>
      </c>
      <c r="CM999494">
        <v>89</v>
      </c>
      <c r="CN999494">
        <v>90</v>
      </c>
      <c r="CO999494">
        <v>91</v>
      </c>
      <c r="CP999494">
        <v>92</v>
      </c>
      <c r="CQ999494">
        <v>93</v>
      </c>
      <c r="CR999494">
        <v>94</v>
      </c>
      <c r="CS999494">
        <v>95</v>
      </c>
      <c r="CT999494">
        <v>96</v>
      </c>
      <c r="CU999494">
        <v>97</v>
      </c>
      <c r="CV999494">
        <v>98</v>
      </c>
      <c r="CW999494">
        <v>99</v>
      </c>
      <c r="CX999494">
        <v>100</v>
      </c>
      <c r="CY999494">
        <v>101</v>
      </c>
      <c r="CZ999494">
        <v>102</v>
      </c>
      <c r="DA999494">
        <v>103</v>
      </c>
      <c r="DB999494">
        <v>104</v>
      </c>
      <c r="DC999494">
        <v>105</v>
      </c>
      <c r="DD999494">
        <v>106</v>
      </c>
      <c r="DE999494">
        <v>107</v>
      </c>
      <c r="DF999494">
        <v>108</v>
      </c>
      <c r="DG999494">
        <v>109</v>
      </c>
      <c r="DH999494">
        <v>110</v>
      </c>
      <c r="DI999494">
        <v>111</v>
      </c>
      <c r="DJ999494">
        <v>112</v>
      </c>
      <c r="DK999494">
        <v>113</v>
      </c>
      <c r="DL999494">
        <v>114</v>
      </c>
      <c r="DM999494">
        <v>115</v>
      </c>
      <c r="DN999494">
        <v>116</v>
      </c>
      <c r="DO999494">
        <v>117</v>
      </c>
      <c r="DP999494">
        <v>118</v>
      </c>
      <c r="DQ999494">
        <v>119</v>
      </c>
      <c r="DR999494">
        <v>120</v>
      </c>
      <c r="DS999494">
        <v>121</v>
      </c>
      <c r="DT999494">
        <v>122</v>
      </c>
      <c r="DU999494">
        <v>123</v>
      </c>
      <c r="DV999494">
        <v>124</v>
      </c>
      <c r="DW999494">
        <v>125</v>
      </c>
      <c r="DX999494">
        <v>126</v>
      </c>
      <c r="DY999494">
        <v>127</v>
      </c>
      <c r="DZ999494">
        <v>128</v>
      </c>
      <c r="EA999494">
        <v>129</v>
      </c>
      <c r="EB999494">
        <v>130</v>
      </c>
      <c r="EC999494">
        <v>131</v>
      </c>
      <c r="ED999494">
        <v>132</v>
      </c>
      <c r="EE999494">
        <v>133</v>
      </c>
      <c r="EF999494">
        <v>134</v>
      </c>
      <c r="EG999494">
        <v>135</v>
      </c>
      <c r="EH999494">
        <v>136</v>
      </c>
      <c r="EI999494">
        <v>137</v>
      </c>
      <c r="EJ999494">
        <v>138</v>
      </c>
      <c r="EK999494">
        <v>139</v>
      </c>
      <c r="EL999494">
        <v>140</v>
      </c>
      <c r="EM999494">
        <v>141</v>
      </c>
      <c r="EN999494">
        <v>142</v>
      </c>
      <c r="EO999494">
        <v>143</v>
      </c>
      <c r="EP999494">
        <v>144</v>
      </c>
    </row>
    <row r="999495" spans="2:146">
      <c r="CE999495" t="s">
        <v>451</v>
      </c>
    </row>
    <row r="1015810" spans="2:2">
      <c r="B1015810">
        <v>200</v>
      </c>
    </row>
    <row r="1015811" spans="2:2">
      <c r="B1015811">
        <v>200</v>
      </c>
    </row>
    <row r="1015812" spans="2:2">
      <c r="B1015812">
        <v>800</v>
      </c>
    </row>
    <row r="1015813" spans="2:2">
      <c r="B1015813">
        <v>200</v>
      </c>
    </row>
    <row r="1015814" spans="2:2">
      <c r="B1015814">
        <v>1044</v>
      </c>
    </row>
    <row r="1015815" spans="2:2">
      <c r="B1015815">
        <v>998.40000000000009</v>
      </c>
    </row>
    <row r="1015816" spans="2:2">
      <c r="B1015816">
        <v>272</v>
      </c>
    </row>
    <row r="1015817" spans="2:2">
      <c r="B1015817">
        <v>200</v>
      </c>
    </row>
    <row r="1015818" spans="2:2">
      <c r="B1015818">
        <v>214</v>
      </c>
    </row>
    <row r="1015819" spans="2:2">
      <c r="B1015819">
        <v>200</v>
      </c>
    </row>
    <row r="1015820" spans="2:2">
      <c r="B1015820">
        <v>152</v>
      </c>
    </row>
    <row r="1015821" spans="2:2">
      <c r="B1015821">
        <v>200</v>
      </c>
    </row>
    <row r="1015822" spans="2:2">
      <c r="B1015822">
        <v>300</v>
      </c>
    </row>
    <row r="1015823" spans="2:2">
      <c r="B1015823">
        <v>104</v>
      </c>
    </row>
    <row r="1015824" spans="2:2">
      <c r="B1015824">
        <v>162</v>
      </c>
    </row>
    <row r="1015825" spans="2:2">
      <c r="B1015825">
        <v>200</v>
      </c>
    </row>
    <row r="1015826" spans="2:2">
      <c r="B1015826">
        <v>200</v>
      </c>
    </row>
    <row r="1015827" spans="2:2">
      <c r="B1015827">
        <v>200</v>
      </c>
    </row>
    <row r="1015828" spans="2:2">
      <c r="B1015828">
        <v>200</v>
      </c>
    </row>
    <row r="1015829" spans="2:2">
      <c r="B1015829">
        <v>200</v>
      </c>
    </row>
    <row r="1015830" spans="2:2">
      <c r="B1015830">
        <v>200</v>
      </c>
    </row>
    <row r="1015831" spans="2:2">
      <c r="B1015831">
        <v>200</v>
      </c>
    </row>
    <row r="1015832" spans="2:2">
      <c r="B1015832">
        <v>200</v>
      </c>
    </row>
    <row r="1015833" spans="2:2">
      <c r="B1015833">
        <v>800</v>
      </c>
    </row>
    <row r="1015834" spans="2:2">
      <c r="B1015834">
        <v>300</v>
      </c>
    </row>
    <row r="1015835" spans="2:2">
      <c r="B1015835">
        <v>778</v>
      </c>
    </row>
    <row r="1015836" spans="2:2">
      <c r="B1015836">
        <v>614</v>
      </c>
    </row>
    <row r="1015837" spans="2:2">
      <c r="B1015837">
        <v>444</v>
      </c>
    </row>
    <row r="1015838" spans="2:2">
      <c r="B1015838">
        <v>800</v>
      </c>
    </row>
    <row r="1015839" spans="2:2">
      <c r="B1015839">
        <v>200</v>
      </c>
    </row>
    <row r="1015840" spans="2:2">
      <c r="B1015840">
        <v>780</v>
      </c>
    </row>
    <row r="1015841" spans="2:146">
      <c r="B1015841">
        <v>174</v>
      </c>
    </row>
    <row r="1015842" spans="2:146">
      <c r="B1015842">
        <v>194</v>
      </c>
    </row>
    <row r="1015843" spans="2:146">
      <c r="B1015843">
        <v>782</v>
      </c>
    </row>
    <row r="1015844" spans="2:146">
      <c r="B1015844">
        <v>236</v>
      </c>
    </row>
    <row r="1015845" spans="2:146">
      <c r="B1015845">
        <v>144</v>
      </c>
    </row>
    <row r="1015846" spans="2:146">
      <c r="B1015846">
        <v>200</v>
      </c>
    </row>
    <row r="1015847" spans="2:146">
      <c r="B1015847">
        <v>240</v>
      </c>
    </row>
    <row r="1015848" spans="2:146">
      <c r="B1015848">
        <v>200</v>
      </c>
    </row>
    <row r="1015849" spans="2:146">
      <c r="B1015849">
        <v>612</v>
      </c>
    </row>
    <row r="1015850" spans="2:146">
      <c r="B1015850">
        <v>156</v>
      </c>
    </row>
    <row r="1015851" spans="2:146">
      <c r="B1015851">
        <v>116</v>
      </c>
    </row>
    <row r="1015852" spans="2:146">
      <c r="B1015852">
        <v>160</v>
      </c>
    </row>
    <row r="1015853" spans="2:146">
      <c r="B1015853">
        <v>80</v>
      </c>
      <c r="EL1015853">
        <v>0.66</v>
      </c>
      <c r="EM1015853">
        <v>0.66</v>
      </c>
      <c r="EN1015853">
        <v>0.66</v>
      </c>
      <c r="EO1015853">
        <v>0.66</v>
      </c>
      <c r="EP1015853">
        <v>0.66</v>
      </c>
    </row>
    <row r="1015854" spans="2:146">
      <c r="B1015854">
        <v>1144</v>
      </c>
      <c r="BV1015854">
        <v>5.0999999999999996</v>
      </c>
      <c r="BW1015854">
        <v>5.0999999999999996</v>
      </c>
      <c r="DB1015854">
        <v>10.210000000000001</v>
      </c>
      <c r="DC1015854">
        <v>10.210000000000001</v>
      </c>
      <c r="DD1015854">
        <v>10.210000000000001</v>
      </c>
      <c r="DE1015854">
        <v>10.210000000000001</v>
      </c>
      <c r="DF1015854">
        <v>10.210000000000001</v>
      </c>
      <c r="DG1015854">
        <v>10.210000000000001</v>
      </c>
      <c r="DH1015854">
        <v>10.210000000000001</v>
      </c>
    </row>
    <row r="1015855" spans="2:146">
      <c r="B1015855">
        <v>1240</v>
      </c>
      <c r="EE1015855">
        <v>8.15</v>
      </c>
      <c r="EF1015855">
        <v>8.15</v>
      </c>
      <c r="EG1015855">
        <v>8.15</v>
      </c>
      <c r="EH1015855">
        <v>8.15</v>
      </c>
      <c r="EI1015855">
        <v>8.15</v>
      </c>
      <c r="EJ1015855">
        <v>8.15</v>
      </c>
      <c r="EK1015855">
        <v>8.15</v>
      </c>
    </row>
    <row r="1015856" spans="2:146">
      <c r="B1015856">
        <v>2083.2000000000003</v>
      </c>
      <c r="DI1015856">
        <v>20.03</v>
      </c>
      <c r="DJ1015856">
        <v>20.03</v>
      </c>
      <c r="DQ1015856">
        <v>20.03</v>
      </c>
      <c r="DT1015856">
        <v>20.03</v>
      </c>
      <c r="DW1015856">
        <v>20.03</v>
      </c>
    </row>
    <row r="1015857" spans="2:134">
      <c r="B1015857">
        <v>357.20000000000005</v>
      </c>
      <c r="DI1015857">
        <v>3.88</v>
      </c>
      <c r="DJ1015857">
        <v>3.88</v>
      </c>
      <c r="DV1015857">
        <v>3.88</v>
      </c>
      <c r="DW1015857">
        <v>3.88</v>
      </c>
    </row>
    <row r="1015858" spans="2:134">
      <c r="B1015858">
        <v>391.20000000000005</v>
      </c>
      <c r="DI1015858">
        <v>3.62</v>
      </c>
      <c r="DJ1015858">
        <v>3.62</v>
      </c>
      <c r="DR1015858">
        <v>3.62</v>
      </c>
      <c r="DU1015858">
        <v>3.62</v>
      </c>
      <c r="DV1015858">
        <v>3.62</v>
      </c>
    </row>
    <row r="1015859" spans="2:134">
      <c r="B1015859">
        <v>762.80000000000007</v>
      </c>
      <c r="DI1015859">
        <v>6.15</v>
      </c>
      <c r="DJ1015859">
        <v>6.15</v>
      </c>
      <c r="DQ1015859">
        <v>6.15</v>
      </c>
      <c r="DR1015859">
        <v>6.15</v>
      </c>
      <c r="DS1015859">
        <v>6.15</v>
      </c>
      <c r="DT1015859">
        <v>6.15</v>
      </c>
    </row>
    <row r="1015860" spans="2:134">
      <c r="B1015860">
        <v>1280</v>
      </c>
      <c r="DI1015860">
        <v>10.66</v>
      </c>
      <c r="DJ1015860">
        <v>10.66</v>
      </c>
      <c r="DK1015860">
        <v>10.66</v>
      </c>
      <c r="DL1015860">
        <v>10.66</v>
      </c>
      <c r="DM1015860">
        <v>10.66</v>
      </c>
      <c r="DN1015860">
        <v>10.66</v>
      </c>
    </row>
    <row r="1015861" spans="2:134">
      <c r="B1015861">
        <v>234</v>
      </c>
      <c r="CT1015861">
        <v>2.5</v>
      </c>
      <c r="CU1015861">
        <v>2.5</v>
      </c>
      <c r="CV1015861">
        <v>2.5</v>
      </c>
    </row>
    <row r="1015862" spans="2:134">
      <c r="B1015862">
        <v>354</v>
      </c>
      <c r="CY1015862">
        <v>3.98</v>
      </c>
      <c r="CZ1015862">
        <v>3.98</v>
      </c>
      <c r="DA1015862">
        <v>3.98</v>
      </c>
    </row>
    <row r="1015863" spans="2:134">
      <c r="B1015863">
        <v>392</v>
      </c>
      <c r="DI1015863">
        <v>3.52</v>
      </c>
      <c r="DJ1015863">
        <v>3.52</v>
      </c>
      <c r="DL1015863">
        <v>3.52</v>
      </c>
      <c r="DO1015863">
        <v>3.52</v>
      </c>
    </row>
    <row r="1015864" spans="2:134">
      <c r="B1015864">
        <v>304</v>
      </c>
      <c r="CE1015864">
        <v>3.8</v>
      </c>
      <c r="CF1015864">
        <v>3.8</v>
      </c>
    </row>
    <row r="1015865" spans="2:134">
      <c r="B1015865">
        <v>144</v>
      </c>
      <c r="DZ1015865">
        <v>1.62</v>
      </c>
      <c r="EA1015865">
        <v>1.62</v>
      </c>
      <c r="EB1015865">
        <v>1.62</v>
      </c>
      <c r="EC1015865">
        <v>0.81</v>
      </c>
      <c r="ED1015865">
        <v>0.81</v>
      </c>
    </row>
    <row r="1015866" spans="2:134">
      <c r="B1015866">
        <v>602.40000000000009</v>
      </c>
      <c r="BY1015866">
        <v>6.02</v>
      </c>
      <c r="BZ1015866">
        <v>6.02</v>
      </c>
      <c r="CB1015866">
        <v>3.01</v>
      </c>
      <c r="CC1015866">
        <v>3.01</v>
      </c>
      <c r="CD1015866">
        <v>3.01</v>
      </c>
      <c r="CI1015866">
        <v>6.02</v>
      </c>
      <c r="CJ1015866">
        <v>6.02</v>
      </c>
      <c r="CK1015866">
        <v>6.02</v>
      </c>
    </row>
    <row r="1015867" spans="2:134">
      <c r="B1015867">
        <v>307.60000000000002</v>
      </c>
      <c r="BY1015867">
        <v>3.34</v>
      </c>
      <c r="BZ1015867">
        <v>3.34</v>
      </c>
      <c r="CG1015867">
        <v>3.34</v>
      </c>
      <c r="CH1015867">
        <v>3.34</v>
      </c>
    </row>
    <row r="1015868" spans="2:134">
      <c r="B1015868">
        <v>358</v>
      </c>
      <c r="BY1015868">
        <v>2.37</v>
      </c>
      <c r="BZ1015868">
        <v>2.37</v>
      </c>
      <c r="CA1015868">
        <v>2.37</v>
      </c>
      <c r="DX1015868">
        <v>4.74</v>
      </c>
      <c r="DY1015868">
        <v>4.74</v>
      </c>
    </row>
    <row r="1015869" spans="2:134">
      <c r="B1015869">
        <v>286</v>
      </c>
      <c r="BT1015869">
        <v>1.43</v>
      </c>
      <c r="BV1015869">
        <v>1.43</v>
      </c>
      <c r="BW1015869">
        <v>1.43</v>
      </c>
      <c r="BX1015869">
        <v>1.43</v>
      </c>
      <c r="CO1015869">
        <v>2.86</v>
      </c>
      <c r="CP1015869">
        <v>2.86</v>
      </c>
      <c r="CQ1015869">
        <v>2.86</v>
      </c>
      <c r="CR1015869">
        <v>2.86</v>
      </c>
      <c r="CS1015869">
        <v>2.86</v>
      </c>
    </row>
    <row r="1015870" spans="2:134">
      <c r="B1015870">
        <v>410</v>
      </c>
      <c r="BY1015870">
        <v>2.88</v>
      </c>
      <c r="BZ1015870">
        <v>2.88</v>
      </c>
      <c r="CA1015870">
        <v>2.88</v>
      </c>
      <c r="CW1015870">
        <v>5.76</v>
      </c>
      <c r="CX1015870">
        <v>5.76</v>
      </c>
    </row>
    <row r="1015871" spans="2:134">
      <c r="B1015871">
        <v>346</v>
      </c>
      <c r="BR1015871">
        <v>3.6</v>
      </c>
      <c r="BS1015871">
        <v>3.6</v>
      </c>
      <c r="BT1015871">
        <v>1.8</v>
      </c>
      <c r="CL1015871">
        <v>3.6</v>
      </c>
      <c r="CM1015871">
        <v>3.6</v>
      </c>
      <c r="CN1015871">
        <v>3.6</v>
      </c>
    </row>
    <row r="1015872" spans="2:134">
      <c r="B1015872">
        <v>302</v>
      </c>
      <c r="BR1015872">
        <v>3.28</v>
      </c>
      <c r="BS1015872">
        <v>3.28</v>
      </c>
      <c r="BT1015872">
        <v>1.64</v>
      </c>
      <c r="BU1015872">
        <v>1.64</v>
      </c>
      <c r="CL1015872">
        <v>3.28</v>
      </c>
      <c r="CM1015872">
        <v>3.28</v>
      </c>
      <c r="CN1015872">
        <v>3.28</v>
      </c>
    </row>
    <row r="1015873" spans="2:146">
      <c r="B1015873">
        <v>204</v>
      </c>
      <c r="BR1015873">
        <v>2.12</v>
      </c>
      <c r="BS1015873">
        <v>2.12</v>
      </c>
      <c r="BT1015873">
        <v>1.06</v>
      </c>
      <c r="CL1015873">
        <v>2.12</v>
      </c>
      <c r="CM1015873">
        <v>2.12</v>
      </c>
      <c r="CN1015873">
        <v>2.12</v>
      </c>
    </row>
    <row r="1015875" spans="2:146">
      <c r="B1015875">
        <v>26358.800000000003</v>
      </c>
      <c r="BQ1015875">
        <v>0</v>
      </c>
      <c r="BR1015875">
        <v>9</v>
      </c>
      <c r="BS1015875">
        <v>9</v>
      </c>
      <c r="BT1015875">
        <v>5.93</v>
      </c>
      <c r="BU1015875">
        <v>1.64</v>
      </c>
      <c r="BV1015875">
        <v>6.5299999999999994</v>
      </c>
      <c r="BW1015875">
        <v>6.5299999999999994</v>
      </c>
      <c r="BX1015875">
        <v>1.43</v>
      </c>
      <c r="BY1015875">
        <v>14.61</v>
      </c>
      <c r="BZ1015875">
        <v>14.61</v>
      </c>
      <c r="CA1015875">
        <v>5.25</v>
      </c>
      <c r="CB1015875">
        <v>3.01</v>
      </c>
      <c r="CC1015875">
        <v>3.01</v>
      </c>
      <c r="CD1015875">
        <v>3.01</v>
      </c>
      <c r="CE1015875">
        <v>3.8</v>
      </c>
      <c r="CF1015875">
        <v>3.8</v>
      </c>
      <c r="CG1015875">
        <v>3.34</v>
      </c>
      <c r="CH1015875">
        <v>3.34</v>
      </c>
      <c r="CI1015875">
        <v>6.02</v>
      </c>
      <c r="CJ1015875">
        <v>6.02</v>
      </c>
      <c r="CK1015875">
        <v>6.02</v>
      </c>
      <c r="CL1015875">
        <v>9</v>
      </c>
      <c r="CM1015875">
        <v>9</v>
      </c>
      <c r="CN1015875">
        <v>9</v>
      </c>
      <c r="CO1015875">
        <v>2.86</v>
      </c>
      <c r="CP1015875">
        <v>2.86</v>
      </c>
      <c r="CQ1015875">
        <v>2.86</v>
      </c>
      <c r="CR1015875">
        <v>2.86</v>
      </c>
      <c r="CS1015875">
        <v>2.86</v>
      </c>
      <c r="CT1015875">
        <v>2.5</v>
      </c>
      <c r="CU1015875">
        <v>2.5</v>
      </c>
      <c r="CV1015875">
        <v>2.5</v>
      </c>
      <c r="CW1015875">
        <v>5.76</v>
      </c>
      <c r="CX1015875">
        <v>5.76</v>
      </c>
      <c r="CY1015875">
        <v>3.98</v>
      </c>
      <c r="CZ1015875">
        <v>3.98</v>
      </c>
      <c r="DA1015875">
        <v>3.98</v>
      </c>
      <c r="DB1015875">
        <v>10.210000000000001</v>
      </c>
      <c r="DC1015875">
        <v>10.210000000000001</v>
      </c>
      <c r="DD1015875">
        <v>10.210000000000001</v>
      </c>
      <c r="DE1015875">
        <v>10.210000000000001</v>
      </c>
      <c r="DF1015875">
        <v>10.210000000000001</v>
      </c>
      <c r="DG1015875">
        <v>10.210000000000001</v>
      </c>
      <c r="DH1015875">
        <v>10.210000000000001</v>
      </c>
      <c r="DI1015875">
        <v>47.860000000000007</v>
      </c>
      <c r="DJ1015875">
        <v>47.860000000000007</v>
      </c>
      <c r="DK1015875">
        <v>10.66</v>
      </c>
      <c r="DL1015875">
        <v>14.18</v>
      </c>
      <c r="DM1015875">
        <v>10.66</v>
      </c>
      <c r="DN1015875">
        <v>10.66</v>
      </c>
      <c r="DO1015875">
        <v>3.52</v>
      </c>
      <c r="DP1015875">
        <v>0</v>
      </c>
      <c r="DQ1015875">
        <v>26.18</v>
      </c>
      <c r="DR1015875">
        <v>9.77</v>
      </c>
      <c r="DS1015875">
        <v>6.15</v>
      </c>
      <c r="DT1015875">
        <v>26.18</v>
      </c>
      <c r="DU1015875">
        <v>3.62</v>
      </c>
      <c r="DV1015875">
        <v>7.5</v>
      </c>
      <c r="DW1015875">
        <v>23.91</v>
      </c>
      <c r="DX1015875">
        <v>4.74</v>
      </c>
      <c r="DY1015875">
        <v>4.74</v>
      </c>
      <c r="DZ1015875">
        <v>1.62</v>
      </c>
      <c r="EA1015875">
        <v>1.62</v>
      </c>
      <c r="EB1015875">
        <v>1.62</v>
      </c>
      <c r="EC1015875">
        <v>0.81</v>
      </c>
      <c r="ED1015875">
        <v>0.81</v>
      </c>
      <c r="EE1015875">
        <v>8.15</v>
      </c>
      <c r="EF1015875">
        <v>8.15</v>
      </c>
      <c r="EG1015875">
        <v>8.15</v>
      </c>
      <c r="EH1015875">
        <v>8.15</v>
      </c>
      <c r="EI1015875">
        <v>8.15</v>
      </c>
      <c r="EJ1015875">
        <v>8.15</v>
      </c>
      <c r="EK1015875">
        <v>8.15</v>
      </c>
      <c r="EL1015875">
        <v>0.66</v>
      </c>
      <c r="EM1015875">
        <v>0.66</v>
      </c>
      <c r="EN1015875">
        <v>0.66</v>
      </c>
      <c r="EO1015875">
        <v>0.66</v>
      </c>
      <c r="EP1015875">
        <v>0.66</v>
      </c>
    </row>
    <row r="1015876" spans="2:146">
      <c r="B1015876" t="s">
        <v>265</v>
      </c>
      <c r="BQ1015876" t="s">
        <v>345</v>
      </c>
      <c r="BR1015876" t="s">
        <v>131</v>
      </c>
      <c r="BS1015876" t="s">
        <v>131</v>
      </c>
      <c r="BT1015876" t="s">
        <v>357</v>
      </c>
      <c r="BU1015876" t="s">
        <v>131</v>
      </c>
      <c r="BV1015876" t="s">
        <v>360</v>
      </c>
      <c r="BW1015876" t="s">
        <v>360</v>
      </c>
      <c r="BX1015876" t="s">
        <v>360</v>
      </c>
      <c r="BY1015876" t="s">
        <v>364</v>
      </c>
      <c r="BZ1015876" t="s">
        <v>364</v>
      </c>
      <c r="CA1015876" t="s">
        <v>364</v>
      </c>
      <c r="CB1015876" t="s">
        <v>368</v>
      </c>
      <c r="CC1015876" t="s">
        <v>368</v>
      </c>
      <c r="CD1015876" t="s">
        <v>368</v>
      </c>
      <c r="CE1015876" t="s">
        <v>352</v>
      </c>
      <c r="CF1015876" t="s">
        <v>352</v>
      </c>
      <c r="CG1015876" t="s">
        <v>372</v>
      </c>
      <c r="CH1015876" t="s">
        <v>372</v>
      </c>
      <c r="CI1015876" t="s">
        <v>375</v>
      </c>
      <c r="CJ1015876" t="s">
        <v>375</v>
      </c>
      <c r="CK1015876" t="s">
        <v>375</v>
      </c>
      <c r="CL1015876" t="s">
        <v>379</v>
      </c>
      <c r="CM1015876" t="s">
        <v>379</v>
      </c>
      <c r="CN1015876" t="s">
        <v>379</v>
      </c>
      <c r="CO1015876" t="s">
        <v>383</v>
      </c>
      <c r="CP1015876" t="s">
        <v>383</v>
      </c>
      <c r="CQ1015876" t="s">
        <v>383</v>
      </c>
      <c r="CR1015876" t="s">
        <v>383</v>
      </c>
      <c r="CS1015876" t="s">
        <v>383</v>
      </c>
      <c r="CT1015876" t="s">
        <v>389</v>
      </c>
      <c r="CU1015876" t="s">
        <v>389</v>
      </c>
      <c r="CV1015876" t="s">
        <v>389</v>
      </c>
      <c r="CW1015876" t="s">
        <v>393</v>
      </c>
      <c r="CX1015876" t="s">
        <v>393</v>
      </c>
      <c r="CY1015876" t="s">
        <v>396</v>
      </c>
      <c r="CZ1015876" t="s">
        <v>396</v>
      </c>
      <c r="DA1015876" t="s">
        <v>396</v>
      </c>
      <c r="DB1015876" t="s">
        <v>400</v>
      </c>
      <c r="DC1015876" t="s">
        <v>400</v>
      </c>
      <c r="DD1015876" t="s">
        <v>400</v>
      </c>
      <c r="DE1015876" t="s">
        <v>400</v>
      </c>
      <c r="DF1015876" t="s">
        <v>400</v>
      </c>
      <c r="DG1015876" t="s">
        <v>400</v>
      </c>
      <c r="DH1015876" t="s">
        <v>400</v>
      </c>
      <c r="DI1015876" t="s">
        <v>121</v>
      </c>
      <c r="DJ1015876" t="s">
        <v>121</v>
      </c>
      <c r="DK1015876" t="s">
        <v>121</v>
      </c>
      <c r="DL1015876" t="s">
        <v>121</v>
      </c>
      <c r="DM1015876" t="s">
        <v>121</v>
      </c>
      <c r="DN1015876" t="s">
        <v>121</v>
      </c>
      <c r="DO1015876" t="s">
        <v>121</v>
      </c>
      <c r="DP1015876" t="s">
        <v>121</v>
      </c>
      <c r="DQ1015876" t="s">
        <v>121</v>
      </c>
      <c r="DR1015876" t="s">
        <v>121</v>
      </c>
      <c r="DS1015876" t="s">
        <v>121</v>
      </c>
      <c r="DT1015876" t="s">
        <v>121</v>
      </c>
      <c r="DU1015876" t="s">
        <v>121</v>
      </c>
      <c r="DV1015876" t="s">
        <v>121</v>
      </c>
      <c r="DW1015876" t="s">
        <v>121</v>
      </c>
      <c r="DX1015876" t="s">
        <v>423</v>
      </c>
      <c r="DY1015876" t="s">
        <v>423</v>
      </c>
      <c r="DZ1015876" t="s">
        <v>426</v>
      </c>
      <c r="EA1015876" t="s">
        <v>426</v>
      </c>
      <c r="EB1015876" t="s">
        <v>426</v>
      </c>
      <c r="EC1015876" t="s">
        <v>426</v>
      </c>
      <c r="ED1015876" t="s">
        <v>426</v>
      </c>
      <c r="EE1015876" t="s">
        <v>432</v>
      </c>
      <c r="EF1015876" t="s">
        <v>432</v>
      </c>
      <c r="EG1015876" t="s">
        <v>432</v>
      </c>
      <c r="EH1015876" t="s">
        <v>432</v>
      </c>
      <c r="EI1015876" t="s">
        <v>432</v>
      </c>
      <c r="EJ1015876" t="s">
        <v>432</v>
      </c>
      <c r="EK1015876" t="s">
        <v>432</v>
      </c>
      <c r="EL1015876" t="s">
        <v>440</v>
      </c>
      <c r="EM1015876" t="s">
        <v>440</v>
      </c>
      <c r="EN1015876" t="s">
        <v>440</v>
      </c>
      <c r="EO1015876" t="s">
        <v>440</v>
      </c>
      <c r="EP1015876" t="s">
        <v>440</v>
      </c>
    </row>
    <row r="1015877" spans="2:146">
      <c r="BQ1015877" t="s">
        <v>351</v>
      </c>
      <c r="BR1015877" t="s">
        <v>355</v>
      </c>
      <c r="BS1015877" t="s">
        <v>356</v>
      </c>
      <c r="BT1015877" t="s">
        <v>358</v>
      </c>
      <c r="BU1015877" t="s">
        <v>359</v>
      </c>
      <c r="BV1015877" t="s">
        <v>361</v>
      </c>
      <c r="BW1015877" t="s">
        <v>362</v>
      </c>
      <c r="BX1015877" t="s">
        <v>363</v>
      </c>
      <c r="BY1015877" t="s">
        <v>365</v>
      </c>
      <c r="BZ1015877" t="s">
        <v>366</v>
      </c>
      <c r="CA1015877" t="s">
        <v>367</v>
      </c>
      <c r="CB1015877" t="s">
        <v>369</v>
      </c>
      <c r="CC1015877" t="s">
        <v>370</v>
      </c>
      <c r="CD1015877" t="s">
        <v>371</v>
      </c>
      <c r="CE1015877" t="s">
        <v>353</v>
      </c>
      <c r="CF1015877" t="s">
        <v>354</v>
      </c>
      <c r="CG1015877" t="s">
        <v>373</v>
      </c>
      <c r="CH1015877" t="s">
        <v>374</v>
      </c>
      <c r="CI1015877" t="s">
        <v>376</v>
      </c>
      <c r="CJ1015877" t="s">
        <v>377</v>
      </c>
      <c r="CK1015877" t="s">
        <v>378</v>
      </c>
      <c r="CL1015877" t="s">
        <v>380</v>
      </c>
      <c r="CM1015877" t="s">
        <v>381</v>
      </c>
      <c r="CN1015877" t="s">
        <v>382</v>
      </c>
      <c r="CO1015877" t="s">
        <v>384</v>
      </c>
      <c r="CP1015877" t="s">
        <v>385</v>
      </c>
      <c r="CQ1015877" t="s">
        <v>386</v>
      </c>
      <c r="CR1015877" t="s">
        <v>387</v>
      </c>
      <c r="CS1015877" t="s">
        <v>388</v>
      </c>
      <c r="CT1015877" t="s">
        <v>390</v>
      </c>
      <c r="CU1015877" t="s">
        <v>391</v>
      </c>
      <c r="CV1015877" t="s">
        <v>392</v>
      </c>
      <c r="CW1015877" t="s">
        <v>394</v>
      </c>
      <c r="CX1015877" t="s">
        <v>395</v>
      </c>
      <c r="CY1015877" t="s">
        <v>397</v>
      </c>
      <c r="CZ1015877" t="s">
        <v>398</v>
      </c>
      <c r="DA1015877" t="s">
        <v>399</v>
      </c>
      <c r="DB1015877" t="s">
        <v>401</v>
      </c>
      <c r="DC1015877" t="s">
        <v>402</v>
      </c>
      <c r="DD1015877" t="s">
        <v>403</v>
      </c>
      <c r="DE1015877" t="s">
        <v>404</v>
      </c>
      <c r="DF1015877" t="s">
        <v>405</v>
      </c>
      <c r="DG1015877" t="s">
        <v>406</v>
      </c>
      <c r="DH1015877" t="s">
        <v>407</v>
      </c>
      <c r="DI1015877" t="s">
        <v>408</v>
      </c>
      <c r="DJ1015877" t="s">
        <v>409</v>
      </c>
      <c r="DK1015877" t="s">
        <v>410</v>
      </c>
      <c r="DL1015877" t="s">
        <v>411</v>
      </c>
      <c r="DM1015877" t="s">
        <v>412</v>
      </c>
      <c r="DN1015877" t="s">
        <v>413</v>
      </c>
      <c r="DO1015877" t="s">
        <v>414</v>
      </c>
      <c r="DP1015877" t="s">
        <v>415</v>
      </c>
      <c r="DQ1015877" t="s">
        <v>416</v>
      </c>
      <c r="DR1015877" t="s">
        <v>417</v>
      </c>
      <c r="DS1015877" t="s">
        <v>418</v>
      </c>
      <c r="DT1015877" t="s">
        <v>419</v>
      </c>
      <c r="DU1015877" t="s">
        <v>420</v>
      </c>
      <c r="DV1015877" t="s">
        <v>421</v>
      </c>
      <c r="DW1015877" t="s">
        <v>422</v>
      </c>
      <c r="DX1015877" t="s">
        <v>424</v>
      </c>
      <c r="DY1015877" t="s">
        <v>425</v>
      </c>
      <c r="DZ1015877" t="s">
        <v>427</v>
      </c>
      <c r="EA1015877" t="s">
        <v>428</v>
      </c>
      <c r="EB1015877" t="s">
        <v>429</v>
      </c>
      <c r="EC1015877" t="s">
        <v>430</v>
      </c>
      <c r="ED1015877" t="s">
        <v>431</v>
      </c>
      <c r="EE1015877" t="s">
        <v>433</v>
      </c>
      <c r="EF1015877" t="s">
        <v>434</v>
      </c>
      <c r="EG1015877" t="s">
        <v>435</v>
      </c>
      <c r="EH1015877" t="s">
        <v>436</v>
      </c>
      <c r="EI1015877" t="s">
        <v>437</v>
      </c>
      <c r="EJ1015877" t="s">
        <v>438</v>
      </c>
      <c r="EK1015877" t="s">
        <v>439</v>
      </c>
      <c r="EL1015877" t="s">
        <v>441</v>
      </c>
      <c r="EM1015877" t="s">
        <v>442</v>
      </c>
      <c r="EN1015877" t="s">
        <v>443</v>
      </c>
      <c r="EO1015877" t="s">
        <v>444</v>
      </c>
      <c r="EP1015877" t="s">
        <v>445</v>
      </c>
    </row>
    <row r="1015878" spans="2:146">
      <c r="BQ1015878">
        <v>67</v>
      </c>
      <c r="BR1015878">
        <v>68</v>
      </c>
      <c r="BS1015878">
        <v>69</v>
      </c>
      <c r="BT1015878">
        <v>70</v>
      </c>
      <c r="BU1015878">
        <v>71</v>
      </c>
      <c r="BV1015878">
        <v>72</v>
      </c>
      <c r="BW1015878">
        <v>73</v>
      </c>
      <c r="BX1015878">
        <v>74</v>
      </c>
      <c r="BY1015878">
        <v>75</v>
      </c>
      <c r="BZ1015878">
        <v>76</v>
      </c>
      <c r="CA1015878">
        <v>77</v>
      </c>
      <c r="CB1015878">
        <v>78</v>
      </c>
      <c r="CC1015878">
        <v>79</v>
      </c>
      <c r="CD1015878">
        <v>80</v>
      </c>
      <c r="CE1015878">
        <v>81</v>
      </c>
      <c r="CF1015878">
        <v>82</v>
      </c>
      <c r="CG1015878">
        <v>83</v>
      </c>
      <c r="CH1015878">
        <v>84</v>
      </c>
      <c r="CI1015878">
        <v>85</v>
      </c>
      <c r="CJ1015878">
        <v>86</v>
      </c>
      <c r="CK1015878">
        <v>87</v>
      </c>
      <c r="CL1015878">
        <v>88</v>
      </c>
      <c r="CM1015878">
        <v>89</v>
      </c>
      <c r="CN1015878">
        <v>90</v>
      </c>
      <c r="CO1015878">
        <v>91</v>
      </c>
      <c r="CP1015878">
        <v>92</v>
      </c>
      <c r="CQ1015878">
        <v>93</v>
      </c>
      <c r="CR1015878">
        <v>94</v>
      </c>
      <c r="CS1015878">
        <v>95</v>
      </c>
      <c r="CT1015878">
        <v>96</v>
      </c>
      <c r="CU1015878">
        <v>97</v>
      </c>
      <c r="CV1015878">
        <v>98</v>
      </c>
      <c r="CW1015878">
        <v>99</v>
      </c>
      <c r="CX1015878">
        <v>100</v>
      </c>
      <c r="CY1015878">
        <v>101</v>
      </c>
      <c r="CZ1015878">
        <v>102</v>
      </c>
      <c r="DA1015878">
        <v>103</v>
      </c>
      <c r="DB1015878">
        <v>104</v>
      </c>
      <c r="DC1015878">
        <v>105</v>
      </c>
      <c r="DD1015878">
        <v>106</v>
      </c>
      <c r="DE1015878">
        <v>107</v>
      </c>
      <c r="DF1015878">
        <v>108</v>
      </c>
      <c r="DG1015878">
        <v>109</v>
      </c>
      <c r="DH1015878">
        <v>110</v>
      </c>
      <c r="DI1015878">
        <v>111</v>
      </c>
      <c r="DJ1015878">
        <v>112</v>
      </c>
      <c r="DK1015878">
        <v>113</v>
      </c>
      <c r="DL1015878">
        <v>114</v>
      </c>
      <c r="DM1015878">
        <v>115</v>
      </c>
      <c r="DN1015878">
        <v>116</v>
      </c>
      <c r="DO1015878">
        <v>117</v>
      </c>
      <c r="DP1015878">
        <v>118</v>
      </c>
      <c r="DQ1015878">
        <v>119</v>
      </c>
      <c r="DR1015878">
        <v>120</v>
      </c>
      <c r="DS1015878">
        <v>121</v>
      </c>
      <c r="DT1015878">
        <v>122</v>
      </c>
      <c r="DU1015878">
        <v>123</v>
      </c>
      <c r="DV1015878">
        <v>124</v>
      </c>
      <c r="DW1015878">
        <v>125</v>
      </c>
      <c r="DX1015878">
        <v>126</v>
      </c>
      <c r="DY1015878">
        <v>127</v>
      </c>
      <c r="DZ1015878">
        <v>128</v>
      </c>
      <c r="EA1015878">
        <v>129</v>
      </c>
      <c r="EB1015878">
        <v>130</v>
      </c>
      <c r="EC1015878">
        <v>131</v>
      </c>
      <c r="ED1015878">
        <v>132</v>
      </c>
      <c r="EE1015878">
        <v>133</v>
      </c>
      <c r="EF1015878">
        <v>134</v>
      </c>
      <c r="EG1015878">
        <v>135</v>
      </c>
      <c r="EH1015878">
        <v>136</v>
      </c>
      <c r="EI1015878">
        <v>137</v>
      </c>
      <c r="EJ1015878">
        <v>138</v>
      </c>
      <c r="EK1015878">
        <v>139</v>
      </c>
      <c r="EL1015878">
        <v>140</v>
      </c>
      <c r="EM1015878">
        <v>141</v>
      </c>
      <c r="EN1015878">
        <v>142</v>
      </c>
      <c r="EO1015878">
        <v>143</v>
      </c>
      <c r="EP1015878">
        <v>144</v>
      </c>
    </row>
    <row r="1015879" spans="2:146">
      <c r="CE1015879" t="s">
        <v>451</v>
      </c>
    </row>
    <row r="1032194" spans="2:2">
      <c r="B1032194">
        <v>200</v>
      </c>
    </row>
    <row r="1032195" spans="2:2">
      <c r="B1032195">
        <v>200</v>
      </c>
    </row>
    <row r="1032196" spans="2:2">
      <c r="B1032196">
        <v>800</v>
      </c>
    </row>
    <row r="1032197" spans="2:2">
      <c r="B1032197">
        <v>200</v>
      </c>
    </row>
    <row r="1032198" spans="2:2">
      <c r="B1032198">
        <v>1044</v>
      </c>
    </row>
    <row r="1032199" spans="2:2">
      <c r="B1032199">
        <v>998.40000000000009</v>
      </c>
    </row>
    <row r="1032200" spans="2:2">
      <c r="B1032200">
        <v>272</v>
      </c>
    </row>
    <row r="1032201" spans="2:2">
      <c r="B1032201">
        <v>200</v>
      </c>
    </row>
    <row r="1032202" spans="2:2">
      <c r="B1032202">
        <v>214</v>
      </c>
    </row>
    <row r="1032203" spans="2:2">
      <c r="B1032203">
        <v>200</v>
      </c>
    </row>
    <row r="1032204" spans="2:2">
      <c r="B1032204">
        <v>152</v>
      </c>
    </row>
    <row r="1032205" spans="2:2">
      <c r="B1032205">
        <v>200</v>
      </c>
    </row>
    <row r="1032206" spans="2:2">
      <c r="B1032206">
        <v>300</v>
      </c>
    </row>
    <row r="1032207" spans="2:2">
      <c r="B1032207">
        <v>104</v>
      </c>
    </row>
    <row r="1032208" spans="2:2">
      <c r="B1032208">
        <v>162</v>
      </c>
    </row>
    <row r="1032209" spans="2:2">
      <c r="B1032209">
        <v>200</v>
      </c>
    </row>
    <row r="1032210" spans="2:2">
      <c r="B1032210">
        <v>200</v>
      </c>
    </row>
    <row r="1032211" spans="2:2">
      <c r="B1032211">
        <v>200</v>
      </c>
    </row>
    <row r="1032212" spans="2:2">
      <c r="B1032212">
        <v>200</v>
      </c>
    </row>
    <row r="1032213" spans="2:2">
      <c r="B1032213">
        <v>200</v>
      </c>
    </row>
    <row r="1032214" spans="2:2">
      <c r="B1032214">
        <v>200</v>
      </c>
    </row>
    <row r="1032215" spans="2:2">
      <c r="B1032215">
        <v>200</v>
      </c>
    </row>
    <row r="1032216" spans="2:2">
      <c r="B1032216">
        <v>200</v>
      </c>
    </row>
    <row r="1032217" spans="2:2">
      <c r="B1032217">
        <v>800</v>
      </c>
    </row>
    <row r="1032218" spans="2:2">
      <c r="B1032218">
        <v>300</v>
      </c>
    </row>
    <row r="1032219" spans="2:2">
      <c r="B1032219">
        <v>778</v>
      </c>
    </row>
    <row r="1032220" spans="2:2">
      <c r="B1032220">
        <v>614</v>
      </c>
    </row>
    <row r="1032221" spans="2:2">
      <c r="B1032221">
        <v>444</v>
      </c>
    </row>
    <row r="1032222" spans="2:2">
      <c r="B1032222">
        <v>800</v>
      </c>
    </row>
    <row r="1032223" spans="2:2">
      <c r="B1032223">
        <v>200</v>
      </c>
    </row>
    <row r="1032224" spans="2:2">
      <c r="B1032224">
        <v>780</v>
      </c>
    </row>
    <row r="1032225" spans="2:146">
      <c r="B1032225">
        <v>174</v>
      </c>
    </row>
    <row r="1032226" spans="2:146">
      <c r="B1032226">
        <v>194</v>
      </c>
    </row>
    <row r="1032227" spans="2:146">
      <c r="B1032227">
        <v>782</v>
      </c>
    </row>
    <row r="1032228" spans="2:146">
      <c r="B1032228">
        <v>236</v>
      </c>
    </row>
    <row r="1032229" spans="2:146">
      <c r="B1032229">
        <v>144</v>
      </c>
    </row>
    <row r="1032230" spans="2:146">
      <c r="B1032230">
        <v>200</v>
      </c>
    </row>
    <row r="1032231" spans="2:146">
      <c r="B1032231">
        <v>240</v>
      </c>
    </row>
    <row r="1032232" spans="2:146">
      <c r="B1032232">
        <v>200</v>
      </c>
    </row>
    <row r="1032233" spans="2:146">
      <c r="B1032233">
        <v>612</v>
      </c>
    </row>
    <row r="1032234" spans="2:146">
      <c r="B1032234">
        <v>156</v>
      </c>
    </row>
    <row r="1032235" spans="2:146">
      <c r="B1032235">
        <v>116</v>
      </c>
    </row>
    <row r="1032236" spans="2:146">
      <c r="B1032236">
        <v>160</v>
      </c>
    </row>
    <row r="1032237" spans="2:146">
      <c r="B1032237">
        <v>80</v>
      </c>
      <c r="EL1032237">
        <v>0.66</v>
      </c>
      <c r="EM1032237">
        <v>0.66</v>
      </c>
      <c r="EN1032237">
        <v>0.66</v>
      </c>
      <c r="EO1032237">
        <v>0.66</v>
      </c>
      <c r="EP1032237">
        <v>0.66</v>
      </c>
    </row>
    <row r="1032238" spans="2:146">
      <c r="B1032238">
        <v>1144</v>
      </c>
      <c r="BV1032238">
        <v>5.0999999999999996</v>
      </c>
      <c r="BW1032238">
        <v>5.0999999999999996</v>
      </c>
      <c r="DB1032238">
        <v>10.210000000000001</v>
      </c>
      <c r="DC1032238">
        <v>10.210000000000001</v>
      </c>
      <c r="DD1032238">
        <v>10.210000000000001</v>
      </c>
      <c r="DE1032238">
        <v>10.210000000000001</v>
      </c>
      <c r="DF1032238">
        <v>10.210000000000001</v>
      </c>
      <c r="DG1032238">
        <v>10.210000000000001</v>
      </c>
      <c r="DH1032238">
        <v>10.210000000000001</v>
      </c>
    </row>
    <row r="1032239" spans="2:146">
      <c r="B1032239">
        <v>1240</v>
      </c>
      <c r="EE1032239">
        <v>8.15</v>
      </c>
      <c r="EF1032239">
        <v>8.15</v>
      </c>
      <c r="EG1032239">
        <v>8.15</v>
      </c>
      <c r="EH1032239">
        <v>8.15</v>
      </c>
      <c r="EI1032239">
        <v>8.15</v>
      </c>
      <c r="EJ1032239">
        <v>8.15</v>
      </c>
      <c r="EK1032239">
        <v>8.15</v>
      </c>
    </row>
    <row r="1032240" spans="2:146">
      <c r="B1032240">
        <v>2083.2000000000003</v>
      </c>
      <c r="DI1032240">
        <v>20.03</v>
      </c>
      <c r="DJ1032240">
        <v>20.03</v>
      </c>
      <c r="DQ1032240">
        <v>20.03</v>
      </c>
      <c r="DT1032240">
        <v>20.03</v>
      </c>
      <c r="DW1032240">
        <v>20.03</v>
      </c>
    </row>
    <row r="1032241" spans="2:134">
      <c r="B1032241">
        <v>357.20000000000005</v>
      </c>
      <c r="DI1032241">
        <v>3.88</v>
      </c>
      <c r="DJ1032241">
        <v>3.88</v>
      </c>
      <c r="DV1032241">
        <v>3.88</v>
      </c>
      <c r="DW1032241">
        <v>3.88</v>
      </c>
    </row>
    <row r="1032242" spans="2:134">
      <c r="B1032242">
        <v>391.20000000000005</v>
      </c>
      <c r="DI1032242">
        <v>3.62</v>
      </c>
      <c r="DJ1032242">
        <v>3.62</v>
      </c>
      <c r="DR1032242">
        <v>3.62</v>
      </c>
      <c r="DU1032242">
        <v>3.62</v>
      </c>
      <c r="DV1032242">
        <v>3.62</v>
      </c>
    </row>
    <row r="1032243" spans="2:134">
      <c r="B1032243">
        <v>762.80000000000007</v>
      </c>
      <c r="DI1032243">
        <v>6.15</v>
      </c>
      <c r="DJ1032243">
        <v>6.15</v>
      </c>
      <c r="DQ1032243">
        <v>6.15</v>
      </c>
      <c r="DR1032243">
        <v>6.15</v>
      </c>
      <c r="DS1032243">
        <v>6.15</v>
      </c>
      <c r="DT1032243">
        <v>6.15</v>
      </c>
    </row>
    <row r="1032244" spans="2:134">
      <c r="B1032244">
        <v>1280</v>
      </c>
      <c r="DI1032244">
        <v>10.66</v>
      </c>
      <c r="DJ1032244">
        <v>10.66</v>
      </c>
      <c r="DK1032244">
        <v>10.66</v>
      </c>
      <c r="DL1032244">
        <v>10.66</v>
      </c>
      <c r="DM1032244">
        <v>10.66</v>
      </c>
      <c r="DN1032244">
        <v>10.66</v>
      </c>
    </row>
    <row r="1032245" spans="2:134">
      <c r="B1032245">
        <v>234</v>
      </c>
      <c r="CT1032245">
        <v>2.5</v>
      </c>
      <c r="CU1032245">
        <v>2.5</v>
      </c>
      <c r="CV1032245">
        <v>2.5</v>
      </c>
    </row>
    <row r="1032246" spans="2:134">
      <c r="B1032246">
        <v>354</v>
      </c>
      <c r="CY1032246">
        <v>3.98</v>
      </c>
      <c r="CZ1032246">
        <v>3.98</v>
      </c>
      <c r="DA1032246">
        <v>3.98</v>
      </c>
    </row>
    <row r="1032247" spans="2:134">
      <c r="B1032247">
        <v>392</v>
      </c>
      <c r="DI1032247">
        <v>3.52</v>
      </c>
      <c r="DJ1032247">
        <v>3.52</v>
      </c>
      <c r="DL1032247">
        <v>3.52</v>
      </c>
      <c r="DO1032247">
        <v>3.52</v>
      </c>
    </row>
    <row r="1032248" spans="2:134">
      <c r="B1032248">
        <v>304</v>
      </c>
      <c r="CE1032248">
        <v>3.8</v>
      </c>
      <c r="CF1032248">
        <v>3.8</v>
      </c>
    </row>
    <row r="1032249" spans="2:134">
      <c r="B1032249">
        <v>144</v>
      </c>
      <c r="DZ1032249">
        <v>1.62</v>
      </c>
      <c r="EA1032249">
        <v>1.62</v>
      </c>
      <c r="EB1032249">
        <v>1.62</v>
      </c>
      <c r="EC1032249">
        <v>0.81</v>
      </c>
      <c r="ED1032249">
        <v>0.81</v>
      </c>
    </row>
    <row r="1032250" spans="2:134">
      <c r="B1032250">
        <v>602.40000000000009</v>
      </c>
      <c r="BY1032250">
        <v>6.02</v>
      </c>
      <c r="BZ1032250">
        <v>6.02</v>
      </c>
      <c r="CB1032250">
        <v>3.01</v>
      </c>
      <c r="CC1032250">
        <v>3.01</v>
      </c>
      <c r="CD1032250">
        <v>3.01</v>
      </c>
      <c r="CI1032250">
        <v>6.02</v>
      </c>
      <c r="CJ1032250">
        <v>6.02</v>
      </c>
      <c r="CK1032250">
        <v>6.02</v>
      </c>
    </row>
    <row r="1032251" spans="2:134">
      <c r="B1032251">
        <v>307.60000000000002</v>
      </c>
      <c r="BY1032251">
        <v>3.34</v>
      </c>
      <c r="BZ1032251">
        <v>3.34</v>
      </c>
      <c r="CG1032251">
        <v>3.34</v>
      </c>
      <c r="CH1032251">
        <v>3.34</v>
      </c>
    </row>
    <row r="1032252" spans="2:134">
      <c r="B1032252">
        <v>358</v>
      </c>
      <c r="BY1032252">
        <v>2.37</v>
      </c>
      <c r="BZ1032252">
        <v>2.37</v>
      </c>
      <c r="CA1032252">
        <v>2.37</v>
      </c>
      <c r="DX1032252">
        <v>4.74</v>
      </c>
      <c r="DY1032252">
        <v>4.74</v>
      </c>
    </row>
    <row r="1032253" spans="2:134">
      <c r="B1032253">
        <v>286</v>
      </c>
      <c r="BT1032253">
        <v>1.43</v>
      </c>
      <c r="BV1032253">
        <v>1.43</v>
      </c>
      <c r="BW1032253">
        <v>1.43</v>
      </c>
      <c r="BX1032253">
        <v>1.43</v>
      </c>
      <c r="CO1032253">
        <v>2.86</v>
      </c>
      <c r="CP1032253">
        <v>2.86</v>
      </c>
      <c r="CQ1032253">
        <v>2.86</v>
      </c>
      <c r="CR1032253">
        <v>2.86</v>
      </c>
      <c r="CS1032253">
        <v>2.86</v>
      </c>
    </row>
    <row r="1032254" spans="2:134">
      <c r="B1032254">
        <v>410</v>
      </c>
      <c r="BY1032254">
        <v>2.88</v>
      </c>
      <c r="BZ1032254">
        <v>2.88</v>
      </c>
      <c r="CA1032254">
        <v>2.88</v>
      </c>
      <c r="CW1032254">
        <v>5.76</v>
      </c>
      <c r="CX1032254">
        <v>5.76</v>
      </c>
    </row>
    <row r="1032255" spans="2:134">
      <c r="B1032255">
        <v>346</v>
      </c>
      <c r="BR1032255">
        <v>3.6</v>
      </c>
      <c r="BS1032255">
        <v>3.6</v>
      </c>
      <c r="BT1032255">
        <v>1.8</v>
      </c>
      <c r="CL1032255">
        <v>3.6</v>
      </c>
      <c r="CM1032255">
        <v>3.6</v>
      </c>
      <c r="CN1032255">
        <v>3.6</v>
      </c>
    </row>
    <row r="1032256" spans="2:134">
      <c r="B1032256">
        <v>302</v>
      </c>
      <c r="BR1032256">
        <v>3.28</v>
      </c>
      <c r="BS1032256">
        <v>3.28</v>
      </c>
      <c r="BT1032256">
        <v>1.64</v>
      </c>
      <c r="BU1032256">
        <v>1.64</v>
      </c>
      <c r="CL1032256">
        <v>3.28</v>
      </c>
      <c r="CM1032256">
        <v>3.28</v>
      </c>
      <c r="CN1032256">
        <v>3.28</v>
      </c>
    </row>
    <row r="1032257" spans="2:146">
      <c r="B1032257">
        <v>204</v>
      </c>
      <c r="BR1032257">
        <v>2.12</v>
      </c>
      <c r="BS1032257">
        <v>2.12</v>
      </c>
      <c r="BT1032257">
        <v>1.06</v>
      </c>
      <c r="CL1032257">
        <v>2.12</v>
      </c>
      <c r="CM1032257">
        <v>2.12</v>
      </c>
      <c r="CN1032257">
        <v>2.12</v>
      </c>
    </row>
    <row r="1032259" spans="2:146">
      <c r="B1032259">
        <v>26358.800000000003</v>
      </c>
      <c r="BQ1032259">
        <v>0</v>
      </c>
      <c r="BR1032259">
        <v>9</v>
      </c>
      <c r="BS1032259">
        <v>9</v>
      </c>
      <c r="BT1032259">
        <v>5.93</v>
      </c>
      <c r="BU1032259">
        <v>1.64</v>
      </c>
      <c r="BV1032259">
        <v>6.5299999999999994</v>
      </c>
      <c r="BW1032259">
        <v>6.5299999999999994</v>
      </c>
      <c r="BX1032259">
        <v>1.43</v>
      </c>
      <c r="BY1032259">
        <v>14.61</v>
      </c>
      <c r="BZ1032259">
        <v>14.61</v>
      </c>
      <c r="CA1032259">
        <v>5.25</v>
      </c>
      <c r="CB1032259">
        <v>3.01</v>
      </c>
      <c r="CC1032259">
        <v>3.01</v>
      </c>
      <c r="CD1032259">
        <v>3.01</v>
      </c>
      <c r="CE1032259">
        <v>3.8</v>
      </c>
      <c r="CF1032259">
        <v>3.8</v>
      </c>
      <c r="CG1032259">
        <v>3.34</v>
      </c>
      <c r="CH1032259">
        <v>3.34</v>
      </c>
      <c r="CI1032259">
        <v>6.02</v>
      </c>
      <c r="CJ1032259">
        <v>6.02</v>
      </c>
      <c r="CK1032259">
        <v>6.02</v>
      </c>
      <c r="CL1032259">
        <v>9</v>
      </c>
      <c r="CM1032259">
        <v>9</v>
      </c>
      <c r="CN1032259">
        <v>9</v>
      </c>
      <c r="CO1032259">
        <v>2.86</v>
      </c>
      <c r="CP1032259">
        <v>2.86</v>
      </c>
      <c r="CQ1032259">
        <v>2.86</v>
      </c>
      <c r="CR1032259">
        <v>2.86</v>
      </c>
      <c r="CS1032259">
        <v>2.86</v>
      </c>
      <c r="CT1032259">
        <v>2.5</v>
      </c>
      <c r="CU1032259">
        <v>2.5</v>
      </c>
      <c r="CV1032259">
        <v>2.5</v>
      </c>
      <c r="CW1032259">
        <v>5.76</v>
      </c>
      <c r="CX1032259">
        <v>5.76</v>
      </c>
      <c r="CY1032259">
        <v>3.98</v>
      </c>
      <c r="CZ1032259">
        <v>3.98</v>
      </c>
      <c r="DA1032259">
        <v>3.98</v>
      </c>
      <c r="DB1032259">
        <v>10.210000000000001</v>
      </c>
      <c r="DC1032259">
        <v>10.210000000000001</v>
      </c>
      <c r="DD1032259">
        <v>10.210000000000001</v>
      </c>
      <c r="DE1032259">
        <v>10.210000000000001</v>
      </c>
      <c r="DF1032259">
        <v>10.210000000000001</v>
      </c>
      <c r="DG1032259">
        <v>10.210000000000001</v>
      </c>
      <c r="DH1032259">
        <v>10.210000000000001</v>
      </c>
      <c r="DI1032259">
        <v>47.860000000000007</v>
      </c>
      <c r="DJ1032259">
        <v>47.860000000000007</v>
      </c>
      <c r="DK1032259">
        <v>10.66</v>
      </c>
      <c r="DL1032259">
        <v>14.18</v>
      </c>
      <c r="DM1032259">
        <v>10.66</v>
      </c>
      <c r="DN1032259">
        <v>10.66</v>
      </c>
      <c r="DO1032259">
        <v>3.52</v>
      </c>
      <c r="DP1032259">
        <v>0</v>
      </c>
      <c r="DQ1032259">
        <v>26.18</v>
      </c>
      <c r="DR1032259">
        <v>9.77</v>
      </c>
      <c r="DS1032259">
        <v>6.15</v>
      </c>
      <c r="DT1032259">
        <v>26.18</v>
      </c>
      <c r="DU1032259">
        <v>3.62</v>
      </c>
      <c r="DV1032259">
        <v>7.5</v>
      </c>
      <c r="DW1032259">
        <v>23.91</v>
      </c>
      <c r="DX1032259">
        <v>4.74</v>
      </c>
      <c r="DY1032259">
        <v>4.74</v>
      </c>
      <c r="DZ1032259">
        <v>1.62</v>
      </c>
      <c r="EA1032259">
        <v>1.62</v>
      </c>
      <c r="EB1032259">
        <v>1.62</v>
      </c>
      <c r="EC1032259">
        <v>0.81</v>
      </c>
      <c r="ED1032259">
        <v>0.81</v>
      </c>
      <c r="EE1032259">
        <v>8.15</v>
      </c>
      <c r="EF1032259">
        <v>8.15</v>
      </c>
      <c r="EG1032259">
        <v>8.15</v>
      </c>
      <c r="EH1032259">
        <v>8.15</v>
      </c>
      <c r="EI1032259">
        <v>8.15</v>
      </c>
      <c r="EJ1032259">
        <v>8.15</v>
      </c>
      <c r="EK1032259">
        <v>8.15</v>
      </c>
      <c r="EL1032259">
        <v>0.66</v>
      </c>
      <c r="EM1032259">
        <v>0.66</v>
      </c>
      <c r="EN1032259">
        <v>0.66</v>
      </c>
      <c r="EO1032259">
        <v>0.66</v>
      </c>
      <c r="EP1032259">
        <v>0.66</v>
      </c>
    </row>
    <row r="1032260" spans="2:146">
      <c r="B1032260" t="s">
        <v>265</v>
      </c>
      <c r="BQ1032260" t="s">
        <v>345</v>
      </c>
      <c r="BR1032260" t="s">
        <v>131</v>
      </c>
      <c r="BS1032260" t="s">
        <v>131</v>
      </c>
      <c r="BT1032260" t="s">
        <v>357</v>
      </c>
      <c r="BU1032260" t="s">
        <v>131</v>
      </c>
      <c r="BV1032260" t="s">
        <v>360</v>
      </c>
      <c r="BW1032260" t="s">
        <v>360</v>
      </c>
      <c r="BX1032260" t="s">
        <v>360</v>
      </c>
      <c r="BY1032260" t="s">
        <v>364</v>
      </c>
      <c r="BZ1032260" t="s">
        <v>364</v>
      </c>
      <c r="CA1032260" t="s">
        <v>364</v>
      </c>
      <c r="CB1032260" t="s">
        <v>368</v>
      </c>
      <c r="CC1032260" t="s">
        <v>368</v>
      </c>
      <c r="CD1032260" t="s">
        <v>368</v>
      </c>
      <c r="CE1032260" t="s">
        <v>352</v>
      </c>
      <c r="CF1032260" t="s">
        <v>352</v>
      </c>
      <c r="CG1032260" t="s">
        <v>372</v>
      </c>
      <c r="CH1032260" t="s">
        <v>372</v>
      </c>
      <c r="CI1032260" t="s">
        <v>375</v>
      </c>
      <c r="CJ1032260" t="s">
        <v>375</v>
      </c>
      <c r="CK1032260" t="s">
        <v>375</v>
      </c>
      <c r="CL1032260" t="s">
        <v>379</v>
      </c>
      <c r="CM1032260" t="s">
        <v>379</v>
      </c>
      <c r="CN1032260" t="s">
        <v>379</v>
      </c>
      <c r="CO1032260" t="s">
        <v>383</v>
      </c>
      <c r="CP1032260" t="s">
        <v>383</v>
      </c>
      <c r="CQ1032260" t="s">
        <v>383</v>
      </c>
      <c r="CR1032260" t="s">
        <v>383</v>
      </c>
      <c r="CS1032260" t="s">
        <v>383</v>
      </c>
      <c r="CT1032260" t="s">
        <v>389</v>
      </c>
      <c r="CU1032260" t="s">
        <v>389</v>
      </c>
      <c r="CV1032260" t="s">
        <v>389</v>
      </c>
      <c r="CW1032260" t="s">
        <v>393</v>
      </c>
      <c r="CX1032260" t="s">
        <v>393</v>
      </c>
      <c r="CY1032260" t="s">
        <v>396</v>
      </c>
      <c r="CZ1032260" t="s">
        <v>396</v>
      </c>
      <c r="DA1032260" t="s">
        <v>396</v>
      </c>
      <c r="DB1032260" t="s">
        <v>400</v>
      </c>
      <c r="DC1032260" t="s">
        <v>400</v>
      </c>
      <c r="DD1032260" t="s">
        <v>400</v>
      </c>
      <c r="DE1032260" t="s">
        <v>400</v>
      </c>
      <c r="DF1032260" t="s">
        <v>400</v>
      </c>
      <c r="DG1032260" t="s">
        <v>400</v>
      </c>
      <c r="DH1032260" t="s">
        <v>400</v>
      </c>
      <c r="DI1032260" t="s">
        <v>121</v>
      </c>
      <c r="DJ1032260" t="s">
        <v>121</v>
      </c>
      <c r="DK1032260" t="s">
        <v>121</v>
      </c>
      <c r="DL1032260" t="s">
        <v>121</v>
      </c>
      <c r="DM1032260" t="s">
        <v>121</v>
      </c>
      <c r="DN1032260" t="s">
        <v>121</v>
      </c>
      <c r="DO1032260" t="s">
        <v>121</v>
      </c>
      <c r="DP1032260" t="s">
        <v>121</v>
      </c>
      <c r="DQ1032260" t="s">
        <v>121</v>
      </c>
      <c r="DR1032260" t="s">
        <v>121</v>
      </c>
      <c r="DS1032260" t="s">
        <v>121</v>
      </c>
      <c r="DT1032260" t="s">
        <v>121</v>
      </c>
      <c r="DU1032260" t="s">
        <v>121</v>
      </c>
      <c r="DV1032260" t="s">
        <v>121</v>
      </c>
      <c r="DW1032260" t="s">
        <v>121</v>
      </c>
      <c r="DX1032260" t="s">
        <v>423</v>
      </c>
      <c r="DY1032260" t="s">
        <v>423</v>
      </c>
      <c r="DZ1032260" t="s">
        <v>426</v>
      </c>
      <c r="EA1032260" t="s">
        <v>426</v>
      </c>
      <c r="EB1032260" t="s">
        <v>426</v>
      </c>
      <c r="EC1032260" t="s">
        <v>426</v>
      </c>
      <c r="ED1032260" t="s">
        <v>426</v>
      </c>
      <c r="EE1032260" t="s">
        <v>432</v>
      </c>
      <c r="EF1032260" t="s">
        <v>432</v>
      </c>
      <c r="EG1032260" t="s">
        <v>432</v>
      </c>
      <c r="EH1032260" t="s">
        <v>432</v>
      </c>
      <c r="EI1032260" t="s">
        <v>432</v>
      </c>
      <c r="EJ1032260" t="s">
        <v>432</v>
      </c>
      <c r="EK1032260" t="s">
        <v>432</v>
      </c>
      <c r="EL1032260" t="s">
        <v>440</v>
      </c>
      <c r="EM1032260" t="s">
        <v>440</v>
      </c>
      <c r="EN1032260" t="s">
        <v>440</v>
      </c>
      <c r="EO1032260" t="s">
        <v>440</v>
      </c>
      <c r="EP1032260" t="s">
        <v>440</v>
      </c>
    </row>
    <row r="1032261" spans="2:146">
      <c r="BQ1032261" t="s">
        <v>351</v>
      </c>
      <c r="BR1032261" t="s">
        <v>355</v>
      </c>
      <c r="BS1032261" t="s">
        <v>356</v>
      </c>
      <c r="BT1032261" t="s">
        <v>358</v>
      </c>
      <c r="BU1032261" t="s">
        <v>359</v>
      </c>
      <c r="BV1032261" t="s">
        <v>361</v>
      </c>
      <c r="BW1032261" t="s">
        <v>362</v>
      </c>
      <c r="BX1032261" t="s">
        <v>363</v>
      </c>
      <c r="BY1032261" t="s">
        <v>365</v>
      </c>
      <c r="BZ1032261" t="s">
        <v>366</v>
      </c>
      <c r="CA1032261" t="s">
        <v>367</v>
      </c>
      <c r="CB1032261" t="s">
        <v>369</v>
      </c>
      <c r="CC1032261" t="s">
        <v>370</v>
      </c>
      <c r="CD1032261" t="s">
        <v>371</v>
      </c>
      <c r="CE1032261" t="s">
        <v>353</v>
      </c>
      <c r="CF1032261" t="s">
        <v>354</v>
      </c>
      <c r="CG1032261" t="s">
        <v>373</v>
      </c>
      <c r="CH1032261" t="s">
        <v>374</v>
      </c>
      <c r="CI1032261" t="s">
        <v>376</v>
      </c>
      <c r="CJ1032261" t="s">
        <v>377</v>
      </c>
      <c r="CK1032261" t="s">
        <v>378</v>
      </c>
      <c r="CL1032261" t="s">
        <v>380</v>
      </c>
      <c r="CM1032261" t="s">
        <v>381</v>
      </c>
      <c r="CN1032261" t="s">
        <v>382</v>
      </c>
      <c r="CO1032261" t="s">
        <v>384</v>
      </c>
      <c r="CP1032261" t="s">
        <v>385</v>
      </c>
      <c r="CQ1032261" t="s">
        <v>386</v>
      </c>
      <c r="CR1032261" t="s">
        <v>387</v>
      </c>
      <c r="CS1032261" t="s">
        <v>388</v>
      </c>
      <c r="CT1032261" t="s">
        <v>390</v>
      </c>
      <c r="CU1032261" t="s">
        <v>391</v>
      </c>
      <c r="CV1032261" t="s">
        <v>392</v>
      </c>
      <c r="CW1032261" t="s">
        <v>394</v>
      </c>
      <c r="CX1032261" t="s">
        <v>395</v>
      </c>
      <c r="CY1032261" t="s">
        <v>397</v>
      </c>
      <c r="CZ1032261" t="s">
        <v>398</v>
      </c>
      <c r="DA1032261" t="s">
        <v>399</v>
      </c>
      <c r="DB1032261" t="s">
        <v>401</v>
      </c>
      <c r="DC1032261" t="s">
        <v>402</v>
      </c>
      <c r="DD1032261" t="s">
        <v>403</v>
      </c>
      <c r="DE1032261" t="s">
        <v>404</v>
      </c>
      <c r="DF1032261" t="s">
        <v>405</v>
      </c>
      <c r="DG1032261" t="s">
        <v>406</v>
      </c>
      <c r="DH1032261" t="s">
        <v>407</v>
      </c>
      <c r="DI1032261" t="s">
        <v>408</v>
      </c>
      <c r="DJ1032261" t="s">
        <v>409</v>
      </c>
      <c r="DK1032261" t="s">
        <v>410</v>
      </c>
      <c r="DL1032261" t="s">
        <v>411</v>
      </c>
      <c r="DM1032261" t="s">
        <v>412</v>
      </c>
      <c r="DN1032261" t="s">
        <v>413</v>
      </c>
      <c r="DO1032261" t="s">
        <v>414</v>
      </c>
      <c r="DP1032261" t="s">
        <v>415</v>
      </c>
      <c r="DQ1032261" t="s">
        <v>416</v>
      </c>
      <c r="DR1032261" t="s">
        <v>417</v>
      </c>
      <c r="DS1032261" t="s">
        <v>418</v>
      </c>
      <c r="DT1032261" t="s">
        <v>419</v>
      </c>
      <c r="DU1032261" t="s">
        <v>420</v>
      </c>
      <c r="DV1032261" t="s">
        <v>421</v>
      </c>
      <c r="DW1032261" t="s">
        <v>422</v>
      </c>
      <c r="DX1032261" t="s">
        <v>424</v>
      </c>
      <c r="DY1032261" t="s">
        <v>425</v>
      </c>
      <c r="DZ1032261" t="s">
        <v>427</v>
      </c>
      <c r="EA1032261" t="s">
        <v>428</v>
      </c>
      <c r="EB1032261" t="s">
        <v>429</v>
      </c>
      <c r="EC1032261" t="s">
        <v>430</v>
      </c>
      <c r="ED1032261" t="s">
        <v>431</v>
      </c>
      <c r="EE1032261" t="s">
        <v>433</v>
      </c>
      <c r="EF1032261" t="s">
        <v>434</v>
      </c>
      <c r="EG1032261" t="s">
        <v>435</v>
      </c>
      <c r="EH1032261" t="s">
        <v>436</v>
      </c>
      <c r="EI1032261" t="s">
        <v>437</v>
      </c>
      <c r="EJ1032261" t="s">
        <v>438</v>
      </c>
      <c r="EK1032261" t="s">
        <v>439</v>
      </c>
      <c r="EL1032261" t="s">
        <v>441</v>
      </c>
      <c r="EM1032261" t="s">
        <v>442</v>
      </c>
      <c r="EN1032261" t="s">
        <v>443</v>
      </c>
      <c r="EO1032261" t="s">
        <v>444</v>
      </c>
      <c r="EP1032261" t="s">
        <v>445</v>
      </c>
    </row>
    <row r="1032262" spans="2:146">
      <c r="BQ1032262">
        <v>67</v>
      </c>
      <c r="BR1032262">
        <v>68</v>
      </c>
      <c r="BS1032262">
        <v>69</v>
      </c>
      <c r="BT1032262">
        <v>70</v>
      </c>
      <c r="BU1032262">
        <v>71</v>
      </c>
      <c r="BV1032262">
        <v>72</v>
      </c>
      <c r="BW1032262">
        <v>73</v>
      </c>
      <c r="BX1032262">
        <v>74</v>
      </c>
      <c r="BY1032262">
        <v>75</v>
      </c>
      <c r="BZ1032262">
        <v>76</v>
      </c>
      <c r="CA1032262">
        <v>77</v>
      </c>
      <c r="CB1032262">
        <v>78</v>
      </c>
      <c r="CC1032262">
        <v>79</v>
      </c>
      <c r="CD1032262">
        <v>80</v>
      </c>
      <c r="CE1032262">
        <v>81</v>
      </c>
      <c r="CF1032262">
        <v>82</v>
      </c>
      <c r="CG1032262">
        <v>83</v>
      </c>
      <c r="CH1032262">
        <v>84</v>
      </c>
      <c r="CI1032262">
        <v>85</v>
      </c>
      <c r="CJ1032262">
        <v>86</v>
      </c>
      <c r="CK1032262">
        <v>87</v>
      </c>
      <c r="CL1032262">
        <v>88</v>
      </c>
      <c r="CM1032262">
        <v>89</v>
      </c>
      <c r="CN1032262">
        <v>90</v>
      </c>
      <c r="CO1032262">
        <v>91</v>
      </c>
      <c r="CP1032262">
        <v>92</v>
      </c>
      <c r="CQ1032262">
        <v>93</v>
      </c>
      <c r="CR1032262">
        <v>94</v>
      </c>
      <c r="CS1032262">
        <v>95</v>
      </c>
      <c r="CT1032262">
        <v>96</v>
      </c>
      <c r="CU1032262">
        <v>97</v>
      </c>
      <c r="CV1032262">
        <v>98</v>
      </c>
      <c r="CW1032262">
        <v>99</v>
      </c>
      <c r="CX1032262">
        <v>100</v>
      </c>
      <c r="CY1032262">
        <v>101</v>
      </c>
      <c r="CZ1032262">
        <v>102</v>
      </c>
      <c r="DA1032262">
        <v>103</v>
      </c>
      <c r="DB1032262">
        <v>104</v>
      </c>
      <c r="DC1032262">
        <v>105</v>
      </c>
      <c r="DD1032262">
        <v>106</v>
      </c>
      <c r="DE1032262">
        <v>107</v>
      </c>
      <c r="DF1032262">
        <v>108</v>
      </c>
      <c r="DG1032262">
        <v>109</v>
      </c>
      <c r="DH1032262">
        <v>110</v>
      </c>
      <c r="DI1032262">
        <v>111</v>
      </c>
      <c r="DJ1032262">
        <v>112</v>
      </c>
      <c r="DK1032262">
        <v>113</v>
      </c>
      <c r="DL1032262">
        <v>114</v>
      </c>
      <c r="DM1032262">
        <v>115</v>
      </c>
      <c r="DN1032262">
        <v>116</v>
      </c>
      <c r="DO1032262">
        <v>117</v>
      </c>
      <c r="DP1032262">
        <v>118</v>
      </c>
      <c r="DQ1032262">
        <v>119</v>
      </c>
      <c r="DR1032262">
        <v>120</v>
      </c>
      <c r="DS1032262">
        <v>121</v>
      </c>
      <c r="DT1032262">
        <v>122</v>
      </c>
      <c r="DU1032262">
        <v>123</v>
      </c>
      <c r="DV1032262">
        <v>124</v>
      </c>
      <c r="DW1032262">
        <v>125</v>
      </c>
      <c r="DX1032262">
        <v>126</v>
      </c>
      <c r="DY1032262">
        <v>127</v>
      </c>
      <c r="DZ1032262">
        <v>128</v>
      </c>
      <c r="EA1032262">
        <v>129</v>
      </c>
      <c r="EB1032262">
        <v>130</v>
      </c>
      <c r="EC1032262">
        <v>131</v>
      </c>
      <c r="ED1032262">
        <v>132</v>
      </c>
      <c r="EE1032262">
        <v>133</v>
      </c>
      <c r="EF1032262">
        <v>134</v>
      </c>
      <c r="EG1032262">
        <v>135</v>
      </c>
      <c r="EH1032262">
        <v>136</v>
      </c>
      <c r="EI1032262">
        <v>137</v>
      </c>
      <c r="EJ1032262">
        <v>138</v>
      </c>
      <c r="EK1032262">
        <v>139</v>
      </c>
      <c r="EL1032262">
        <v>140</v>
      </c>
      <c r="EM1032262">
        <v>141</v>
      </c>
      <c r="EN1032262">
        <v>142</v>
      </c>
      <c r="EO1032262">
        <v>143</v>
      </c>
      <c r="EP1032262">
        <v>144</v>
      </c>
    </row>
    <row r="1032263" spans="2:146">
      <c r="CE1032263" t="s">
        <v>451</v>
      </c>
    </row>
  </sheetData>
  <dataValidations count="145">
    <dataValidation allowBlank="1" showInputMessage="1" showErrorMessage="1" prompt="لطيفة شفرة " sqref="BF1:BF65"/>
    <dataValidation allowBlank="1" showInputMessage="1" showErrorMessage="1" prompt="نرجس قارة " sqref="BG1:BG65"/>
    <dataValidation allowBlank="1" showInputMessage="1" showErrorMessage="1" prompt="احلام  البرهومي " sqref="BH1:BH65"/>
    <dataValidation allowBlank="1" showInputMessage="1" showErrorMessage="1" prompt="فرج هلال " sqref="BI1:BI65"/>
    <dataValidation allowBlank="1" showInputMessage="1" showErrorMessage="1" prompt="بسام السالمي " sqref="BJ1:BJ65"/>
    <dataValidation allowBlank="1" showInputMessage="1" showErrorMessage="1" prompt="مروى بن سعد" sqref="AZ1:AZ65"/>
    <dataValidation allowBlank="1" showInputMessage="1" showErrorMessage="1" prompt="سوار خليفة " sqref="BA1:BA65"/>
    <dataValidation allowBlank="1" showInputMessage="1" showErrorMessage="1" prompt="ريم الحناشي " sqref="BB1:BB65"/>
    <dataValidation allowBlank="1" showInputMessage="1" showErrorMessage="1" prompt="احمد عبد ربه" sqref="AY1:AY65"/>
    <dataValidation allowBlank="1" showInputMessage="1" showErrorMessage="1" prompt="ايمن الدقي " sqref="BD1:BD65"/>
    <dataValidation allowBlank="1" showInputMessage="1" showErrorMessage="1" prompt="حمدي عكاشة" sqref="BQ1:BQ65"/>
    <dataValidation allowBlank="1" showInputMessage="1" showErrorMessage="1" prompt="محمد بالراضية" sqref="BP1:BP65"/>
    <dataValidation allowBlank="1" showInputMessage="1" showErrorMessage="1" prompt="علي الحشاني" sqref="BO1:BO65"/>
    <dataValidation allowBlank="1" showInputMessage="1" showErrorMessage="1" prompt="محمد كريم الجواني" sqref="BN1:BN65"/>
    <dataValidation allowBlank="1" showInputMessage="1" showErrorMessage="1" prompt="ابراهيم ليمام" sqref="BM1:BM65"/>
    <dataValidation allowBlank="1" showInputMessage="1" showErrorMessage="1" prompt="مراد العرفاوي" sqref="BL1:BL65"/>
    <dataValidation allowBlank="1" showInputMessage="1" showErrorMessage="1" prompt="محمد الدريدي" sqref="BK1:BK65"/>
    <dataValidation allowBlank="1" showInputMessage="1" showErrorMessage="1" prompt="وائل مبروك " sqref="AX1:AX65"/>
    <dataValidation allowBlank="1" showInputMessage="1" showErrorMessage="1" prompt="اميرة الفرشيشي  " sqref="BC1:BC65"/>
    <dataValidation allowBlank="1" showInputMessage="1" showErrorMessage="1" prompt="سمير الوردي" sqref="BE1:BE65"/>
    <dataValidation allowBlank="1" showInputMessage="1" showErrorMessage="1" prompt="حاتم غومة" sqref="AU1:AU65"/>
    <dataValidation allowBlank="1" showInputMessage="1" showErrorMessage="1" prompt="سميح الرويسي " sqref="AT1:AT65"/>
    <dataValidation allowBlank="1" showInputMessage="1" showErrorMessage="1" prompt="سفيان الرياحي " sqref="AW1:AW65"/>
    <dataValidation allowBlank="1" showInputMessage="1" showErrorMessage="1" prompt="سماح الجبروني " sqref="AS1:AS65"/>
    <dataValidation allowBlank="1" showInputMessage="1" showErrorMessage="1" prompt="لسعد البلطي  " sqref="AK1:AK65"/>
    <dataValidation allowBlank="1" showInputMessage="1" showErrorMessage="1" prompt="معز العثماني " sqref="AM1:AM65"/>
    <dataValidation allowBlank="1" showInputMessage="1" showErrorMessage="1" prompt="العربي الشهيدي " sqref="AJ1:AJ65"/>
    <dataValidation allowBlank="1" showInputMessage="1" showErrorMessage="1" prompt="شكيب بالي " sqref="AF1:AF65"/>
    <dataValidation allowBlank="1" showInputMessage="1" showErrorMessage="1" prompt="سهيب المحمدي " sqref="AG1:AG65"/>
    <dataValidation allowBlank="1" showInputMessage="1" showErrorMessage="1" prompt="صبري المشرقي " sqref="AH1:AH65"/>
    <dataValidation allowBlank="1" showInputMessage="1" showErrorMessage="1" prompt="عمر برينيص" sqref="AE1:AE65"/>
    <dataValidation allowBlank="1" showInputMessage="1" showErrorMessage="1" prompt="كريم العيادي " sqref="Y1:Y65"/>
    <dataValidation allowBlank="1" showInputMessage="1" showErrorMessage="1" prompt="فاطمة البزازي " sqref="Z1:Z65"/>
    <dataValidation allowBlank="1" showInputMessage="1" showErrorMessage="1" prompt="عادل بن مبروك " sqref="AA1:AA65"/>
    <dataValidation allowBlank="1" showInputMessage="1" showErrorMessage="1" prompt="عبير البرجي " sqref="AB1:AB65"/>
    <dataValidation allowBlank="1" showInputMessage="1" showErrorMessage="1" prompt="النوري النفزي " sqref="AC1:AC65"/>
    <dataValidation allowBlank="1" showInputMessage="1" showErrorMessage="1" prompt="وئام بن فرج " sqref="T1:T65 U28"/>
    <dataValidation allowBlank="1" showInputMessage="1" showErrorMessage="1" prompt="حسين المنوبي " sqref="U1:U27 U29:U65"/>
    <dataValidation allowBlank="1" showInputMessage="1" showErrorMessage="1" prompt="وسام العياري " sqref="V1:V65"/>
    <dataValidation allowBlank="1" showInputMessage="1" showErrorMessage="1" prompt="منتصر الغربي " sqref="G1:G65"/>
    <dataValidation allowBlank="1" showInputMessage="1" showErrorMessage="1" prompt="العربي بن يوسف " sqref="X1:X65"/>
    <dataValidation allowBlank="1" showInputMessage="1" showErrorMessage="1" prompt="رمزي الهميسي " sqref="I1:I65"/>
    <dataValidation allowBlank="1" showInputMessage="1" showErrorMessage="1" prompt="سمير الحناشي " sqref="J1:J65"/>
    <dataValidation allowBlank="1" showInputMessage="1" showErrorMessage="1" prompt="الهادي الدلالي " sqref="AD1:AD3 AD23:AD65 AD5:AD18 AD20:AD21"/>
    <dataValidation allowBlank="1" showInputMessage="1" showErrorMessage="1" prompt="الصحبي الديماسي " sqref="K1:K65"/>
    <dataValidation allowBlank="1" showInputMessage="1" showErrorMessage="1" prompt="مختار الفتوي " sqref="L1:L65"/>
    <dataValidation allowBlank="1" showInputMessage="1" showErrorMessage="1" prompt="الحبيب بن سالم " sqref="M1:M65"/>
    <dataValidation allowBlank="1" showInputMessage="1" showErrorMessage="1" prompt="سمير البهلولي " sqref="AQ1:AQ65"/>
    <dataValidation allowBlank="1" showInputMessage="1" showErrorMessage="1" prompt="ايمن المرزوقي " sqref="AV1:AV65"/>
    <dataValidation allowBlank="1" showInputMessage="1" showErrorMessage="1" prompt="احلام  حاجبي " sqref="AP1:AP65"/>
    <dataValidation allowBlank="1" showInputMessage="1" showErrorMessage="1" prompt="فوزى الأهجوري " sqref="AN1:AN65"/>
    <dataValidation allowBlank="1" showInputMessage="1" showErrorMessage="1" prompt="نور الدين النصري " sqref="AO1:AO65"/>
    <dataValidation allowBlank="1" showInputMessage="1" showErrorMessage="1" prompt="محجوب عبد الحفيظ " sqref="C1:C65"/>
    <dataValidation allowBlank="1" showInputMessage="1" showErrorMessage="1" prompt="ياسر بوعلي " sqref="E1:E4 E6:E65"/>
    <dataValidation allowBlank="1" showInputMessage="1" showErrorMessage="1" prompt=" زضا غريبي" sqref="F1:F4 F6:F65"/>
    <dataValidation allowBlank="1" showInputMessage="1" showErrorMessage="1" prompt="ايمن المديوني " sqref="S1:S65"/>
    <dataValidation allowBlank="1" showInputMessage="1" showErrorMessage="1" prompt="ايمن السعيداني " sqref="W1:W65"/>
    <dataValidation allowBlank="1" showInputMessage="1" showErrorMessage="1" prompt="علي ذياب " sqref="AL1:AL65"/>
    <dataValidation allowBlank="1" showInputMessage="1" showErrorMessage="1" prompt="محمد علي التليلي" sqref="N1:N65"/>
    <dataValidation allowBlank="1" showInputMessage="1" showErrorMessage="1" prompt="مراد هلال" sqref="AI1:AI65"/>
    <dataValidation allowBlank="1" showInputMessage="1" showErrorMessage="1" prompt="بلحسن اللموشي" sqref="AR1:AR65"/>
    <dataValidation allowBlank="1" showInputMessage="1" showErrorMessage="1" prompt="زياد الغربي " sqref="H1:H65"/>
    <dataValidation allowBlank="1" showInputMessage="1" showErrorMessage="1" prompt="نبيل الدريدي " sqref="O1:O65"/>
    <dataValidation allowBlank="1" showInputMessage="1" showErrorMessage="1" prompt="يسري حداد " sqref="P1:P65"/>
    <dataValidation allowBlank="1" showInputMessage="1" showErrorMessage="1" prompt="محمد بن حمدة " sqref="R1:R65"/>
    <dataValidation allowBlank="1" showInputMessage="1" showErrorMessage="1" prompt="رشدي الغانمي " sqref="Q1:Q65"/>
    <dataValidation allowBlank="1" showInputMessage="1" showErrorMessage="1" prompt="زياد شوشان  " sqref="CN1:CN65"/>
    <dataValidation allowBlank="1" showInputMessage="1" showErrorMessage="1" prompt="رمزي بالطيب  " sqref="CL1:CL65"/>
    <dataValidation allowBlank="1" showInputMessage="1" showErrorMessage="1" prompt="ايمن الرحاحلة  " sqref="CM1:CM65"/>
    <dataValidation allowBlank="1" showInputMessage="1" showErrorMessage="1" prompt="عيسى عبدلي " sqref="CO1:CO65"/>
    <dataValidation allowBlank="1" showInputMessage="1" showErrorMessage="1" prompt="زياد حوايجي  " sqref="CP1:CP65"/>
    <dataValidation allowBlank="1" showInputMessage="1" showErrorMessage="1" prompt="منير المعيزي " sqref="CQ1:CQ65"/>
    <dataValidation allowBlank="1" showInputMessage="1" showErrorMessage="1" prompt="فتحي الورهاني " sqref="CR1:CR65"/>
    <dataValidation allowBlank="1" showInputMessage="1" showErrorMessage="1" prompt="محمد أمين السديري" sqref="CS1:CS65"/>
    <dataValidation allowBlank="1" showInputMessage="1" showErrorMessage="1" prompt="أشرف العرفاوي" sqref="CW1:CW65"/>
    <dataValidation allowBlank="1" showInputMessage="1" showErrorMessage="1" prompt="محمد العبيدي" sqref="CX1:CX65"/>
    <dataValidation allowBlank="1" showInputMessage="1" showErrorMessage="1" prompt="أحمد قداشي " sqref="DB1:DB65"/>
    <dataValidation allowBlank="1" showInputMessage="1" showErrorMessage="1" prompt="صبري العلوي" sqref="DC1:DC65"/>
    <dataValidation allowBlank="1" showInputMessage="1" showErrorMessage="1" prompt="شهاب البشيني " sqref="DD1:DD65"/>
    <dataValidation allowBlank="1" showInputMessage="1" showErrorMessage="1" prompt="منعم الغزواني  " sqref="DE1:DE65"/>
    <dataValidation allowBlank="1" showInputMessage="1" showErrorMessage="1" prompt="سفيان الرواجي " sqref="DF1:DF65"/>
    <dataValidation allowBlank="1" showInputMessage="1" showErrorMessage="1" prompt="أحمد بن روينة" sqref="DG1:DG65"/>
    <dataValidation allowBlank="1" showInputMessage="1" showErrorMessage="1" prompt="أنيس العجرودي" sqref="DH1:DH65"/>
    <dataValidation allowBlank="1" showInputMessage="1" showErrorMessage="1" prompt="نبيل المعروفي " sqref="DI1:DI65"/>
    <dataValidation allowBlank="1" showInputMessage="1" showErrorMessage="1" prompt="منذر الزوابي " sqref="DJ1:DJ65"/>
    <dataValidation allowBlank="1" showInputMessage="1" showErrorMessage="1" prompt="فؤاد بن حامد" sqref="DK1:DK65"/>
    <dataValidation allowBlank="1" showInputMessage="1" showErrorMessage="1" prompt="احمد البوسعيدي " sqref="DL1:DL65"/>
    <dataValidation allowBlank="1" showInputMessage="1" showErrorMessage="1" prompt="اسامة الرزقي " sqref="DM1:DM65"/>
    <dataValidation allowBlank="1" showInputMessage="1" showErrorMessage="1" prompt="محمد القيزاني " sqref="DN1:DN65"/>
    <dataValidation allowBlank="1" showInputMessage="1" showErrorMessage="1" prompt="خالد الشعري " sqref="DX1:DX65"/>
    <dataValidation allowBlank="1" showInputMessage="1" showErrorMessage="1" prompt="رمزي البجاوي " sqref="DY1:DY65"/>
    <dataValidation allowBlank="1" showInputMessage="1" showErrorMessage="1" prompt="عادل القديدي " sqref="DZ1:DZ65"/>
    <dataValidation allowBlank="1" showInputMessage="1" showErrorMessage="1" prompt="منصور المستوري " sqref="EA1:EA65"/>
    <dataValidation allowBlank="1" showInputMessage="1" showErrorMessage="1" prompt="صالح الهويشي " sqref="EB1:EB65"/>
    <dataValidation allowBlank="1" showInputMessage="1" showErrorMessage="1" prompt="وليد الصالحي " sqref="EC1:EC65"/>
    <dataValidation allowBlank="1" showInputMessage="1" showErrorMessage="1" prompt="صفية بو صلاح " sqref="ED1:ED65"/>
    <dataValidation allowBlank="1" showInputMessage="1" showErrorMessage="1" prompt="احمد الهمامي" sqref="DO1:DO65"/>
    <dataValidation allowBlank="1" showInputMessage="1" showErrorMessage="1" prompt="بوبكر السالمي " sqref="DP1:DP65"/>
    <dataValidation allowBlank="1" showInputMessage="1" showErrorMessage="1" prompt="علاء الدين الرابحي " sqref="CY1:CY65"/>
    <dataValidation allowBlank="1" showInputMessage="1" showErrorMessage="1" prompt="وليد الغزواني " sqref="CZ1:CZ65"/>
    <dataValidation allowBlank="1" showInputMessage="1" showErrorMessage="1" prompt="محمد بنعبيد " sqref="DA1:DA65"/>
    <dataValidation allowBlank="1" showInputMessage="1" showErrorMessage="1" prompt="زياد الجبري " sqref="CT1:CT65"/>
    <dataValidation allowBlank="1" showInputMessage="1" showErrorMessage="1" prompt="حمدي الصالحي " sqref="CU1:CU65"/>
    <dataValidation allowBlank="1" showInputMessage="1" showErrorMessage="1" prompt="صفوان الجميلي " sqref="CV1:CV65"/>
    <dataValidation allowBlank="1" showInputMessage="1" showErrorMessage="1" prompt="شكري الجبري " sqref="D1:D65 E5:F5"/>
    <dataValidation allowBlank="1" showInputMessage="1" showErrorMessage="1" prompt="انور الشنوفي " sqref="DQ1:DQ65"/>
    <dataValidation allowBlank="1" showInputMessage="1" showErrorMessage="1" prompt="الصادق الصالحي " sqref="DR1:DR65"/>
    <dataValidation allowBlank="1" showInputMessage="1" showErrorMessage="1" prompt="حافظ العربي " sqref="DS1:DS65"/>
    <dataValidation allowBlank="1" showInputMessage="1" showErrorMessage="1" prompt="رياض التواتي " sqref="DT1:DT65"/>
    <dataValidation allowBlank="1" showInputMessage="1" showErrorMessage="1" prompt="الطيب الزواري " sqref="DU1:DU65"/>
    <dataValidation allowBlank="1" showInputMessage="1" showErrorMessage="1" prompt="المنجي الأجرى" sqref="DV1:DV65"/>
    <dataValidation allowBlank="1" showInputMessage="1" showErrorMessage="1" prompt="نور الدين مزداري " sqref="CB1:CB65"/>
    <dataValidation allowBlank="1" showInputMessage="1" showErrorMessage="1" prompt="نبيل دبيش  " sqref="CC1:CC65"/>
    <dataValidation allowBlank="1" showInputMessage="1" showErrorMessage="1" prompt="جلال العسكري " sqref="CD1:CD65"/>
    <dataValidation allowBlank="1" showInputMessage="1" showErrorMessage="1" prompt="رامي الجبالي" sqref="BR1:BR65"/>
    <dataValidation allowBlank="1" showInputMessage="1" showErrorMessage="1" prompt="لندة الأنلسي " sqref="BS1:BS65"/>
    <dataValidation allowBlank="1" showInputMessage="1" showErrorMessage="1" prompt="كمال المالكي " sqref="BU1:BU65"/>
    <dataValidation allowBlank="1" showInputMessage="1" showErrorMessage="1" prompt="ايسين القيطوني  " sqref="BV1:BV65"/>
    <dataValidation allowBlank="1" showInputMessage="1" showErrorMessage="1" prompt="بلال العلوي " sqref="BW1:BW65"/>
    <dataValidation allowBlank="1" showInputMessage="1" showErrorMessage="1" prompt="اماني العمدوني  " sqref="BX1:BX65"/>
    <dataValidation allowBlank="1" showInputMessage="1" showErrorMessage="1" prompt="الشاذلي ناجي " sqref="BY1:BY65"/>
    <dataValidation allowBlank="1" showInputMessage="1" showErrorMessage="1" prompt="خالد عرعار " sqref="BZ1:BZ65"/>
    <dataValidation allowBlank="1" showInputMessage="1" showErrorMessage="1" prompt="نبيلة الجريدي " sqref="CA1:CA65"/>
    <dataValidation allowBlank="1" showInputMessage="1" showErrorMessage="1" prompt="عدنان محجوبي " sqref="BT1:BT65"/>
    <dataValidation allowBlank="1" showInputMessage="1" showErrorMessage="1" prompt="معز الطرودر " sqref="CH1:CH65"/>
    <dataValidation allowBlank="1" showInputMessage="1" showErrorMessage="1" prompt="ياسين بوضياف " sqref="CI1:CI65"/>
    <dataValidation allowBlank="1" showInputMessage="1" showErrorMessage="1" prompt="كريم البحري  " sqref="CJ1:CJ65"/>
    <dataValidation allowBlank="1" showInputMessage="1" showErrorMessage="1" prompt="فوزي النهدي " sqref="CK1:CK65"/>
    <dataValidation allowBlank="1" showInputMessage="1" showErrorMessage="1" prompt="حمزة صدوقة" sqref="DW1:DW65"/>
    <dataValidation allowBlank="1" showInputMessage="1" showErrorMessage="1" prompt="زياد الخميري" sqref="EF1:EF65"/>
    <dataValidation allowBlank="1" showInputMessage="1" showErrorMessage="1" prompt="هشام الحويجي" sqref="EG1:EG65"/>
    <dataValidation allowBlank="1" showInputMessage="1" showErrorMessage="1" prompt="محمد أمين الزوابي" sqref="EH1:EH65"/>
    <dataValidation allowBlank="1" showInputMessage="1" showErrorMessage="1" prompt="محمد أشرف البوسالمي" sqref="EI1:EI65"/>
    <dataValidation allowBlank="1" showInputMessage="1" showErrorMessage="1" prompt="باسم المازني" sqref="EK1:EK65"/>
    <dataValidation allowBlank="1" showInputMessage="1" showErrorMessage="1" prompt="رشيد الزغواني" sqref="EE1:EE65"/>
    <dataValidation allowBlank="1" showInputMessage="1" showErrorMessage="1" prompt="أشرف البراهمي" sqref="EJ1:EJ65"/>
    <dataValidation allowBlank="1" showInputMessage="1" showErrorMessage="1" prompt="المعز المؤدب" sqref="EL1:EL65"/>
    <dataValidation allowBlank="1" showInputMessage="1" showErrorMessage="1" prompt="منصور المشوري" sqref="EM1:EM65"/>
    <dataValidation allowBlank="1" showInputMessage="1" showErrorMessage="1" prompt="فتحي التيزاوي" sqref="EN1:EN65"/>
    <dataValidation allowBlank="1" showInputMessage="1" showErrorMessage="1" prompt="نبيل اليحياوي" sqref="EO1:EO65 EP45"/>
    <dataValidation allowBlank="1" showInputMessage="1" showErrorMessage="1" prompt="وليد الجباري" sqref="EP1:EP44 EP46:EP65"/>
    <dataValidation allowBlank="1" showInputMessage="1" showErrorMessage="1" prompt="يوسف الحفناوي " sqref="CF1:CF65"/>
    <dataValidation allowBlank="1" showInputMessage="1" showErrorMessage="1" prompt="نجيب الشهبي " sqref="CE1:CE65"/>
    <dataValidation allowBlank="1" showInputMessage="1" showErrorMessage="1" prompt="الأسعد قفصاوي " sqref="CG1:CG65"/>
    <dataValidation allowBlank="1" showInputMessage="1" showErrorMessage="1" prompt="الهادي الدلالي" sqref="AD4 AD19 AD22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Sofienne</dc:creator>
  <cp:lastModifiedBy>Sofienne</cp:lastModifiedBy>
  <dcterms:created xsi:type="dcterms:W3CDTF">2025-11-30T08:47:29Z</dcterms:created>
  <dcterms:modified xsi:type="dcterms:W3CDTF">2026-05-02T15:39:59Z</dcterms:modified>
</cp:coreProperties>
</file>